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function test sus-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Q59"/>
  <ns0:sheetViews>
    <ns0:sheetView workbookViewId="0">
      <ns0:selection activeCell="A1" sqref="A1"/>
    </ns0:sheetView>
  </ns0:sheetViews>
  <ns0:sheetFormatPr baseColWidth="8" defaultRowHeight="15"/>
  <ns0:cols>
    <ns0:col width="13.75" customWidth="1" min="2" max="2"/>
    <ns0:col width="20.38" customWidth="1" min="3" max="3"/>
    <ns0:col width="20.38" customWidth="1" min="4" max="4"/>
    <ns0:col width="20.38" customWidth="1" min="5" max="5"/>
    <ns0:col width="20.38" customWidth="1" min="6" max="6"/>
    <ns0:col width="20.38" customWidth="1" min="7" max="7"/>
    <ns0:col width="20.38" customWidth="1" min="8" max="8"/>
    <ns0:col width="20.38" customWidth="1" min="9" max="9"/>
    <ns0:col width="20.38" customWidth="1" min="10" max="10"/>
    <ns0:col width="20.38" customWidth="1" min="11" max="11"/>
    <ns0:col width="20.38" customWidth="1" min="12" max="12"/>
    <ns0:col width="20.38" customWidth="1" min="13" max="13"/>
    <ns0:col width="20.38" customWidth="1" min="14" max="14"/>
    <ns0:col width="20.38" customWidth="1" min="15" max="15"/>
    <ns0:col width="20.38" customWidth="1" min="16" max="16"/>
    <ns0:col width="19.63" customWidth="1" min="17" max="17"/>
    <ns0:col width="8.630000000000001" customWidth="1" min="18" max="18"/>
    <ns0:col width="8.630000000000001" customWidth="1" min="19" max="19"/>
    <ns0:col width="8.630000000000001" customWidth="1" min="20" max="20"/>
    <ns0:col width="8.630000000000001" customWidth="1" min="21" max="21"/>
    <ns0:col width="8.630000000000001" customWidth="1" min="22" max="22"/>
    <ns0:col width="8.630000000000001" customWidth="1" min="23" max="23"/>
    <ns0:col width="8.630000000000001" customWidth="1" min="24" max="24"/>
    <ns0:col width="8.630000000000001" customWidth="1" min="25" max="25"/>
    <ns0:col width="8.630000000000001" customWidth="1" min="26" max="26"/>
    <ns0:col width="8.630000000000001" customWidth="1" min="27" max="27"/>
    <ns0:col width="8.630000000000001" customWidth="1" min="28" max="28"/>
    <ns0:col width="8.630000000000001" customWidth="1" min="29" max="29"/>
    <ns0:col width="8.630000000000001" customWidth="1" min="30" max="30"/>
    <ns0:col width="8.630000000000001" customWidth="1" min="31" max="31"/>
    <ns0:col width="8.630000000000001" customWidth="1" min="32" max="32"/>
    <ns0:col width="8.630000000000001" customWidth="1" min="33" max="33"/>
    <ns0:col width="8.630000000000001" customWidth="1" min="34" max="34"/>
    <ns0:col width="8.630000000000001" customWidth="1" min="35" max="35"/>
    <ns0:col width="8.630000000000001" customWidth="1" min="36" max="36"/>
    <ns0:col width="8.630000000000001" customWidth="1" min="37" max="37"/>
    <ns0:col width="8.630000000000001" customWidth="1" min="38" max="38"/>
    <ns0:col width="8.630000000000001" customWidth="1" min="39" max="39"/>
    <ns0:col width="8.630000000000001" customWidth="1" min="40" max="40"/>
    <ns0:col width="8.630000000000001" customWidth="1" min="41" max="41"/>
    <ns0:col width="8.630000000000001" customWidth="1" min="42" max="42"/>
    <ns0:col width="8.630000000000001" customWidth="1" min="43" max="43"/>
    <ns0:col width="8.630000000000001" customWidth="1" min="44" max="44"/>
    <ns0:col width="8.630000000000001" customWidth="1" min="45" max="45"/>
    <ns0:col width="8.630000000000001" customWidth="1" min="46" max="46"/>
    <ns0:col width="8.630000000000001" customWidth="1" min="47" max="47"/>
    <ns0:col width="8.630000000000001" customWidth="1" min="48" max="48"/>
    <ns0:col width="8.630000000000001" customWidth="1" min="49" max="49"/>
    <ns0:col width="8.630000000000001" customWidth="1" min="50" max="50"/>
    <ns0:col width="8.630000000000001" customWidth="1" min="51" max="51"/>
    <ns0:col width="8.630000000000001" customWidth="1" min="52" max="52"/>
  </ns0:cols>
  <ns0:sheetData>
    <ns0:row r="1" ht="37.5" customHeight="1"/>
    <ns0:row r="2" ht="44.25" customHeight="1">
      <ns0:c r="B2" s="1" t="inlineStr">
        <ns0:is>
          <ns0:t>TITLE</ns0:t>
        </ns0:is>
      </ns0:c>
      <ns0:c r="D2" s="1" t="inlineStr">
        <ns0:is>
          <ns0:t>BRS-161016 REPORT TEST MATERIAL SUSPENSION 161014-D-1 CHANGING TIN SUPPLIER OF VENDOR CSY TECH VINA</ns0:t>
        </ns0:is>
      </ns0:c>
      <ns0:c r="P2" s="1" t="inlineStr">
        <ns0:is>
          <ns0:t>Dept</ns0:t>
        </ns0:is>
      </ns0:c>
      <ns0:c r="Q2" s="1" t="inlineStr">
        <ns0:is>
          <ns0:t>ME</ns0:t>
        </ns0:is>
      </ns0:c>
    </ns0:row>
    <ns0:row r="3" ht="44.25" customHeight="1">
      <ns0:c r="P3" s="1" t="inlineStr">
        <ns0:is>
          <ns0:t>Date</ns0:t>
        </ns0:is>
      </ns0:c>
      <ns0:c r="Q3" s="2" t="n">
        <ns0:v>45834</ns0:v>
      </ns0:c>
    </ns0:row>
    <ns0:row r="4" ht="44.25" customHeight="1">
      <ns0:c r="P4" s="1" t="inlineStr">
        <ns0:is>
          <ns0:t>Marker</ns0:t>
        </ns0:is>
      </ns0:c>
      <ns0:c r="Q4" s="1" t="inlineStr">
        <ns0:is>
          <ns0:t>Nhung</ns0:t>
        </ns0:is>
      </ns0:c>
    </ns0:row>
    <ns0:row r="5" ht="44.25" customHeight="1">
      <ns0:c r="B5" s="1" t="inlineStr">
        <ns0:is>
          <ns0:t>I. Purpose.</ns0:t>
        </ns0:is>
      </ns0:c>
    </ns0:row>
    <ns0:row r="6" ht="44.25" customHeight="1">
      <ns0:c r="B6" s="1" t="inlineStr">
        <ns0:is>
          <ns0:t xml:space="preserve"> - Verify if can be used in main line or not</ns0:t>
        </ns0:is>
      </ns0:c>
    </ns0:row>
    <ns0:row r="7" ht="44.25" customHeight="1"/>
    <ns0:row r="8" ht="44.25" customHeight="1"/>
    <ns0:row r="9" ht="44.25" customHeight="1"/>
    <ns0:row r="10" ht="44.25" customHeight="1"/>
    <ns0:row r="11" ht="44.25" customHeight="1"/>
    <ns0:row r="12" ht="44.25" customHeight="1">
      <ns0:c r="B12" s="1" t="inlineStr">
        <ns0:is>
          <ns0:t>II. Content.</ns0:t>
        </ns0:is>
      </ns0:c>
    </ns0:row>
    <ns0:row r="13" ht="44.25" customHeight="1">
      <ns0:c r="B13" s="1" t="inlineStr">
        <ns0:is>
          <ns0:t>- Q'ty test: 95pcs</ns0:t>
        </ns0:is>
      </ns0:c>
    </ns0:row>
    <ns0:row r="14" ht="44.25" customHeight="1">
      <ns0:c r="B14" s="1" t="inlineStr">
        <ns0:is>
          <ns0:t xml:space="preserve"> + Checking NG rate of spot welding process</ns0:t>
        </ns0:is>
      </ns0:c>
    </ns0:row>
    <ns0:row r="15" ht="44.25" customHeight="1">
      <ns0:c r="B15" s="1" t="inlineStr">
        <ns0:is>
          <ns0:t xml:space="preserve"> + Tension test SP+Coil spot welding</ns0:t>
        </ns0:is>
      </ns0:c>
    </ns0:row>
    <ns0:row r="16" ht="44.25" customHeight="1">
      <ns0:c r="B16" s="1" t="inlineStr">
        <ns0:is>
          <ns0:t xml:space="preserve"> + Check NG rate of function</ns0:t>
        </ns0:is>
      </ns0:c>
    </ns0:row>
    <ns0:row r="17" ht="44.25" customHeight="1">
      <ns0:c r="B17" s="1" t="inlineStr">
        <ns0:is>
          <ns0:t>- Compare with normal line</ns0:t>
        </ns0:is>
      </ns0:c>
    </ns0:row>
    <ns0:row r="18" ht="44.25" customHeight="1">
      <ns0:c r="B18" s="1" t="inlineStr">
        <ns0:is>
          <ns0:t>- Input module line separate lot check spot welding and function</ns0:t>
        </ns0:is>
      </ns0:c>
    </ns0:row>
    <ns0:row r="19" ht="44.25" customHeight="1">
      <ns0:c r="B19" s="1" t="inlineStr">
        <ns0:is>
          <ns0:t xml:space="preserve">III. Result </ns0:t>
        </ns0:is>
      </ns0:c>
    </ns0:row>
    <ns0:row r="20" ht="44.25" customHeight="1">
      <ns0:c r="C20" s="1" t="inlineStr">
        <ns0:is>
          <ns0:t>1. RESULT CHECKING SPOT WELDING VISION PROCESS ( Volt 0.8~1.0V)</ns0:t>
        </ns0:is>
      </ns0:c>
    </ns0:row>
    <ns0:row r="21" ht="52.5" customHeight="1">
      <ns0:c r="C21" s="1" t="inlineStr">
        <ns0:is>
          <ns0:t>Date</ns0:t>
        </ns0:is>
      </ns0:c>
      <ns0:c r="D21" s="1" t="inlineStr">
        <ns0:is>
          <ns0:t>Line</ns0:t>
        </ns0:is>
      </ns0:c>
      <ns0:c r="E21" s="1" t="inlineStr">
        <ns0:is>
          <ns0:t>Type</ns0:t>
        </ns0:is>
      </ns0:c>
      <ns0:c r="F21" s="1" t="inlineStr">
        <ns0:is>
          <ns0:t xml:space="preserve">Input </ns0:t>
        </ns0:is>
      </ns0:c>
      <ns0:c r="G21" s="1" t="inlineStr">
        <ns0:is>
          <ns0:t xml:space="preserve">OK  </ns0:t>
        </ns0:is>
      </ns0:c>
      <ns0:c r="H21" s="1" t="inlineStr">
        <ns0:is>
          <ns0:t>Weak solder</ns0:t>
        </ns0:is>
      </ns0:c>
      <ns0:c r="I21" s="1" t="inlineStr">
        <ns0:is>
          <ns0:t>Burn solder</ns0:t>
        </ns0:is>
      </ns0:c>
      <ns0:c r="J21" s="1" t="inlineStr">
        <ns0:is>
          <ns0:t>Total NG</ns0:t>
        </ns0:is>
      </ns0:c>
      <ns0:c r="K21" s="1" t="inlineStr">
        <ns0:is>
          <ns0:t>NG rate</ns0:t>
        </ns0:is>
      </ns0:c>
      <ns0:c r="L21" s="1" t="inlineStr">
        <ns0:is>
          <ns0:t>Note</ns0:t>
        </ns0:is>
      </ns0:c>
    </ns0:row>
    <ns0:row r="22" ht="42.75" customHeight="1">
      <ns0:c r="C22" s="2" t="n">
        <ns0:v>45834</ns0:v>
      </ns0:c>
      <ns0:c r="D22" s="1" t="inlineStr">
        <ns0:is>
          <ns0:t>E2-3B</ns0:t>
        </ns0:is>
      </ns0:c>
      <ns0:c r="E22" s="1" t="inlineStr">
        <ns0:is>
          <ns0:t>Test</ns0:t>
        </ns0:is>
      </ns0:c>
      <ns0:c r="F22" s="1">
        <ns0:f>95+571</ns0:f>
        <ns0:v/>
      </ns0:c>
      <ns0:c r="G22" s="1">
        <ns0:f>F22-J22</ns0:f>
        <ns0:v/>
      </ns0:c>
      <ns0:c r="H22" s="1" t="n">
        <ns0:v>0</ns0:v>
      </ns0:c>
      <ns0:c r="I22" s="1" t="n">
        <ns0:v>0</ns0:v>
      </ns0:c>
      <ns0:c r="J22" s="1">
        <ns0:f>H22+I22</ns0:f>
        <ns0:v/>
      </ns0:c>
      <ns0:c r="K22" s="1">
        <ns0:f>J22/F22</ns0:f>
        <ns0:v/>
      </ns0:c>
      <ns0:c r="L22" s="1" t="inlineStr">
        <ns0:is>
          <ns0:t>Don't use bond G05-0001</ns0:t>
        </ns0:is>
      </ns0:c>
    </ns0:row>
    <ns0:row r="23" ht="42.75" customHeight="1">
      <ns0:c r="E23" s="1" t="inlineStr">
        <ns0:is>
          <ns0:t xml:space="preserve">Normal </ns0:t>
        </ns0:is>
      </ns0:c>
      <ns0:c r="F23" s="1" t="n">
        <ns0:v>500</ns0:v>
      </ns0:c>
      <ns0:c r="G23" s="1">
        <ns0:f>F23-J23</ns0:f>
        <ns0:v/>
      </ns0:c>
      <ns0:c r="H23" s="1" t="n">
        <ns0:v>0</ns0:v>
      </ns0:c>
      <ns0:c r="I23" s="1" t="n">
        <ns0:v>0</ns0:v>
      </ns0:c>
      <ns0:c r="J23" s="1">
        <ns0:f>H23+I23</ns0:f>
        <ns0:v/>
      </ns0:c>
      <ns0:c r="K23" s="1">
        <ns0:f>J23/F23</ns0:f>
        <ns0:v/>
      </ns0:c>
      <ns0:c r="L23" s="1" t="inlineStr">
        <ns0:is>
          <ns0:t>Don't use bond G05-0001</ns0:t>
        </ns0:is>
      </ns0:c>
    </ns0:row>
    <ns0:row r="24" ht="52.5" customHeight="1"/>
    <ns0:row r="25" ht="52.5" customHeight="1"/>
    <ns0:row r="26" ht="52.5" customHeight="1"/>
    <ns0:row r="27" ht="52.5" customHeight="1"/>
    <ns0:row r="28" ht="45" customHeight="1"/>
    <ns0:row r="29" ht="39.75" customHeight="1">
      <ns0:c r="C29" s="1" t="inlineStr">
        <ns0:is>
          <ns0:t xml:space="preserve">2. RESULT CHECKING TENSION SP+COIL SPOT WELDING </ns0:t>
        </ns0:is>
      </ns0:c>
    </ns0:row>
    <ns0:row r="30" ht="41.25" customHeight="1">
      <ns0:c r="C30" s="1" t="inlineStr">
        <ns0:is>
          <ns0:t>Date</ns0:t>
        </ns0:is>
      </ns0:c>
      <ns0:c r="D30" s="1" t="inlineStr">
        <ns0:is>
          <ns0:t>Line</ns0:t>
        </ns0:is>
      </ns0:c>
      <ns0:c r="E30" s="1" t="inlineStr">
        <ns0:is>
          <ns0:t>Type</ns0:t>
        </ns0:is>
      </ns0:c>
      <ns0:c r="F30" s="1" t="inlineStr">
        <ns0:is>
          <ns0:t>Spec</ns0:t>
        </ns0:is>
      </ns0:c>
      <ns0:c r="G30" s="1" t="inlineStr">
        <ns0:is>
          <ns0:t>Min</ns0:t>
        </ns0:is>
      </ns0:c>
      <ns0:c r="H30" s="1" t="inlineStr">
        <ns0:is>
          <ns0:t>Max</ns0:t>
        </ns0:is>
      </ns0:c>
      <ns0:c r="I30" s="1" t="inlineStr">
        <ns0:is>
          <ns0:t>Avg</ns0:t>
        </ns0:is>
      </ns0:c>
      <ns0:c r="J30" s="1" t="inlineStr">
        <ns0:is>
          <ns0:t>Sample 1</ns0:t>
        </ns0:is>
      </ns0:c>
      <ns0:c r="K30" s="1" t="inlineStr">
        <ns0:is>
          <ns0:t>Sample 2</ns0:t>
        </ns0:is>
      </ns0:c>
      <ns0:c r="L30" s="1" t="inlineStr">
        <ns0:is>
          <ns0:t>Sample 3</ns0:t>
        </ns0:is>
      </ns0:c>
      <ns0:c r="M30" s="1" t="inlineStr">
        <ns0:is>
          <ns0:t>Sample 4</ns0:t>
        </ns0:is>
      </ns0:c>
      <ns0:c r="N30" s="1" t="inlineStr">
        <ns0:is>
          <ns0:t>Sample 5</ns0:t>
        </ns0:is>
      </ns0:c>
      <ns0:c r="O30" s="1" t="inlineStr">
        <ns0:is>
          <ns0:t>Result</ns0:t>
        </ns0:is>
      </ns0:c>
    </ns0:row>
    <ns0:row r="31" ht="41.25" customHeight="1">
      <ns0:c r="C31" s="2" t="n">
        <ns0:v>45834</ns0:v>
      </ns0:c>
      <ns0:c r="D31" s="1" t="inlineStr">
        <ns0:is>
          <ns0:t>E2-3B</ns0:t>
        </ns0:is>
      </ns0:c>
      <ns0:c r="E31" s="1" t="inlineStr">
        <ns0:is>
          <ns0:t xml:space="preserve">Test </ns0:t>
        </ns0:is>
      </ns0:c>
      <ns0:c r="F31" s="1" t="inlineStr">
        <ns0:is>
          <ns0:t>0.03 kgf</ns0:t>
        </ns0:is>
      </ns0:c>
      <ns0:c r="G31" s="1">
        <ns0:f>MIN(J31:N31)</ns0:f>
        <ns0:v/>
      </ns0:c>
      <ns0:c r="H31" s="1">
        <ns0:f>MAX(J31:N31)</ns0:f>
        <ns0:v/>
      </ns0:c>
      <ns0:c r="I31" s="1">
        <ns0:f>AVERAGE(J31:N31)</ns0:f>
        <ns0:v/>
      </ns0:c>
      <ns0:c r="J31" s="1" t="n">
        <ns0:v>0.066</ns0:v>
      </ns0:c>
      <ns0:c r="K31" s="1" t="n">
        <ns0:v>0.042</ns0:v>
      </ns0:c>
      <ns0:c r="L31" s="1" t="n">
        <ns0:v>0.108</ns0:v>
      </ns0:c>
      <ns0:c r="M31" s="1" t="n">
        <ns0:v>0.055</ns0:v>
      </ns0:c>
      <ns0:c r="N31" s="1" t="n">
        <ns0:v>0.075</ns0:v>
      </ns0:c>
      <ns0:c r="O31" s="1" t="inlineStr">
        <ns0:is>
          <ns0:t>Pass</ns0:t>
        </ns0:is>
      </ns0:c>
    </ns0:row>
    <ns0:row r="32" ht="41.25" customHeight="1">
      <ns0:c r="E32" s="1" t="inlineStr">
        <ns0:is>
          <ns0:t xml:space="preserve">Normal </ns0:t>
        </ns0:is>
      </ns0:c>
      <ns0:c r="G32" s="1">
        <ns0:f>MIN(J32:N32)</ns0:f>
        <ns0:v/>
      </ns0:c>
      <ns0:c r="H32" s="1">
        <ns0:f>MAX(J32:N32)</ns0:f>
        <ns0:v/>
      </ns0:c>
      <ns0:c r="I32" s="1">
        <ns0:f>AVERAGE(J32:N32)</ns0:f>
        <ns0:v/>
      </ns0:c>
      <ns0:c r="J32" s="1" t="n">
        <ns0:v>0.07199999999999999</ns0:v>
      </ns0:c>
      <ns0:c r="K32" s="1" t="n">
        <ns0:v>0.052</ns0:v>
      </ns0:c>
      <ns0:c r="L32" s="1" t="n">
        <ns0:v>0.065</ns0:v>
      </ns0:c>
      <ns0:c r="M32" s="1" t="n">
        <ns0:v>0.056</ns0:v>
      </ns0:c>
      <ns0:c r="N32" s="1" t="n">
        <ns0:v>0.07099999999999999</ns0:v>
      </ns0:c>
      <ns0:c r="O32" s="1" t="inlineStr">
        <ns0:is>
          <ns0:t>Pass</ns0:t>
        </ns0:is>
      </ns0:c>
    </ns0:row>
    <ns0:row r="33" ht="45" customHeight="1">
      <ns0:c r="C33" s="1" t="inlineStr">
        <ns0:is>
          <ns0:t>3. RESULT CHECK FUNCTION SPK</ns0:t>
        </ns0:is>
      </ns0:c>
    </ns0:row>
    <ns0:row r="34" ht="37.5" customHeight="1">
      <ns0:c r="C34" s="1" t="inlineStr">
        <ns0:is>
          <ns0:t>Date</ns0:t>
        </ns0:is>
      </ns0:c>
      <ns0:c r="D34" s="1" t="inlineStr">
        <ns0:is>
          <ns0:t>Line</ns0:t>
        </ns0:is>
      </ns0:c>
      <ns0:c r="E34" s="1" t="inlineStr">
        <ns0:is>
          <ns0:t>Type</ns0:t>
        </ns0:is>
      </ns0:c>
      <ns0:c r="F34" s="1" t="inlineStr">
        <ns0:is>
          <ns0:t xml:space="preserve">Input </ns0:t>
        </ns0:is>
      </ns0:c>
      <ns0:c r="G34" s="1" t="inlineStr">
        <ns0:is>
          <ns0:t xml:space="preserve">OK  </ns0:t>
        </ns0:is>
      </ns0:c>
      <ns0:c r="H34" s="1" t="inlineStr">
        <ns0:is>
          <ns0:t>Air leak</ns0:t>
        </ns0:is>
      </ns0:c>
      <ns0:c r="I34" s="1" t="inlineStr">
        <ns0:is>
          <ns0:t xml:space="preserve">NG Sigma </ns0:t>
        </ns0:is>
      </ns0:c>
      <ns0:c r="M34" s="1" t="inlineStr">
        <ns0:is>
          <ns0:t xml:space="preserve">NG Hearing </ns0:t>
        </ns0:is>
      </ns0:c>
      <ns0:c r="O34" s="1" t="inlineStr">
        <ns0:is>
          <ns0:t>Total NG</ns0:t>
        </ns0:is>
      </ns0:c>
      <ns0:c r="P34" s="1" t="inlineStr">
        <ns0:is>
          <ns0:t>Total NG rate</ns0:t>
        </ns0:is>
      </ns0:c>
    </ns0:row>
    <ns0:row r="35" ht="37.5" customHeight="1">
      <ns0:c r="I35" s="1" t="inlineStr">
        <ns0:is>
          <ns0:t xml:space="preserve">SPL </ns0:t>
        </ns0:is>
      </ns0:c>
      <ns0:c r="J35" s="1" t="inlineStr">
        <ns0:is>
          <ns0:t xml:space="preserve">THD </ns0:t>
        </ns0:is>
      </ns0:c>
      <ns0:c r="K35" s="1" t="inlineStr">
        <ns0:is>
          <ns0:t xml:space="preserve">SPL+THD </ns0:t>
        </ns0:is>
      </ns0:c>
      <ns0:c r="L35" s="1" t="inlineStr">
        <ns0:is>
          <ns0:t>SPL+THD+F0</ns0:t>
        </ns0:is>
      </ns0:c>
      <ns0:c r="M35" s="1" t="inlineStr">
        <ns0:is>
          <ns0:t xml:space="preserve">Noise </ns0:t>
        </ns0:is>
      </ns0:c>
      <ns0:c r="N35" s="1" t="inlineStr">
        <ns0:is>
          <ns0:t xml:space="preserve">Touch </ns0:t>
        </ns0:is>
      </ns0:c>
    </ns0:row>
    <ns0:row r="36" ht="37.5" customHeight="1">
      <ns0:c r="C36" s="2" t="n">
        <ns0:v>45834</ns0:v>
      </ns0:c>
      <ns0:c r="D36" s="1" t="inlineStr">
        <ns0:is>
          <ns0:t>E2-3B</ns0:t>
        </ns0:is>
      </ns0:c>
      <ns0:c r="E36" s="1" t="inlineStr">
        <ns0:is>
          <ns0:t xml:space="preserve">Test </ns0:t>
        </ns0:is>
      </ns0:c>
      <ns0:c r="F36" s="1" t="n">
        <ns0:v>658</ns0:v>
      </ns0:c>
      <ns0:c r="G36" s="1">
        <ns0:f>F36-O36</ns0:f>
        <ns0:v/>
      </ns0:c>
      <ns0:c r="H36" s="1" t="n">
        <ns0:v>0</ns0:v>
      </ns0:c>
      <ns0:c r="I36" s="1" t="n">
        <ns0:v>1</ns0:v>
      </ns0:c>
      <ns0:c r="J36" s="1" t="n">
        <ns0:v>2</ns0:v>
      </ns0:c>
      <ns0:c r="K36" s="1" t="n">
        <ns0:v>2</ns0:v>
      </ns0:c>
      <ns0:c r="L36" s="1" t="n">
        <ns0:v>0</ns0:v>
      </ns0:c>
      <ns0:c r="M36" s="1" t="n">
        <ns0:v>9</ns0:v>
      </ns0:c>
      <ns0:c r="N36" s="1" t="n">
        <ns0:v>3</ns0:v>
      </ns0:c>
      <ns0:c r="O36" s="1">
        <ns0:f>SUM(H36:N36)</ns0:f>
        <ns0:v/>
      </ns0:c>
      <ns0:c r="P36" s="1">
        <ns0:f>O36/F36</ns0:f>
        <ns0:v/>
      </ns0:c>
    </ns0:row>
    <ns0:row r="37" ht="37.5" customHeight="1">
      <ns0:c r="E37" s="1" t="inlineStr">
        <ns0:is>
          <ns0:t xml:space="preserve">Normal </ns0:t>
        </ns0:is>
      </ns0:c>
      <ns0:c r="F37" s="1" t="n">
        <ns0:v>798</ns0:v>
      </ns0:c>
      <ns0:c r="G37" s="1">
        <ns0:f>F37-O37</ns0:f>
        <ns0:v/>
      </ns0:c>
      <ns0:c r="H37" s="1" t="n">
        <ns0:v>0</ns0:v>
      </ns0:c>
      <ns0:c r="I37" s="1" t="n">
        <ns0:v>0</ns0:v>
      </ns0:c>
      <ns0:c r="J37" s="1" t="n">
        <ns0:v>0</ns0:v>
      </ns0:c>
      <ns0:c r="K37" s="1" t="n">
        <ns0:v>0</ns0:v>
      </ns0:c>
      <ns0:c r="L37" s="1" t="n">
        <ns0:v>0</ns0:v>
      </ns0:c>
      <ns0:c r="M37" s="1" t="n">
        <ns0:v>14</ns0:v>
      </ns0:c>
      <ns0:c r="N37" s="1" t="n">
        <ns0:v>10</ns0:v>
      </ns0:c>
      <ns0:c r="O37" s="1">
        <ns0:f>SUM(H37:N37)</ns0:f>
        <ns0:v/>
      </ns0:c>
      <ns0:c r="P37" s="1">
        <ns0:f>O37/F37</ns0:f>
        <ns0:v/>
      </ns0:c>
    </ns0:row>
    <ns0:row r="38" ht="45" customHeight="1">
      <ns0:c r="C38" s="1" t="inlineStr">
        <ns0:is>
          <ns0:t xml:space="preserve">- Decap NG function: </ns0:t>
        </ns0:is>
      </ns0:c>
    </ns0:row>
    <ns0:row r="39" ht="45" customHeight="1"/>
    <ns0:row r="40" ht="45" customHeight="1"/>
    <ns0:row r="41" ht="45" customHeight="1"/>
    <ns0:row r="42" ht="45" customHeight="1"/>
    <ns0:row r="43" ht="45" customHeight="1">
      <ns0:c r="C43" s="1" t="inlineStr">
        <ns0:is>
          <ns0:t>4. RESULT CHECK FUNCTION MODULE LINE</ns0:t>
        </ns0:is>
      </ns0:c>
    </ns0:row>
    <ns0:row r="44" ht="35.25" customHeight="1">
      <ns0:c r="C44" s="1" t="inlineStr">
        <ns0:is>
          <ns0:t>Date</ns0:t>
        </ns0:is>
      </ns0:c>
      <ns0:c r="D44" s="1" t="inlineStr">
        <ns0:is>
          <ns0:t>Line</ns0:t>
        </ns0:is>
      </ns0:c>
      <ns0:c r="E44" s="1" t="inlineStr">
        <ns0:is>
          <ns0:t>Type</ns0:t>
        </ns0:is>
      </ns0:c>
      <ns0:c r="G44" s="1" t="inlineStr">
        <ns0:is>
          <ns0:t>Input</ns0:t>
        </ns0:is>
      </ns0:c>
      <ns0:c r="H44" s="1" t="inlineStr">
        <ns0:is>
          <ns0:t>OK</ns0:t>
        </ns0:is>
      </ns0:c>
      <ns0:c r="J44" s="1" t="inlineStr">
        <ns0:is>
          <ns0:t>NG</ns0:t>
        </ns0:is>
      </ns0:c>
      <ns0:c r="O44" s="1" t="inlineStr">
        <ns0:is>
          <ns0:t>Total NG</ns0:t>
        </ns0:is>
      </ns0:c>
      <ns0:c r="P44" s="1" t="inlineStr">
        <ns0:is>
          <ns0:t>NG rate</ns0:t>
        </ns0:is>
      </ns0:c>
    </ns0:row>
    <ns0:row r="45" ht="35.25" customHeight="1">
      <ns0:c r="I45" s="1" t="inlineStr">
        <ns0:is>
          <ns0:t>solder</ns0:t>
        </ns0:is>
      </ns0:c>
      <ns0:c r="J45" s="1" t="inlineStr">
        <ns0:is>
          <ns0:t>Bako</ns0:t>
        </ns0:is>
      </ns0:c>
      <ns0:c r="K45" s="1" t="inlineStr">
        <ns0:is>
          <ns0:t>Hearing</ns0:t>
        </ns0:is>
      </ns0:c>
      <ns0:c r="L45" s="1" t="inlineStr">
        <ns0:is>
          <ns0:t>Hearing 2</ns0:t>
        </ns0:is>
      </ns0:c>
      <ns0:c r="M45" s="1" t="inlineStr">
        <ns0:is>
          <ns0:t>Hearing 3</ns0:t>
        </ns0:is>
      </ns0:c>
      <ns0:c r="N45" s="1" t="inlineStr">
        <ns0:is>
          <ns0:t>Air leak</ns0:t>
        </ns0:is>
      </ns0:c>
    </ns0:row>
    <ns0:row r="46" ht="35.25" customHeight="1">
      <ns0:c r="C46" s="2" t="n">
        <ns0:v>45836</ns0:v>
      </ns0:c>
      <ns0:c r="D46" s="1" t="inlineStr">
        <ns0:is>
          <ns0:t>S931</ns0:t>
        </ns0:is>
      </ns0:c>
      <ns0:c r="E46" s="1" t="inlineStr">
        <ns0:is>
          <ns0:t>Test</ns0:t>
        </ns0:is>
      </ns0:c>
      <ns0:c r="G46" s="1" t="n">
        <ns0:v>641</ns0:v>
      </ns0:c>
      <ns0:c r="H46" s="1">
        <ns0:f>+G46-O46</ns0:f>
        <ns0:v/>
      </ns0:c>
      <ns0:c r="I46" s="1" t="n">
        <ns0:v>0</ns0:v>
      </ns0:c>
      <ns0:c r="J46" s="1" t="n">
        <ns0:v>3</ns0:v>
      </ns0:c>
      <ns0:c r="K46" s="1" t="n">
        <ns0:v>0</ns0:v>
      </ns0:c>
      <ns0:c r="L46" s="1" t="n">
        <ns0:v>0</ns0:v>
      </ns0:c>
      <ns0:c r="M46" s="1" t="n">
        <ns0:v>0</ns0:v>
      </ns0:c>
      <ns0:c r="N46" s="1" t="n">
        <ns0:v>1</ns0:v>
      </ns0:c>
      <ns0:c r="O46" s="1">
        <ns0:f>SUM(I46:N46)</ns0:f>
        <ns0:v/>
      </ns0:c>
      <ns0:c r="P46" s="1">
        <ns0:f>+O46/G46</ns0:f>
        <ns0:v/>
      </ns0:c>
    </ns0:row>
    <ns0:row r="47" ht="35.25" customHeight="1">
      <ns0:c r="I47" s="1">
        <ns0:f>+I46/G46</ns0:f>
        <ns0:v/>
      </ns0:c>
      <ns0:c r="J47" s="1">
        <ns0:f>+J46/G46</ns0:f>
        <ns0:v/>
      </ns0:c>
      <ns0:c r="K47" s="1">
        <ns0:f>+K46/G46</ns0:f>
        <ns0:v/>
      </ns0:c>
      <ns0:c r="L47" s="1">
        <ns0:f>+L46/G46</ns0:f>
        <ns0:v/>
      </ns0:c>
      <ns0:c r="M47" s="1">
        <ns0:f>+M46/G46</ns0:f>
        <ns0:v/>
      </ns0:c>
      <ns0:c r="N47" s="1">
        <ns0:f>+N46/G46</ns0:f>
        <ns0:v/>
      </ns0:c>
    </ns0:row>
    <ns0:row r="48" ht="35.25" customHeight="1">
      <ns0:c r="E48" s="1" t="inlineStr">
        <ns0:is>
          <ns0:t xml:space="preserve">Normal </ns0:t>
        </ns0:is>
      </ns0:c>
      <ns0:c r="G48" s="1" t="n">
        <ns0:v>900</ns0:v>
      </ns0:c>
      <ns0:c r="H48" s="1">
        <ns0:f>+G48-O48</ns0:f>
        <ns0:v/>
      </ns0:c>
      <ns0:c r="I48" s="1" t="n">
        <ns0:v>0</ns0:v>
      </ns0:c>
      <ns0:c r="J48" s="1" t="n">
        <ns0:v>14</ns0:v>
      </ns0:c>
      <ns0:c r="K48" s="1" t="n">
        <ns0:v>3</ns0:v>
      </ns0:c>
      <ns0:c r="L48" s="1" t="n">
        <ns0:v>0</ns0:v>
      </ns0:c>
      <ns0:c r="M48" s="1" t="n">
        <ns0:v>0</ns0:v>
      </ns0:c>
      <ns0:c r="N48" s="1" t="n">
        <ns0:v>0</ns0:v>
      </ns0:c>
      <ns0:c r="O48" s="1">
        <ns0:f>SUM(I48:N48)</ns0:f>
        <ns0:v/>
      </ns0:c>
      <ns0:c r="P48" s="1">
        <ns0:f>+O48/G48</ns0:f>
        <ns0:v/>
      </ns0:c>
    </ns0:row>
    <ns0:row r="49" ht="35.25" customHeight="1">
      <ns0:c r="I49" s="1">
        <ns0:f>+I48/G48</ns0:f>
        <ns0:v/>
      </ns0:c>
      <ns0:c r="J49" s="1">
        <ns0:f>+J48/G48</ns0:f>
        <ns0:v/>
      </ns0:c>
      <ns0:c r="K49" s="1">
        <ns0:f>+K48/G48</ns0:f>
        <ns0:v/>
      </ns0:c>
      <ns0:c r="L49" s="1">
        <ns0:f>+L48/G48</ns0:f>
        <ns0:v/>
      </ns0:c>
      <ns0:c r="M49" s="1">
        <ns0:f>+M48/G48</ns0:f>
        <ns0:v/>
      </ns0:c>
      <ns0:c r="N49" s="1">
        <ns0:f>+N48/G48</ns0:f>
        <ns0:v/>
      </ns0:c>
    </ns0:row>
    <ns0:row r="50" ht="45" customHeight="1">
      <ns0:c r="C50" s="1" t="inlineStr">
        <ns0:is>
          <ns0:t>5. RESULT CHECKING TENSION F-PCB+SP SPOT WELDING (Module)</ns0:t>
        </ns0:is>
      </ns0:c>
    </ns0:row>
    <ns0:row r="51" ht="45" customHeight="1">
      <ns0:c r="C51" s="1" t="inlineStr">
        <ns0:is>
          <ns0:t>Date</ns0:t>
        </ns0:is>
      </ns0:c>
      <ns0:c r="D51" s="1" t="inlineStr">
        <ns0:is>
          <ns0:t>Line</ns0:t>
        </ns0:is>
      </ns0:c>
      <ns0:c r="E51" s="1" t="inlineStr">
        <ns0:is>
          <ns0:t>Type</ns0:t>
        </ns0:is>
      </ns0:c>
      <ns0:c r="F51" s="1" t="inlineStr">
        <ns0:is>
          <ns0:t>Spec</ns0:t>
        </ns0:is>
      </ns0:c>
      <ns0:c r="G51" s="1" t="inlineStr">
        <ns0:is>
          <ns0:t>Min</ns0:t>
        </ns0:is>
      </ns0:c>
      <ns0:c r="H51" s="1" t="inlineStr">
        <ns0:is>
          <ns0:t>Max</ns0:t>
        </ns0:is>
      </ns0:c>
      <ns0:c r="I51" s="1" t="inlineStr">
        <ns0:is>
          <ns0:t>Avg</ns0:t>
        </ns0:is>
      </ns0:c>
      <ns0:c r="J51" s="1" t="inlineStr">
        <ns0:is>
          <ns0:t>Sample 1</ns0:t>
        </ns0:is>
      </ns0:c>
      <ns0:c r="K51" s="1" t="inlineStr">
        <ns0:is>
          <ns0:t>Sample 2</ns0:t>
        </ns0:is>
      </ns0:c>
      <ns0:c r="L51" s="1" t="inlineStr">
        <ns0:is>
          <ns0:t>Sample 3</ns0:t>
        </ns0:is>
      </ns0:c>
      <ns0:c r="M51" s="1" t="inlineStr">
        <ns0:is>
          <ns0:t>Sample 4</ns0:t>
        </ns0:is>
      </ns0:c>
      <ns0:c r="N51" s="1" t="inlineStr">
        <ns0:is>
          <ns0:t>Sample 5</ns0:t>
        </ns0:is>
      </ns0:c>
      <ns0:c r="O51" s="1" t="inlineStr">
        <ns0:is>
          <ns0:t>Result</ns0:t>
        </ns0:is>
      </ns0:c>
    </ns0:row>
    <ns0:row r="52" ht="45" customHeight="1">
      <ns0:c r="C52" s="2" t="n">
        <ns0:v>45836</ns0:v>
      </ns0:c>
      <ns0:c r="D52" s="1" t="inlineStr">
        <ns0:is>
          <ns0:t>E2-3B</ns0:t>
        </ns0:is>
      </ns0:c>
      <ns0:c r="E52" s="1" t="inlineStr">
        <ns0:is>
          <ns0:t xml:space="preserve">Test </ns0:t>
        </ns0:is>
      </ns0:c>
      <ns0:c r="F52" s="1" t="inlineStr">
        <ns0:is>
          <ns0:t>≥ 1Kgf</ns0:t>
        </ns0:is>
      </ns0:c>
      <ns0:c r="G52" s="1">
        <ns0:f>MIN(J52:N52)</ns0:f>
        <ns0:v/>
      </ns0:c>
      <ns0:c r="H52" s="1">
        <ns0:f>MAX(J52:N52)</ns0:f>
        <ns0:v/>
      </ns0:c>
      <ns0:c r="I52" s="1">
        <ns0:f>AVERAGE(J52:N52)</ns0:f>
        <ns0:v/>
      </ns0:c>
      <ns0:c r="J52" s="1" t="n">
        <ns0:v>1.025</ns0:v>
      </ns0:c>
      <ns0:c r="K52" s="1" t="n">
        <ns0:v>1.212</ns0:v>
      </ns0:c>
      <ns0:c r="L52" s="1" t="n">
        <ns0:v>1.251</ns0:v>
      </ns0:c>
      <ns0:c r="M52" s="1" t="n">
        <ns0:v>1.247</ns0:v>
      </ns0:c>
      <ns0:c r="N52" s="1" t="n">
        <ns0:v>1.043</ns0:v>
      </ns0:c>
      <ns0:c r="O52" s="1" t="inlineStr">
        <ns0:is>
          <ns0:t>Pass</ns0:t>
        </ns0:is>
      </ns0:c>
    </ns0:row>
    <ns0:row r="53" ht="45" customHeight="1">
      <ns0:c r="E53" s="1" t="inlineStr">
        <ns0:is>
          <ns0:t xml:space="preserve">Normal </ns0:t>
        </ns0:is>
      </ns0:c>
      <ns0:c r="G53" s="1">
        <ns0:f>MIN(J53:N53)</ns0:f>
        <ns0:v/>
      </ns0:c>
      <ns0:c r="H53" s="1">
        <ns0:f>MAX(J53:N53)</ns0:f>
        <ns0:v/>
      </ns0:c>
      <ns0:c r="I53" s="1">
        <ns0:f>AVERAGE(J53:N53)</ns0:f>
        <ns0:v/>
      </ns0:c>
      <ns0:c r="J53" s="1" t="n">
        <ns0:v>0.831</ns0:v>
      </ns0:c>
      <ns0:c r="K53" s="1" t="n">
        <ns0:v>1.344</ns0:v>
      </ns0:c>
      <ns0:c r="L53" s="1" t="n">
        <ns0:v>0.8139999999999999</ns0:v>
      </ns0:c>
      <ns0:c r="M53" s="1" t="n">
        <ns0:v>1.26</ns0:v>
      </ns0:c>
      <ns0:c r="N53" s="1" t="n">
        <ns0:v>1.076</ns0:v>
      </ns0:c>
      <ns0:c r="O53" s="1" t="inlineStr">
        <ns0:is>
          <ns0:t>NG</ns0:t>
        </ns0:is>
      </ns0:c>
    </ns0:row>
    <ns0:row r="54" ht="45" customHeight="1"/>
    <ns0:row r="55" ht="42.75" customHeight="1"/>
    <ns0:row r="56" ht="44.25" customHeight="1">
      <ns0:c r="B56" s="1" t="inlineStr">
        <ns0:is>
          <ns0:t>IV. Decision</ns0:t>
        </ns0:is>
      </ns0:c>
    </ns0:row>
    <ns0:row r="57" ht="44.25" customHeight="1">
      <ns0:c r="B57" s="1" t="inlineStr">
        <ns0:is>
          <ns0:t>- Result test in SPK: check spot welding/Tension spot welding/function is same normal</ns0:t>
        </ns0:is>
      </ns0:c>
    </ns0:row>
    <ns0:row r="58" ht="44.25" customHeight="1">
      <ns0:c r="B58" s="1" t="inlineStr">
        <ns0:is>
          <ns0:t>- Result test in module line:  check function + Tension spot welding is same normal</ns0:t>
        </ns0:is>
      </ns0:c>
    </ns0:row>
    <ns0:row r="59" ht="44.25" customHeight="1">
      <ns0:c r="B59" s="1">
        <ns0:f>&gt; Lot test can use</ns0:f>
        <ns0:v/>
      </ns0:c>
    </ns0:row>
    <ns0:row r="60" ht="41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U123"/>
  <ns0:sheetViews>
    <ns0:sheetView workbookViewId="0">
      <ns0:selection activeCell="A1" sqref="A1"/>
    </ns0:sheetView>
  </ns0:sheetViews>
  <ns0:sheetFormatPr baseColWidth="8" defaultRowHeight="15"/>
  <ns0:cols>
    <ns0:col width="3.5" customWidth="1" min="1" max="1"/>
    <ns0:col width="12.13" customWidth="1" min="2" max="2"/>
    <ns0:col width="21" customWidth="1" min="3" max="3"/>
    <ns0:col width="16.5" customWidth="1" min="4" max="4"/>
    <ns0:col width="40.13" customWidth="1" min="5" max="5"/>
    <ns0:col width="22.5" customWidth="1" min="6" max="6"/>
    <ns0:col width="16" customWidth="1" min="7" max="7"/>
    <ns0:col width="18.38" customWidth="1" min="8" max="8"/>
    <ns0:col width="23.38" customWidth="1" min="9" max="9"/>
    <ns0:col width="29.38" customWidth="1" min="10" max="10"/>
    <ns0:col width="23.38" customWidth="1" min="11" max="11"/>
    <ns0:col width="23.38" customWidth="1" min="12" max="12"/>
    <ns0:col width="23.38" customWidth="1" min="13" max="13"/>
    <ns0:col width="23.38" customWidth="1" min="14" max="14"/>
    <ns0:col width="23.38" customWidth="1" min="15" max="15"/>
    <ns0:col width="23.38" customWidth="1" min="16" max="16"/>
    <ns0:col width="23.38" customWidth="1" min="17" max="17"/>
    <ns0:col width="22.25" customWidth="1" min="18" max="18"/>
    <ns0:col width="20.2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  <ns0:col width="8.5" customWidth="1" min="68" max="68"/>
    <ns0:col width="8.5" customWidth="1" min="69" max="69"/>
    <ns0:col width="8.5" customWidth="1" min="70" max="70"/>
    <ns0:col width="8.5" customWidth="1" min="71" max="71"/>
    <ns0:col width="8.5" customWidth="1" min="72" max="72"/>
    <ns0:col width="8.5" customWidth="1" min="73" max="73"/>
    <ns0:col width="8.5" customWidth="1" min="74" max="74"/>
    <ns0:col width="8.5" customWidth="1" min="75" max="75"/>
    <ns0:col width="8.5" customWidth="1" min="76" max="76"/>
    <ns0:col width="8.5" customWidth="1" min="77" max="77"/>
    <ns0:col width="8.5" customWidth="1" min="78" max="78"/>
    <ns0:col width="8.5" customWidth="1" min="79" max="79"/>
    <ns0:col width="8.5" customWidth="1" min="80" max="80"/>
    <ns0:col width="8.5" customWidth="1" min="81" max="81"/>
    <ns0:col width="8.5" customWidth="1" min="82" max="82"/>
    <ns0:col width="8.5" customWidth="1" min="83" max="83"/>
    <ns0:col width="8.5" customWidth="1" min="84" max="84"/>
    <ns0:col width="8.5" customWidth="1" min="85" max="85"/>
    <ns0:col width="8.5" customWidth="1" min="86" max="86"/>
    <ns0:col width="8.5" customWidth="1" min="87" max="87"/>
    <ns0:col width="8.5" customWidth="1" min="88" max="88"/>
    <ns0:col width="8.5" customWidth="1" min="89" max="89"/>
    <ns0:col width="8.5" customWidth="1" min="90" max="90"/>
    <ns0:col width="8.5" customWidth="1" min="91" max="91"/>
    <ns0:col width="8.5" customWidth="1" min="92" max="92"/>
    <ns0:col width="8.5" customWidth="1" min="93" max="93"/>
    <ns0:col width="8.5" customWidth="1" min="94" max="94"/>
    <ns0:col width="8.5" customWidth="1" min="95" max="95"/>
    <ns0:col width="8.5" customWidth="1" min="96" max="96"/>
    <ns0:col width="8.5" customWidth="1" min="97" max="97"/>
    <ns0:col width="8.5" customWidth="1" min="98" max="98"/>
    <ns0:col width="8.5" customWidth="1" min="99" max="99"/>
    <ns0:col width="8.5" customWidth="1" min="100" max="100"/>
    <ns0:col width="8.5" customWidth="1" min="101" max="101"/>
    <ns0:col width="8.5" customWidth="1" min="102" max="102"/>
    <ns0:col width="8.5" customWidth="1" min="103" max="103"/>
    <ns0:col width="8.5" customWidth="1" min="104" max="104"/>
    <ns0:col width="8.5" customWidth="1" min="105" max="105"/>
    <ns0:col width="8.5" customWidth="1" min="106" max="106"/>
    <ns0:col width="8.5" customWidth="1" min="107" max="107"/>
    <ns0:col width="8.5" customWidth="1" min="108" max="108"/>
    <ns0:col width="8.5" customWidth="1" min="109" max="109"/>
    <ns0:col width="8.5" customWidth="1" min="110" max="110"/>
    <ns0:col width="8.5" customWidth="1" min="111" max="111"/>
    <ns0:col width="8.5" customWidth="1" min="112" max="112"/>
    <ns0:col width="8.5" customWidth="1" min="113" max="113"/>
    <ns0:col width="8.5" customWidth="1" min="114" max="114"/>
    <ns0:col width="8.5" customWidth="1" min="115" max="115"/>
    <ns0:col width="8.5" customWidth="1" min="116" max="116"/>
    <ns0:col width="8.5" customWidth="1" min="117" max="117"/>
    <ns0:col width="8.5" customWidth="1" min="118" max="118"/>
    <ns0:col width="8.5" customWidth="1" min="119" max="119"/>
    <ns0:col width="8.5" customWidth="1" min="120" max="120"/>
    <ns0:col width="8.5" customWidth="1" min="121" max="121"/>
    <ns0:col width="8.5" customWidth="1" min="122" max="122"/>
    <ns0:col width="8.5" customWidth="1" min="123" max="123"/>
    <ns0:col width="8.5" customWidth="1" min="124" max="124"/>
    <ns0:col width="8.5" customWidth="1" min="125" max="125"/>
    <ns0:col width="8.5" customWidth="1" min="126" max="126"/>
    <ns0:col width="8.5" customWidth="1" min="127" max="127"/>
    <ns0:col width="8.5" customWidth="1" min="128" max="128"/>
    <ns0:col width="8.5" customWidth="1" min="129" max="129"/>
    <ns0:col width="8.5" customWidth="1" min="130" max="130"/>
    <ns0:col width="8.5" customWidth="1" min="131" max="131"/>
    <ns0:col width="8.5" customWidth="1" min="132" max="132"/>
  </ns0:cols>
  <ns0:sheetData>
    <ns0:row r="1" ht="21" customHeight="1"/>
    <ns0:row r="2" ht="28" customHeight="1">
      <ns0:c r="B2" t="inlineStr">
        <ns0:is>
          <ns0:t>TITLE</ns0:t>
        </ns0:is>
      </ns0:c>
      <ns0:c r="D2" t="inlineStr">
        <ns0:is>
          <ns0:t>REPORT ANALYZE NG FUNCTION MODEL BRS-161014</ns0:t>
        </ns0:is>
      </ns0:c>
      <ns0:c r="R2" t="inlineStr">
        <ns0:is>
          <ns0:t>Dept</ns0:t>
        </ns0:is>
      </ns0:c>
      <ns0:c r="S2" t="inlineStr">
        <ns0:is>
          <ns0:t>ME</ns0:t>
        </ns0:is>
      </ns0:c>
    </ns0:row>
    <ns0:row r="3" ht="28" customHeight="1">
      <ns0:c r="R3" t="inlineStr">
        <ns0:is>
          <ns0:t>Date</ns0:t>
        </ns0:is>
      </ns0:c>
      <ns0:c r="S3" s="3" t="n">
        <ns0:v>45835</ns0:v>
      </ns0:c>
    </ns0:row>
    <ns0:row r="4" ht="28" customHeight="1">
      <ns0:c r="R4" t="inlineStr">
        <ns0:is>
          <ns0:t>Maker</ns0:t>
        </ns0:is>
      </ns0:c>
      <ns0:c r="S4" t="inlineStr">
        <ns0:is>
          <ns0:t>HA</ns0:t>
        </ns0:is>
      </ns0:c>
    </ns0:row>
    <ns0:row r="5" ht="28" customHeight="1">
      <ns0:c r="B5" t="inlineStr">
        <ns0:is>
          <ns0:t>1. Problem</ns0:t>
        </ns0:is>
      </ns0:c>
    </ns0:row>
    <ns0:row r="6" ht="28" customHeight="1">
      <ns0:c r="B6" t="inlineStr">
        <ns0:is>
          <ns0:t>-NG function BRS-161014 lot test suspension -D changing tin supplier of CSY tech vina</ns0:t>
        </ns0:is>
      </ns0:c>
    </ns0:row>
    <ns0:row r="7" ht="28" customHeight="1">
      <ns0:c r="B7" t="inlineStr">
        <ns0:is>
          <ns0:t xml:space="preserve">2. Result NG </ns0:t>
        </ns0:is>
      </ns0:c>
    </ns0:row>
    <ns0:row r="8" ht="28" customHeight="1">
      <ns0:c r="B8" t="inlineStr">
        <ns0:is>
          <ns0:t>- Type total function NG  : 17pcs</ns0:t>
        </ns0:is>
      </ns0:c>
    </ns0:row>
    <ns0:row r="9" ht="23.25" customHeight="1"/>
    <ns0:row r="10" ht="23.25" customHeight="1"/>
    <ns0:row r="11" ht="24" customHeight="1">
      <ns0:c r="B11" t="inlineStr">
        <ns0:is>
          <ns0:t>3. Result analysis NG Function</ns0:t>
        </ns0:is>
      </ns0:c>
    </ns0:row>
    <ns0:row r="12" ht="20.25" customHeight="1">
      <ns0:c r="B12" t="inlineStr">
        <ns0:is>
          <ns0:t xml:space="preserve">- Data analysis </ns0:t>
        </ns0:is>
      </ns0:c>
      <ns0:c r="U12" t="inlineStr">
        <ns0:is>
          <ns0:t>No</ns0:t>
        </ns0:is>
      </ns0:c>
    </ns0:row>
    <ns0:row r="13" ht="20.25" customHeight="1"/>
    <ns0:row r="14" ht="22.75" customHeight="1">
      <ns0:c r="B14" t="inlineStr">
        <ns0:is>
          <ns0:t xml:space="preserve">            NG Hearing Noise </ns0:t>
        </ns0:is>
      </ns0:c>
    </ns0:row>
    <ns0:row r="15" ht="22.75" customHeight="1">
      <ns0:c r="C15" t="inlineStr">
        <ns0:is>
          <ns0:t>TYPE</ns0:t>
        </ns0:is>
      </ns0:c>
      <ns0:c r="F15" t="inlineStr">
        <ns0:is>
          <ns0:t>Total</ns0:t>
        </ns0:is>
      </ns0:c>
      <ns0:c r="G15" t="inlineStr">
        <ns0:is>
          <ns0:t>Q'ty</ns0:t>
        </ns0:is>
      </ns0:c>
      <ns0:c r="H15" t="inlineStr">
        <ns0:is>
          <ns0:t>Portion</ns0:t>
        </ns0:is>
      </ns0:c>
      <ns0:c r="I15" t="inlineStr">
        <ns0:is>
          <ns0:t>Decap reason</ns0:t>
        </ns0:is>
      </ns0:c>
    </ns0:row>
    <ns0:row r="16" ht="24" customHeight="1">
      <ns0:c r="C16" t="inlineStr">
        <ns0:is>
          <ns0:t>Fr + Vp Separate</ns0:t>
        </ns0:is>
      </ns0:c>
      <ns0:c r="F16">
        <ns0:f>SUM(G16:G96)</ns0:f>
        <ns0:v/>
      </ns0:c>
      <ns0:c r="G16" t="n">
        <ns0:v>1</ns0:v>
      </ns0:c>
      <ns0:c r="H16">
        <ns0:f>G16/F16</ns0:f>
        <ns0:v/>
      </ns0:c>
    </ns0:row>
    <ns0:row r="17" ht="24" customHeight="1"/>
    <ns0:row r="18" ht="24" customHeight="1"/>
    <ns0:row r="19" ht="24" customHeight="1"/>
    <ns0:row r="20" ht="24" customHeight="1"/>
    <ns0:row r="21" ht="24" customHeight="1"/>
    <ns0:row r="22" ht="24" customHeight="1"/>
    <ns0:row r="23" ht="24" customHeight="1"/>
    <ns0:row r="24" ht="24" customHeight="1"/>
    <ns0:row r="25" ht="24" customHeight="1">
      <ns0:c r="C25" t="inlineStr">
        <ns0:is>
          <ns0:t>Fr +Yoke offset</ns0:t>
        </ns0:is>
      </ns0:c>
      <ns0:c r="G25" t="n">
        <ns0:v>2</ns0:v>
      </ns0:c>
      <ns0:c r="H25">
        <ns0:f>G25/F16</ns0:f>
        <ns0:v/>
      </ns0:c>
    </ns0:row>
    <ns0:row r="26" ht="24" customHeight="1"/>
    <ns0:row r="27" ht="24" customHeight="1"/>
    <ns0:row r="28" ht="24" customHeight="1"/>
    <ns0:row r="29" ht="24" customHeight="1"/>
    <ns0:row r="30" ht="24" customHeight="1"/>
    <ns0:row r="31" ht="24" customHeight="1"/>
    <ns0:row r="32" ht="24" customHeight="1"/>
    <ns0:row r="33" ht="24" customHeight="1"/>
    <ns0:row r="34" ht="24" customHeight="1">
      <ns0:c r="C34" t="inlineStr">
        <ns0:is>
          <ns0:t>Particle</ns0:t>
        </ns0:is>
      </ns0:c>
      <ns0:c r="G34" t="n">
        <ns0:v>2</ns0:v>
      </ns0:c>
      <ns0:c r="H34">
        <ns0:f>G34/F16</ns0:f>
        <ns0:v/>
      </ns0:c>
    </ns0:row>
    <ns0:row r="35" ht="24" customHeight="1"/>
    <ns0:row r="36" ht="24" customHeight="1"/>
    <ns0:row r="37" ht="24" customHeight="1"/>
    <ns0:row r="38" ht="24" customHeight="1"/>
    <ns0:row r="39" ht="24" customHeight="1"/>
    <ns0:row r="40" ht="24" customHeight="1"/>
    <ns0:row r="41" ht="24" customHeight="1"/>
    <ns0:row r="42" ht="24" customHeight="1"/>
    <ns0:row r="43" ht="24" customHeight="1">
      <ns0:c r="C43" t="inlineStr">
        <ns0:is>
          <ns0:t>Sp Bending</ns0:t>
        </ns0:is>
      </ns0:c>
      <ns0:c r="G43" t="n">
        <ns0:v>4</ns0:v>
      </ns0:c>
      <ns0:c r="H43">
        <ns0:f>G43/F16</ns0:f>
        <ns0:v/>
      </ns0:c>
    </ns0:row>
    <ns0:row r="44" ht="24" customHeight="1"/>
    <ns0:row r="45" ht="24" customHeight="1"/>
    <ns0:row r="46" ht="24" customHeight="1"/>
    <ns0:row r="47" ht="24" customHeight="1"/>
    <ns0:row r="48" ht="24" customHeight="1"/>
    <ns0:row r="49" ht="24" customHeight="1"/>
    <ns0:row r="50" ht="24" customHeight="1"/>
    <ns0:row r="51" ht="24" customHeight="1"/>
    <ns0:row r="52" ht="24" customHeight="1">
      <ns0:c r="C52" t="inlineStr">
        <ns0:is>
          <ns0:t>Coil Damage</ns0:t>
        </ns0:is>
      </ns0:c>
      <ns0:c r="G52" t="n">
        <ns0:v>1</ns0:v>
      </ns0:c>
      <ns0:c r="H52">
        <ns0:f>G52/F16</ns0:f>
        <ns0:v/>
      </ns0:c>
    </ns0:row>
    <ns0:row r="53" ht="24" customHeight="1"/>
    <ns0:row r="54" ht="24" customHeight="1"/>
    <ns0:row r="55" ht="24" customHeight="1"/>
    <ns0:row r="56" ht="24" customHeight="1"/>
    <ns0:row r="57" ht="24" customHeight="1"/>
    <ns0:row r="58" ht="24" customHeight="1"/>
    <ns0:row r="59" ht="24" customHeight="1"/>
    <ns0:row r="60" ht="24" customHeight="1"/>
    <ns0:row r="61" ht="24" customHeight="1">
      <ns0:c r="C61" t="inlineStr">
        <ns0:is>
          <ns0:t>Glue Clots</ns0:t>
        </ns0:is>
      </ns0:c>
      <ns0:c r="G61" t="n">
        <ns0:v>3</ns0:v>
      </ns0:c>
      <ns0:c r="H61">
        <ns0:f>G61/F16</ns0:f>
        <ns0:v/>
      </ns0:c>
    </ns0:row>
    <ns0:row r="62" ht="24" customHeight="1"/>
    <ns0:row r="63" ht="24" customHeight="1"/>
    <ns0:row r="64" ht="24" customHeight="1"/>
    <ns0:row r="65" ht="24" customHeight="1"/>
    <ns0:row r="66" ht="24" customHeight="1"/>
    <ns0:row r="67" ht="24" customHeight="1"/>
    <ns0:row r="68" ht="24" customHeight="1"/>
    <ns0:row r="69" ht="24" customHeight="1"/>
    <ns0:row r="70" ht="24" customHeight="1">
      <ns0:c r="C70" t="inlineStr">
        <ns0:is>
          <ns0:t>CM Offset</ns0:t>
        </ns0:is>
      </ns0:c>
      <ns0:c r="G70" t="n">
        <ns0:v>1</ns0:v>
      </ns0:c>
      <ns0:c r="H70">
        <ns0:f>G70/F16</ns0:f>
        <ns0:v/>
      </ns0:c>
    </ns0:row>
    <ns0:row r="71" ht="24" customHeight="1"/>
    <ns0:row r="72" ht="24" customHeight="1"/>
    <ns0:row r="73" ht="24" customHeight="1"/>
    <ns0:row r="74" ht="24" customHeight="1"/>
    <ns0:row r="75" ht="24" customHeight="1"/>
    <ns0:row r="76" ht="24" customHeight="1"/>
    <ns0:row r="77" ht="24" customHeight="1"/>
    <ns0:row r="78" ht="24" customHeight="1"/>
    <ns0:row r="79" ht="24" customHeight="1">
      <ns0:c r="C79" t="inlineStr">
        <ns0:is>
          <ns0:t>VP damage</ns0:t>
        </ns0:is>
      </ns0:c>
      <ns0:c r="G79" t="n">
        <ns0:v>1</ns0:v>
      </ns0:c>
      <ns0:c r="H79">
        <ns0:f>G79/F16</ns0:f>
        <ns0:v/>
      </ns0:c>
    </ns0:row>
    <ns0:row r="80" ht="24" customHeight="1"/>
    <ns0:row r="81" ht="24" customHeight="1"/>
    <ns0:row r="82" ht="24" customHeight="1"/>
    <ns0:row r="83" ht="24" customHeight="1"/>
    <ns0:row r="84" ht="24" customHeight="1"/>
    <ns0:row r="85" ht="24" customHeight="1"/>
    <ns0:row r="86" ht="24" customHeight="1"/>
    <ns0:row r="87" ht="24" customHeight="1"/>
    <ns0:row r="88" ht="24" customHeight="1">
      <ns0:c r="C88" t="inlineStr">
        <ns0:is>
          <ns0:t>Don’t know reason</ns0:t>
        </ns0:is>
      </ns0:c>
      <ns0:c r="G88" t="n">
        <ns0:v>2</ns0:v>
      </ns0:c>
      <ns0:c r="H88">
        <ns0:f>G88/F16</ns0:f>
        <ns0:v/>
      </ns0:c>
    </ns0:row>
    <ns0:row r="89" ht="24" customHeight="1"/>
    <ns0:row r="90" ht="24" customHeight="1"/>
    <ns0:row r="91" ht="24" customHeight="1"/>
    <ns0:row r="92" ht="24" customHeight="1"/>
    <ns0:row r="93" ht="24" customHeight="1"/>
    <ns0:row r="94" ht="24" customHeight="1"/>
    <ns0:row r="95" ht="24" customHeight="1"/>
    <ns0:row r="96" ht="24" customHeight="1"/>
    <ns0:row r="97" ht="22.75" customHeight="1"/>
    <ns0:row r="98" ht="20.25" customHeight="1">
      <ns0:c r="B98" t="inlineStr">
        <ns0:is>
          <ns0:t>4. DECISION</ns0:t>
        </ns0:is>
      </ns0:c>
    </ns0:row>
    <ns0:row r="99" ht="20.25" customHeight="1"/>
    <ns0:row r="100" ht="20.25" customHeight="1"/>
    <ns0:row r="101" ht="21" customHeight="1"/>
    <ns0:row r="102" ht="20.25" customHeight="1"/>
    <ns0:row r="103" ht="41.25" customHeight="1"/>
    <ns0:row r="104" ht="37.5" customHeight="1">
      <ns0:c r="D104" t="inlineStr">
        <ns0:is>
          <ns0:t>RESULT ANALYSE NG HEARING OF BRS 161014</ns0:t>
        </ns0:is>
      </ns0:c>
    </ns0:row>
    <ns0:row r="105" ht="37.5" customHeight="1">
      <ns0:c r="D105" t="inlineStr">
        <ns0:is>
          <ns0:t>No</ns0:t>
        </ns0:is>
      </ns0:c>
      <ns0:c r="E105" t="inlineStr">
        <ns0:is>
          <ns0:t>Reason NG</ns0:t>
        </ns0:is>
      </ns0:c>
      <ns0:c r="F105" t="inlineStr">
        <ns0:is>
          <ns0:t>Q'ty analyse</ns0:t>
        </ns0:is>
      </ns0:c>
      <ns0:c r="G105" t="inlineStr">
        <ns0:is>
          <ns0:t>Q'ty NG</ns0:t>
        </ns0:is>
      </ns0:c>
      <ns0:c r="H105" t="inlineStr">
        <ns0:is>
          <ns0:t>NG rate</ns0:t>
        </ns0:is>
      </ns0:c>
      <ns0:c r="I105" t="inlineStr">
        <ns0:is>
          <ns0:t>Portion</ns0:t>
        </ns0:is>
      </ns0:c>
      <ns0:c r="J105" t="inlineStr">
        <ns0:is>
          <ns0:t>Note</ns0:t>
        </ns0:is>
      </ns0:c>
    </ns0:row>
    <ns0:row r="106" ht="37.5" customHeight="1"/>
    <ns0:row r="107" ht="29.25" customHeight="1">
      <ns0:c r="D107" t="n">
        <ns0:v>1</ns0:v>
      </ns0:c>
      <ns0:c r="E107">
        <ns0:f>C16</ns0:f>
        <ns0:v/>
      </ns0:c>
      <ns0:c r="F107">
        <ns0:f>SUM(G107:G115)</ns0:f>
        <ns0:v/>
      </ns0:c>
      <ns0:c r="G107">
        <ns0:f>G16</ns0:f>
        <ns0:v/>
      </ns0:c>
      <ns0:c r="H107">
        <ns0:f>G107/F107</ns0:f>
        <ns0:v/>
      </ns0:c>
      <ns0:c r="I107">
        <ns0:f>H107</ns0:f>
        <ns0:v/>
      </ns0:c>
    </ns0:row>
    <ns0:row r="108" ht="29.25" customHeight="1">
      <ns0:c r="D108" t="n">
        <ns0:v>2</ns0:v>
      </ns0:c>
      <ns0:c r="E108">
        <ns0:f>C25</ns0:f>
        <ns0:v/>
      </ns0:c>
      <ns0:c r="G108">
        <ns0:f>G25</ns0:f>
        <ns0:v/>
      </ns0:c>
      <ns0:c r="H108">
        <ns0:f>G108/F107</ns0:f>
        <ns0:v/>
      </ns0:c>
      <ns0:c r="I108">
        <ns0:f>H108</ns0:f>
        <ns0:v/>
      </ns0:c>
    </ns0:row>
    <ns0:row r="109" ht="29.25" customHeight="1">
      <ns0:c r="D109" t="n">
        <ns0:v>3</ns0:v>
      </ns0:c>
      <ns0:c r="E109">
        <ns0:f>C34</ns0:f>
        <ns0:v/>
      </ns0:c>
      <ns0:c r="G109">
        <ns0:f>G34</ns0:f>
        <ns0:v/>
      </ns0:c>
      <ns0:c r="H109">
        <ns0:f>G109/F107</ns0:f>
        <ns0:v/>
      </ns0:c>
      <ns0:c r="I109">
        <ns0:f>H109</ns0:f>
        <ns0:v/>
      </ns0:c>
    </ns0:row>
    <ns0:row r="110" ht="29.25" customHeight="1">
      <ns0:c r="D110" t="n">
        <ns0:v>4</ns0:v>
      </ns0:c>
      <ns0:c r="E110">
        <ns0:f>C43</ns0:f>
        <ns0:v/>
      </ns0:c>
      <ns0:c r="G110">
        <ns0:f>G43</ns0:f>
        <ns0:v/>
      </ns0:c>
      <ns0:c r="H110">
        <ns0:f>G110/F107</ns0:f>
        <ns0:v/>
      </ns0:c>
      <ns0:c r="I110">
        <ns0:f>H110</ns0:f>
        <ns0:v/>
      </ns0:c>
    </ns0:row>
    <ns0:row r="111" ht="29.25" customHeight="1">
      <ns0:c r="D111" t="n">
        <ns0:v>5</ns0:v>
      </ns0:c>
      <ns0:c r="E111">
        <ns0:f>C52</ns0:f>
        <ns0:v/>
      </ns0:c>
      <ns0:c r="G111">
        <ns0:f>G52</ns0:f>
        <ns0:v/>
      </ns0:c>
      <ns0:c r="H111">
        <ns0:f>G111/F107</ns0:f>
        <ns0:v/>
      </ns0:c>
      <ns0:c r="I111">
        <ns0:f>H111</ns0:f>
        <ns0:v/>
      </ns0:c>
    </ns0:row>
    <ns0:row r="112" ht="29.25" customHeight="1">
      <ns0:c r="D112" t="n">
        <ns0:v>6</ns0:v>
      </ns0:c>
      <ns0:c r="E112">
        <ns0:f>C61</ns0:f>
        <ns0:v/>
      </ns0:c>
      <ns0:c r="G112">
        <ns0:f>G61</ns0:f>
        <ns0:v/>
      </ns0:c>
      <ns0:c r="H112">
        <ns0:f>G112/F107</ns0:f>
        <ns0:v/>
      </ns0:c>
      <ns0:c r="I112">
        <ns0:f>H112</ns0:f>
        <ns0:v/>
      </ns0:c>
    </ns0:row>
    <ns0:row r="113" ht="29.25" customHeight="1">
      <ns0:c r="D113" t="n">
        <ns0:v>7</ns0:v>
      </ns0:c>
      <ns0:c r="E113">
        <ns0:f>C70</ns0:f>
        <ns0:v/>
      </ns0:c>
      <ns0:c r="G113">
        <ns0:f>G70</ns0:f>
        <ns0:v/>
      </ns0:c>
      <ns0:c r="H113">
        <ns0:f>G113/F107</ns0:f>
        <ns0:v/>
      </ns0:c>
      <ns0:c r="I113">
        <ns0:f>H113</ns0:f>
        <ns0:v/>
      </ns0:c>
    </ns0:row>
    <ns0:row r="114" ht="29.25" customHeight="1">
      <ns0:c r="D114" t="n">
        <ns0:v>8</ns0:v>
      </ns0:c>
      <ns0:c r="E114">
        <ns0:f>C79</ns0:f>
        <ns0:v/>
      </ns0:c>
      <ns0:c r="G114">
        <ns0:f>G79</ns0:f>
        <ns0:v/>
      </ns0:c>
      <ns0:c r="H114">
        <ns0:f>G114/F107</ns0:f>
        <ns0:v/>
      </ns0:c>
      <ns0:c r="I114">
        <ns0:f>H114</ns0:f>
        <ns0:v/>
      </ns0:c>
    </ns0:row>
    <ns0:row r="115" ht="29.25" customHeight="1">
      <ns0:c r="D115" t="n">
        <ns0:v>9</ns0:v>
      </ns0:c>
      <ns0:c r="E115" t="inlineStr">
        <ns0:is>
          <ns0:t>Don't know reason</ns0:t>
        </ns0:is>
      </ns0:c>
      <ns0:c r="G115">
        <ns0:f>G88</ns0:f>
        <ns0:v/>
      </ns0:c>
      <ns0:c r="H115">
        <ns0:f>G115/F107</ns0:f>
        <ns0:v/>
      </ns0:c>
      <ns0:c r="I115">
        <ns0:f>H115</ns0:f>
        <ns0:v/>
      </ns0:c>
    </ns0:row>
    <ns0:row r="116" ht="20.25" customHeight="1"/>
    <ns0:row r="117" ht="20.25" customHeight="1"/>
    <ns0:row r="118" ht="20.25" customHeight="1"/>
    <ns0:row r="119" ht="20.25" customHeight="1"/>
    <ns0:row r="120" ht="20.25" customHeight="1"/>
    <ns0:row r="121" ht="20.25" customHeight="1"/>
    <ns0:row r="122" ht="20.25" customHeight="1"/>
    <ns0:row r="123" ht="20.25" customHeight="1">
      <ns0:c r="E123" t="inlineStr">
        <ns0:is>
          <ns0:t>.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2026-05-12T08:08:44Z</dcterms:created>
  <dcterms:modified xsi:type="dcterms:W3CDTF">2026-05-12T08:10:45Z</dcterms:modified>
</cp:coreProperties>
</file>