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Frame" sheetId="2" state="visible" r:id="rId2"/>
    <sheet name="Test ED follow mold" sheetId="3" state="visible" r:id="rId3"/>
    <sheet name="Test bonding line" sheetId="4" state="visible" r:id="rId4"/>
    <sheet name="Test VP+CD C2" sheetId="5" state="visible" r:id="rId5"/>
    <sheet name="JIG AWF" sheetId="6" state="visible" r:id="rId6"/>
    <sheet name="Check coil" sheetId="7" state="visible" r:id="rId7"/>
    <sheet name="Check fr+yk offset" sheetId="8" state="visible" r:id="rId8"/>
    <sheet name="Check yoke class" sheetId="9" state="visible" r:id="rId9"/>
    <sheet name="Sheet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맑은 고딕"/>
      <sz val="16"/>
    </font>
    <font>
      <sz val="16"/>
    </font>
    <font>
      <name val="Times New Roman"/>
    </font>
    <font>
      <name val="Times New Roman"/>
      <sz val="16"/>
    </font>
  </fonts>
  <fills count="4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I13"/>
  <ns0:sheetViews>
    <ns0:sheetView workbookViewId="0">
      <ns0:selection activeCell="A1" sqref="A1"/>
    </ns0:sheetView>
  </ns0:sheetViews>
  <ns0:sheetFormatPr baseColWidth="8" defaultRowHeight="15"/>
  <ns0:cols>
    <ns0:col width="12.5" customWidth="1" min="2" max="2"/>
    <ns0:col width="41.13" customWidth="1" min="3" max="3"/>
    <ns0:col width="20.13" customWidth="1" min="4" max="4"/>
    <ns0:col width="20.13" customWidth="1" min="5" max="5"/>
    <ns0:col width="20.13" customWidth="1" min="6" max="6"/>
    <ns0:col width="20.13" customWidth="1" min="7" max="7"/>
    <ns0:col width="21.5" customWidth="1" min="8" max="8"/>
    <ns0:col width="18.63" customWidth="1" min="9" max="9"/>
  </ns0:cols>
  <ns0:sheetData>
    <ns0:row r="2" ht="33" customHeight="1">
      <ns0:c r="B2" s="1" t="inlineStr">
        <ns0:is>
          <ns0:t>No</ns0:t>
        </ns0:is>
      </ns0:c>
      <ns0:c r="C2" s="1" t="inlineStr">
        <ns0:is>
          <ns0:t>Items</ns0:t>
        </ns0:is>
      </ns0:c>
      <ns0:c r="D2" s="1" t="inlineStr">
        <ns0:is>
          <ns0:t>SPK</ns0:t>
        </ns0:is>
      </ns0:c>
      <ns0:c r="F2" s="1" t="inlineStr">
        <ns0:is>
          <ns0:t>Module line</ns0:t>
        </ns0:is>
      </ns0:c>
      <ns0:c r="H2" s="1" t="inlineStr">
        <ns0:is>
          <ns0:t>Note</ns0:t>
        </ns0:is>
      </ns0:c>
      <ns0:c r="I2" s="1" t="inlineStr">
        <ns0:is>
          <ns0:t>Apply</ns0:t>
        </ns0:is>
      </ns0:c>
    </ns0:row>
    <ns0:row r="3" ht="33" customHeight="1">
      <ns0:c r="D3" s="1" t="inlineStr">
        <ns0:is>
          <ns0:t>Before</ns0:t>
        </ns0:is>
      </ns0:c>
      <ns0:c r="E3" s="1" t="inlineStr">
        <ns0:is>
          <ns0:t>After</ns0:t>
        </ns0:is>
      </ns0:c>
      <ns0:c r="F3" s="1" t="inlineStr">
        <ns0:is>
          <ns0:t>Before</ns0:t>
        </ns0:is>
      </ns0:c>
      <ns0:c r="G3" s="1" t="inlineStr">
        <ns0:is>
          <ns0:t>After</ns0:t>
        </ns0:is>
      </ns0:c>
    </ns0:row>
    <ns0:row r="4" ht="33" customHeight="1">
      <ns0:c r="B4" s="1" t="n">
        <ns0:v>1</ns0:v>
      </ns0:c>
      <ns0:c r="C4" s="1" t="inlineStr">
        <ns0:is>
          <ns0:t>Check AOI Coil</ns0:t>
        </ns0:is>
      </ns0:c>
      <ns0:c r="D4" s="1" t="n">
        <ns0:v>0.004</ns0:v>
      </ns0:c>
      <ns0:c r="E4" s="1" t="n">
        <ns0:v>0.0042</ns0:v>
      </ns0:c>
      <ns0:c r="H4" s="1" t="inlineStr">
        <ns0:is>
          <ns0:t xml:space="preserve">NG same </ns0:t>
        </ns0:is>
      </ns0:c>
    </ns0:row>
    <ns0:row r="5" ht="33" customHeight="1">
      <ns0:c r="B5" s="1" t="n">
        <ns0:v>2</ns0:v>
      </ns0:c>
      <ns0:c r="C5" s="1" t="inlineStr">
        <ns0:is>
          <ns0:t>Check AWF machine</ns0:t>
        </ns0:is>
      </ns0:c>
      <ns0:c r="D5" s="1" t="n">
        <ns0:v>0.035</ns0:v>
      </ns0:c>
      <ns0:c r="E5" s="1" t="n">
        <ns0:v>0.02</ns0:v>
      </ns0:c>
      <ns0:c r="H5" s="1" t="inlineStr">
        <ns0:is>
          <ns0:t>NG reduce</ns0:t>
        </ns0:is>
      </ns0:c>
      <ns0:c r="I5" s="1" t="inlineStr">
        <ns0:is>
          <ns0:t>Apply</ns0:t>
        </ns0:is>
      </ns0:c>
    </ns0:row>
    <ns0:row r="6" ht="33" customHeight="1">
      <ns0:c r="B6" s="1" t="n">
        <ns0:v>3</ns0:v>
      </ns0:c>
      <ns0:c r="C6" s="1" t="inlineStr">
        <ns0:is>
          <ns0:t>New JIG AWF</ns0:t>
        </ns0:is>
      </ns0:c>
      <ns0:c r="D6" s="1" t="n">
        <ns0:v>0.034</ns0:v>
      </ns0:c>
      <ns0:c r="E6" s="1" t="n">
        <ns0:v>0.033</ns0:v>
      </ns0:c>
      <ns0:c r="H6" s="1" t="inlineStr">
        <ns0:is>
          <ns0:t xml:space="preserve">NG same </ns0:t>
        </ns0:is>
      </ns0:c>
      <ns0:c r="I6" s="1" t="inlineStr">
        <ns0:is>
          <ns0:t>Apply</ns0:t>
        </ns0:is>
      </ns0:c>
    </ns0:row>
    <ns0:row r="7" ht="33" customHeight="1">
      <ns0:c r="B7" s="1" t="n">
        <ns0:v>4</ns0:v>
      </ns0:c>
      <ns0:c r="C7" s="1" t="inlineStr">
        <ns0:is>
          <ns0:t>Yoke offset</ns0:t>
        </ns0:is>
      </ns0:c>
      <ns0:c r="D7" s="1" t="n">
        <ns0:v>0.05</ns0:v>
      </ns0:c>
      <ns0:c r="E7" s="1" t="n">
        <ns0:v>0.003</ns0:v>
      </ns0:c>
      <ns0:c r="H7" s="1" t="inlineStr">
        <ns0:is>
          <ns0:t>NG reduce</ns0:t>
        </ns0:is>
      </ns0:c>
      <ns0:c r="I7" s="2" t="inlineStr">
        <ns0:is>
          <ns0:t>Apply</ns0:t>
        </ns0:is>
      </ns0:c>
    </ns0:row>
    <ns0:row r="8" ht="33" customHeight="1">
      <ns0:c r="B8" s="1" t="n">
        <ns0:v>5</ns0:v>
      </ns0:c>
      <ns0:c r="C8" s="1" t="inlineStr">
        <ns0:is>
          <ns0:t xml:space="preserve">Inrease time dry UV 1st (Sub 1) </ns0:t>
        </ns0:is>
      </ns0:c>
      <ns0:c r="D8" s="1" t="n">
        <ns0:v>0.03</ns0:v>
      </ns0:c>
      <ns0:c r="E8" s="1" t="n">
        <ns0:v>0.025</ns0:v>
      </ns0:c>
      <ns0:c r="H8" s="1" t="inlineStr">
        <ns0:is>
          <ns0:t>NG reduce</ns0:t>
        </ns0:is>
      </ns0:c>
    </ns0:row>
    <ns0:row r="9" ht="33" customHeight="1">
      <ns0:c r="B9" s="1" t="n">
        <ns0:v>6</ns0:v>
      </ns0:c>
      <ns0:c r="C9" s="1" t="inlineStr">
        <ns0:is>
          <ns0:t>Semi VP+CD from C2</ns0:t>
        </ns0:is>
      </ns0:c>
      <ns0:c r="D9" s="1" t="n">
        <ns0:v>0.025</ns0:v>
      </ns0:c>
      <ns0:c r="E9" s="1" t="n">
        <ns0:v>0.025</ns0:v>
      </ns0:c>
      <ns0:c r="H9" s="1" t="inlineStr">
        <ns0:is>
          <ns0:t xml:space="preserve">NG same </ns0:t>
        </ns0:is>
      </ns0:c>
    </ns0:row>
    <ns0:row r="10" ht="33" customHeight="1">
      <ns0:c r="B10" s="1" t="n">
        <ns0:v>7</ns0:v>
      </ns0:c>
      <ns0:c r="C10" s="1" t="inlineStr">
        <ns0:is>
          <ns0:t>Open outside bonding VP+CD</ns0:t>
        </ns0:is>
      </ns0:c>
      <ns0:c r="D10" s="1" t="n">
        <ns0:v>0.018</ns0:v>
      </ns0:c>
      <ns0:c r="E10" s="1" t="n">
        <ns0:v>0.018</ns0:v>
      </ns0:c>
      <ns0:c r="F10" s="1" t="n">
        <ns0:v>0.0349</ns0:v>
      </ns0:c>
      <ns0:c r="G10" s="1" t="n">
        <ns0:v>0.0294</ns0:v>
      </ns0:c>
      <ns0:c r="H10" s="1" t="inlineStr">
        <ns0:is>
          <ns0:t xml:space="preserve">NG same </ns0:t>
        </ns0:is>
      </ns0:c>
    </ns0:row>
    <ns0:row r="11" ht="33" customHeight="1">
      <ns0:c r="B11" s="1" t="n">
        <ns0:v>8</ns0:v>
      </ns0:c>
      <ns0:c r="C11" s="1" t="inlineStr">
        <ns0:is>
          <ns0:t>Small inside bonding Vp+CD 1st</ns0:t>
        </ns0:is>
      </ns0:c>
      <ns0:c r="D11" s="1" t="n">
        <ns0:v>0.018</ns0:v>
      </ns0:c>
      <ns0:c r="E11" s="1" t="n">
        <ns0:v>0.0168</ns0:v>
      </ns0:c>
      <ns0:c r="F11" s="1" t="n">
        <ns0:v>0.0349</ns0:v>
      </ns0:c>
      <ns0:c r="G11" s="1" t="n">
        <ns0:v>0.0039</ns0:v>
      </ns0:c>
      <ns0:c r="H11" s="1" t="inlineStr">
        <ns0:is>
          <ns0:t>NG reduce</ns0:t>
        </ns0:is>
      </ns0:c>
      <ns0:c r="I11" s="1" t="inlineStr">
        <ns0:is>
          <ns0:t>Apply</ns0:t>
        </ns0:is>
      </ns0:c>
    </ns0:row>
    <ns0:row r="12" ht="33" customHeight="1">
      <ns0:c r="B12" s="1" t="n">
        <ns0:v>9</ns0:v>
      </ns0:c>
      <ns0:c r="C12" s="1" t="inlineStr">
        <ns0:is>
          <ns0:t>Small inside bonding Vp+CD 2st</ns0:t>
        </ns0:is>
      </ns0:c>
      <ns0:c r="D12" s="1" t="n">
        <ns0:v>0.027</ns0:v>
      </ns0:c>
      <ns0:c r="E12" s="1" t="n">
        <ns0:v>0.018</ns0:v>
      </ns0:c>
      <ns0:c r="H12" s="1" t="inlineStr">
        <ns0:is>
          <ns0:t>NG reduce</ns0:t>
        </ns0:is>
      </ns0:c>
    </ns0:row>
    <ns0:row r="13" ht="33" customHeight="1">
      <ns0:c r="B13" s="1" t="n">
        <ns0:v>10</ns0:v>
      </ns0:c>
      <ns0:c r="C13" s="1" t="inlineStr">
        <ns0:is>
          <ns0:t>Test Frame bending</ns0:t>
        </ns0:is>
      </ns0:c>
    </ns0:row>
    <ns0:row r="14" ht="33" customHeight="1"/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S23"/>
  <ns0:sheetViews>
    <ns0:sheetView workbookViewId="0">
      <ns0:selection activeCell="A1" sqref="A1"/>
    </ns0:sheetView>
  </ns0:sheetViews>
  <ns0:sheetFormatPr baseColWidth="8" defaultRowHeight="15"/>
  <ns0:cols>
    <ns0:col width="7.25" customWidth="1" min="1" max="1"/>
    <ns0:col width="21.5" customWidth="1" min="2" max="2"/>
    <ns0:col width="21.63" customWidth="1" min="3" max="3"/>
    <ns0:col width="21.5" customWidth="1" min="4" max="4"/>
    <ns0:col width="21.5" customWidth="1" min="5" max="5"/>
    <ns0:col width="21.5" customWidth="1" min="6" max="6"/>
    <ns0:col width="21.5" customWidth="1" min="7" max="7"/>
    <ns0:col width="21.5" customWidth="1" min="8" max="8"/>
    <ns0:col width="24.38" customWidth="1" min="9" max="9"/>
    <ns0:col width="21.5" customWidth="1" min="10" max="10"/>
    <ns0:col width="21.5" customWidth="1" min="11" max="11"/>
    <ns0:col width="21.5" customWidth="1" min="12" max="12"/>
    <ns0:col width="21.5" customWidth="1" min="13" max="13"/>
    <ns0:col width="21.5" customWidth="1" min="14" max="14"/>
    <ns0:col width="21.5" customWidth="1" min="15" max="15"/>
    <ns0:col width="21.5" customWidth="1" min="16" max="16"/>
    <ns0:col width="21.5" customWidth="1" min="17" max="17"/>
    <ns0:col width="21.5" customWidth="1" min="18" max="18"/>
    <ns0:col width="21.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</ns0:cols>
  <ns0:sheetData>
    <ns0:row r="1" ht="29.25" customHeight="1"/>
    <ns0:row r="2" ht="49.5" customHeight="1">
      <ns0:c r="B2" s="3" t="inlineStr">
        <ns0:is>
          <ns0:t>TITLE</ns0:t>
        </ns0:is>
      </ns0:c>
      <ns0:c r="D2" s="3" t="inlineStr">
        <ns0:is>
          <ns0:t xml:space="preserve"> BRS-161016 - REPORT TEST FRAME BENDING AND SEPARATE MOLD FRAME FOLLOW FUNCTION </ns0:t>
        </ns0:is>
      </ns0:c>
      <ns0:c r="R2" s="3" t="inlineStr">
        <ns0:is>
          <ns0:t>Dept</ns0:t>
        </ns0:is>
      </ns0:c>
      <ns0:c r="S2" s="3" t="inlineStr">
        <ns0:is>
          <ns0:t>ME</ns0:t>
        </ns0:is>
      </ns0:c>
    </ns0:row>
    <ns0:row r="3" ht="49.5" customHeight="1">
      <ns0:c r="R3" s="3" t="inlineStr">
        <ns0:is>
          <ns0:t>Date</ns0:t>
        </ns0:is>
      </ns0:c>
      <ns0:c r="S3" s="4" t="n">
        <ns0:v>45835</ns0:v>
      </ns0:c>
    </ns0:row>
    <ns0:row r="4" ht="49.5" customHeight="1">
      <ns0:c r="R4" s="3" t="inlineStr">
        <ns0:is>
          <ns0:t>Marker</ns0:t>
        </ns0:is>
      </ns0:c>
      <ns0:c r="S4" s="3" t="inlineStr">
        <ns0:is>
          <ns0:t>NHUNG</ns0:t>
        </ns0:is>
      </ns0:c>
    </ns0:row>
    <ns0:row r="5" ht="49.5" customHeight="1">
      <ns0:c r="B5" s="3" t="inlineStr">
        <ns0:is>
          <ns0:t>I. Purpose.</ns0:t>
        </ns0:is>
      </ns0:c>
    </ns0:row>
    <ns0:row r="6" ht="49.5" customHeight="1">
      <ns0:c r="B6" s="3" t="inlineStr">
        <ns0:is>
          <ns0:t xml:space="preserve"> - To improve NG hearing</ns0:t>
        </ns0:is>
      </ns0:c>
    </ns0:row>
    <ns0:row r="7" ht="49.5" customHeight="1">
      <ns0:c r="B7" s="3" t="inlineStr">
        <ns0:is>
          <ns0:t>II. Content.</ns0:t>
        </ns0:is>
      </ns0:c>
    </ns0:row>
    <ns0:row r="8" ht="49.5" customHeight="1">
      <ns0:c r="B8" s="3" t="inlineStr">
        <ns0:is>
          <ns0:t xml:space="preserve"> - Check Frame happen bending =&gt; Separate lot and check function (Compare with frame normal)</ns0:t>
        </ns0:is>
      </ns0:c>
    </ns0:row>
    <ns0:row r="9" ht="49.5" customHeight="1">
      <ns0:c r="B9" s="3" t="inlineStr">
        <ns0:is>
          <ns0:t xml:space="preserve">III. Result </ns0:t>
        </ns0:is>
      </ns0:c>
    </ns0:row>
    <ns0:row r="10" ht="49.5" customHeight="1">
      <ns0:c r="C10" s="3" t="inlineStr">
        <ns0:is>
          <ns0:t>1. RESULT CHECK FRAME BENDING NG RATE</ns0:t>
        </ns0:is>
      </ns0:c>
    </ns0:row>
    <ns0:row r="11" ht="49.5" customHeight="1">
      <ns0:c r="C11" s="3" t="inlineStr">
        <ns0:is>
          <ns0:t>Date</ns0:t>
        </ns0:is>
      </ns0:c>
      <ns0:c r="D11" s="3" t="inlineStr">
        <ns0:is>
          <ns0:t>Line</ns0:t>
        </ns0:is>
      </ns0:c>
      <ns0:c r="E11" s="3" t="inlineStr">
        <ns0:is>
          <ns0:t>Mold</ns0:t>
        </ns0:is>
      </ns0:c>
      <ns0:c r="F11" s="3" t="inlineStr">
        <ns0:is>
          <ns0:t>Input</ns0:t>
        </ns0:is>
      </ns0:c>
      <ns0:c r="G11" s="3" t="inlineStr">
        <ns0:is>
          <ns0:t xml:space="preserve">NG </ns0:t>
        </ns0:is>
      </ns0:c>
      <ns0:c r="H11" s="3" t="inlineStr">
        <ns0:is>
          <ns0:t>NG rate</ns0:t>
        </ns0:is>
      </ns0:c>
      <ns0:c r="I11" s="3" t="inlineStr">
        <ns0:is>
          <ns0:t>Note</ns0:t>
        </ns0:is>
      </ns0:c>
    </ns0:row>
    <ns0:row r="12" ht="49.5" customHeight="1">
      <ns0:c r="C12" s="4" t="n">
        <ns0:v>45835</ns0:v>
      </ns0:c>
      <ns0:c r="D12" s="3" t="inlineStr">
        <ns0:is>
          <ns0:t>E2-3B</ns0:t>
        </ns0:is>
      </ns0:c>
      <ns0:c r="E12" s="3" t="inlineStr">
        <ns0:is>
          <ns0:t>G4</ns0:t>
        </ns0:is>
      </ns0:c>
      <ns0:c r="F12" s="3" t="n">
        <ns0:v>3450</ns0:v>
      </ns0:c>
      <ns0:c r="G12" s="3" t="n">
        <ns0:v>152</ns0:v>
      </ns0:c>
      <ns0:c r="H12" s="3">
        <ns0:f>G12/F12</ns0:f>
        <ns0:v/>
      </ns0:c>
    </ns0:row>
    <ns0:row r="13" ht="49.5" customHeight="1"/>
    <ns0:row r="14" ht="49.5" customHeight="1"/>
    <ns0:row r="15" ht="49.5" customHeight="1"/>
    <ns0:row r="16" ht="49.5" customHeight="1">
      <ns0:c r="C16" s="3" t="inlineStr">
        <ns0:is>
          <ns0:t>2. RESULT CHECK FUNCTION FRAME BENDING</ns0:t>
        </ns0:is>
      </ns0:c>
    </ns0:row>
    <ns0:row r="17" ht="49.5" customHeight="1">
      <ns0:c r="C17" s="3" t="inlineStr">
        <ns0:is>
          <ns0:t>Date</ns0:t>
        </ns0:is>
      </ns0:c>
      <ns0:c r="D17" s="3" t="inlineStr">
        <ns0:is>
          <ns0:t>Line</ns0:t>
        </ns0:is>
      </ns0:c>
      <ns0:c r="E17" s="3" t="inlineStr">
        <ns0:is>
          <ns0:t>Mold</ns0:t>
        </ns0:is>
      </ns0:c>
      <ns0:c r="F17" s="3" t="inlineStr">
        <ns0:is>
          <ns0:t xml:space="preserve">Input </ns0:t>
        </ns0:is>
      </ns0:c>
      <ns0:c r="G17" s="3" t="inlineStr">
        <ns0:is>
          <ns0:t xml:space="preserve">OK  </ns0:t>
        </ns0:is>
      </ns0:c>
      <ns0:c r="H17" s="3" t="inlineStr">
        <ns0:is>
          <ns0:t>Air leak</ns0:t>
        </ns0:is>
      </ns0:c>
      <ns0:c r="I17" s="3" t="inlineStr">
        <ns0:is>
          <ns0:t xml:space="preserve">NG Sigma </ns0:t>
        </ns0:is>
      </ns0:c>
      <ns0:c r="M17" s="3" t="inlineStr">
        <ns0:is>
          <ns0:t xml:space="preserve">NG Hearing </ns0:t>
        </ns0:is>
      </ns0:c>
      <ns0:c r="O17" s="3" t="inlineStr">
        <ns0:is>
          <ns0:t>Total NG</ns0:t>
        </ns0:is>
      </ns0:c>
      <ns0:c r="P17" s="3" t="inlineStr">
        <ns0:is>
          <ns0:t>Total NG rate</ns0:t>
        </ns0:is>
      </ns0:c>
      <ns0:c r="Q17" s="3" t="inlineStr">
        <ns0:is>
          <ns0:t xml:space="preserve">Note </ns0:t>
        </ns0:is>
      </ns0:c>
    </ns0:row>
    <ns0:row r="18" ht="49.5" customHeight="1">
      <ns0:c r="I18" s="3" t="inlineStr">
        <ns0:is>
          <ns0:t xml:space="preserve">SPL </ns0:t>
        </ns0:is>
      </ns0:c>
      <ns0:c r="J18" s="3" t="inlineStr">
        <ns0:is>
          <ns0:t xml:space="preserve">THD </ns0:t>
        </ns0:is>
      </ns0:c>
      <ns0:c r="K18" s="3" t="inlineStr">
        <ns0:is>
          <ns0:t>SPL+THD+F0</ns0:t>
        </ns0:is>
      </ns0:c>
      <ns0:c r="L18" s="3" t="inlineStr">
        <ns0:is>
          <ns0:t>SPL+THD</ns0:t>
        </ns0:is>
      </ns0:c>
      <ns0:c r="M18" s="3" t="inlineStr">
        <ns0:is>
          <ns0:t xml:space="preserve">Noise </ns0:t>
        </ns0:is>
      </ns0:c>
      <ns0:c r="N18" s="3" t="inlineStr">
        <ns0:is>
          <ns0:t xml:space="preserve">Touch </ns0:t>
        </ns0:is>
      </ns0:c>
    </ns0:row>
    <ns0:row r="19" ht="49.5" customHeight="1">
      <ns0:c r="C19" s="4" t="n">
        <ns0:v>45836</ns0:v>
      </ns0:c>
      <ns0:c r="D19" s="3" t="inlineStr">
        <ns0:is>
          <ns0:t>E2-3B</ns0:t>
        </ns0:is>
      </ns0:c>
      <ns0:c r="E19" s="3" t="inlineStr">
        <ns0:is>
          <ns0:t>Frame bending</ns0:t>
        </ns0:is>
      </ns0:c>
      <ns0:c r="F19" s="3" t="n">
        <ns0:v>152</ns0:v>
      </ns0:c>
      <ns0:c r="G19" s="3">
        <ns0:f>F19-O19</ns0:f>
        <ns0:v/>
      </ns0:c>
      <ns0:c r="H19" s="3" t="n">
        <ns0:v>0</ns0:v>
      </ns0:c>
      <ns0:c r="I19" s="3" t="n">
        <ns0:v>0</ns0:v>
      </ns0:c>
      <ns0:c r="J19" s="3" t="n">
        <ns0:v>0</ns0:v>
      </ns0:c>
      <ns0:c r="K19" s="3" t="n">
        <ns0:v>0</ns0:v>
      </ns0:c>
      <ns0:c r="L19" s="3" t="n">
        <ns0:v>0</ns0:v>
      </ns0:c>
      <ns0:c r="M19" s="3" t="n">
        <ns0:v>2</ns0:v>
      </ns0:c>
      <ns0:c r="N19" s="3" t="n">
        <ns0:v>1</ns0:v>
      </ns0:c>
      <ns0:c r="O19" s="3">
        <ns0:f>SUM(H19:N19)</ns0:f>
        <ns0:v/>
      </ns0:c>
      <ns0:c r="P19" s="3">
        <ns0:f>O19/F19</ns0:f>
        <ns0:v/>
      </ns0:c>
      <ns0:c r="Q19" s="3" t="inlineStr">
        <ns0:is>
          <ns0:t>VP #6</ns0:t>
        </ns0:is>
      </ns0:c>
    </ns0:row>
    <ns0:row r="20" ht="49.5" customHeight="1">
      <ns0:c r="E20" s="3" t="inlineStr">
        <ns0:is>
          <ns0:t>Normal</ns0:t>
        </ns0:is>
      </ns0:c>
      <ns0:c r="F20" s="3" t="n">
        <ns0:v>148</ns0:v>
      </ns0:c>
      <ns0:c r="G20" s="3">
        <ns0:f>F20-O20</ns0:f>
        <ns0:v/>
      </ns0:c>
      <ns0:c r="H20" s="3" t="n">
        <ns0:v>0</ns0:v>
      </ns0:c>
      <ns0:c r="I20" s="3" t="n">
        <ns0:v>0</ns0:v>
      </ns0:c>
      <ns0:c r="J20" s="3" t="n">
        <ns0:v>1</ns0:v>
      </ns0:c>
      <ns0:c r="K20" s="3" t="n">
        <ns0:v>0</ns0:v>
      </ns0:c>
      <ns0:c r="L20" s="3" t="n">
        <ns0:v>0</ns0:v>
      </ns0:c>
      <ns0:c r="M20" s="3" t="n">
        <ns0:v>1</ns0:v>
      </ns0:c>
      <ns0:c r="N20" s="3" t="n">
        <ns0:v>1</ns0:v>
      </ns0:c>
      <ns0:c r="O20" s="3">
        <ns0:f>SUM(H20:N20)</ns0:f>
        <ns0:v/>
      </ns0:c>
      <ns0:c r="P20" s="3">
        <ns0:f>O20/F20</ns0:f>
        <ns0:v/>
      </ns0:c>
    </ns0:row>
    <ns0:row r="21" ht="49.5" customHeight="1"/>
    <ns0:row r="22" ht="49.5" customHeight="1">
      <ns0:c r="B22" s="3" t="inlineStr">
        <ns0:is>
          <ns0:t>4. Decision</ns0:t>
        </ns0:is>
      </ns0:c>
    </ns0:row>
    <ns0:row r="23" ht="49.5" customHeight="1">
      <ns0:c r="B23" s="3" t="inlineStr">
        <ns0:is>
          <ns0:t>- Result check function material Frame bending is same normal</ns0:t>
        </ns0:is>
      </ns0:c>
    </ns0:row>
    <ns0:row r="24" ht="49.5" customHeight="1"/>
    <ns0:row r="25" ht="40.75" customHeight="1"/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T39"/>
  <ns0:sheetViews>
    <ns0:sheetView workbookViewId="0">
      <ns0:selection activeCell="A1" sqref="A1"/>
    </ns0:sheetView>
  </ns0:sheetViews>
  <ns0:sheetFormatPr baseColWidth="8" defaultRowHeight="15"/>
  <ns0:cols>
    <ns0:col width="7.25" customWidth="1" min="1" max="1"/>
    <ns0:col width="21.5" customWidth="1" min="2" max="2"/>
    <ns0:col width="21.63" customWidth="1" min="3" max="3"/>
    <ns0:col width="21.5" customWidth="1" min="4" max="4"/>
    <ns0:col width="21.5" customWidth="1" min="5" max="5"/>
    <ns0:col width="21.5" customWidth="1" min="6" max="6"/>
    <ns0:col width="21.5" customWidth="1" min="7" max="7"/>
    <ns0:col width="21.5" customWidth="1" min="8" max="8"/>
    <ns0:col width="21.5" customWidth="1" min="9" max="9"/>
    <ns0:col width="24.38" customWidth="1" min="10" max="10"/>
    <ns0:col width="21.5" customWidth="1" min="11" max="11"/>
    <ns0:col width="21.5" customWidth="1" min="12" max="12"/>
    <ns0:col width="21.5" customWidth="1" min="13" max="13"/>
    <ns0:col width="21.5" customWidth="1" min="14" max="14"/>
    <ns0:col width="21.5" customWidth="1" min="15" max="15"/>
    <ns0:col width="21.5" customWidth="1" min="16" max="16"/>
    <ns0:col width="21.5" customWidth="1" min="17" max="17"/>
    <ns0:col width="21.5" customWidth="1" min="18" max="18"/>
    <ns0:col width="21.5" customWidth="1" min="19" max="19"/>
    <ns0:col width="21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</ns0:cols>
  <ns0:sheetData>
    <ns0:row r="1" ht="56.25" customHeight="1"/>
    <ns0:row r="2" ht="56.25" customHeight="1">
      <ns0:c r="B2" s="3" t="inlineStr">
        <ns0:is>
          <ns0:t>TITLE</ns0:t>
        </ns0:is>
      </ns0:c>
      <ns0:c r="D2" s="3" t="inlineStr">
        <ns0:is>
          <ns0:t xml:space="preserve"> BRS-161016 - REPORT TEST VP ED FOLLOW MOLD</ns0:t>
        </ns0:is>
      </ns0:c>
      <ns0:c r="S2" s="3" t="inlineStr">
        <ns0:is>
          <ns0:t>Dept</ns0:t>
        </ns0:is>
      </ns0:c>
      <ns0:c r="T2" s="3" t="inlineStr">
        <ns0:is>
          <ns0:t>ME</ns0:t>
        </ns0:is>
      </ns0:c>
    </ns0:row>
    <ns0:row r="3" ht="56.25" customHeight="1">
      <ns0:c r="S3" s="3" t="inlineStr">
        <ns0:is>
          <ns0:t>Date</ns0:t>
        </ns0:is>
      </ns0:c>
      <ns0:c r="T3" s="4" t="n">
        <ns0:v>45819</ns0:v>
      </ns0:c>
    </ns0:row>
    <ns0:row r="4" ht="56.25" customHeight="1">
      <ns0:c r="S4" s="3" t="inlineStr">
        <ns0:is>
          <ns0:t>Marker</ns0:t>
        </ns0:is>
      </ns0:c>
      <ns0:c r="T4" s="3" t="inlineStr">
        <ns0:is>
          <ns0:t>NHUNG</ns0:t>
        </ns0:is>
      </ns0:c>
    </ns0:row>
    <ns0:row r="5" ht="56.25" customHeight="1">
      <ns0:c r="B5" s="3" t="inlineStr">
        <ns0:is>
          <ns0:t>I. Purpose.</ns0:t>
        </ns0:is>
      </ns0:c>
    </ns0:row>
    <ns0:row r="6" ht="56.25" customHeight="1">
      <ns0:c r="B6" s="3" t="inlineStr">
        <ns0:is>
          <ns0:t xml:space="preserve"> - To improve NG hearing</ns0:t>
        </ns0:is>
      </ns0:c>
    </ns0:row>
    <ns0:row r="7" ht="56.25" customHeight="1">
      <ns0:c r="B7" s="3" t="inlineStr">
        <ns0:is>
          <ns0:t>II. Content.</ns0:t>
        </ns0:is>
      </ns0:c>
    </ns0:row>
    <ns0:row r="8" ht="56.25" customHeight="1">
      <ns0:c r="B8" s="3" t="inlineStr">
        <ns0:is>
          <ns0:t xml:space="preserve"> - Separate VP ED follow mold =&gt; Check function</ns0:t>
        </ns0:is>
      </ns0:c>
    </ns0:row>
    <ns0:row r="9" ht="56.25" customHeight="1">
      <ns0:c r="B9" s="3" t="inlineStr">
        <ns0:is>
          <ns0:t xml:space="preserve">III. Result </ns0:t>
        </ns0:is>
      </ns0:c>
    </ns0:row>
    <ns0:row r="10" ht="56.25" customHeight="1">
      <ns0:c r="C10" s="3" t="inlineStr">
        <ns0:is>
          <ns0:t>1. RESULT CHECKING FUNCTION OF SPK</ns0:t>
        </ns0:is>
      </ns0:c>
    </ns0:row>
    <ns0:row r="11" ht="56.25" customHeight="1">
      <ns0:c r="C11" s="3" t="inlineStr">
        <ns0:is>
          <ns0:t>Date</ns0:t>
        </ns0:is>
      </ns0:c>
      <ns0:c r="D11" s="3" t="inlineStr">
        <ns0:is>
          <ns0:t>Line</ns0:t>
        </ns0:is>
      </ns0:c>
      <ns0:c r="E11" s="3" t="inlineStr">
        <ns0:is>
          <ns0:t>Mold</ns0:t>
        </ns0:is>
      </ns0:c>
      <ns0:c r="F11" s="3" t="inlineStr">
        <ns0:is>
          <ns0:t>IR</ns0:t>
        </ns0:is>
      </ns0:c>
      <ns0:c r="G11" s="3" t="inlineStr">
        <ns0:is>
          <ns0:t xml:space="preserve">Input </ns0:t>
        </ns0:is>
      </ns0:c>
      <ns0:c r="H11" s="3" t="inlineStr">
        <ns0:is>
          <ns0:t xml:space="preserve">OK  </ns0:t>
        </ns0:is>
      </ns0:c>
      <ns0:c r="I11" s="3" t="inlineStr">
        <ns0:is>
          <ns0:t>Air leak</ns0:t>
        </ns0:is>
      </ns0:c>
      <ns0:c r="J11" s="3" t="inlineStr">
        <ns0:is>
          <ns0:t xml:space="preserve">NG Sigma </ns0:t>
        </ns0:is>
      </ns0:c>
      <ns0:c r="N11" s="3" t="inlineStr">
        <ns0:is>
          <ns0:t xml:space="preserve">NG Hearing </ns0:t>
        </ns0:is>
      </ns0:c>
      <ns0:c r="P11" s="3" t="inlineStr">
        <ns0:is>
          <ns0:t>Total NG</ns0:t>
        </ns0:is>
      </ns0:c>
      <ns0:c r="Q11" s="3" t="inlineStr">
        <ns0:is>
          <ns0:t>Total NG rate</ns0:t>
        </ns0:is>
      </ns0:c>
      <ns0:c r="R11" s="3" t="inlineStr">
        <ns0:is>
          <ns0:t>Decap NG separate VP+CD</ns0:t>
        </ns0:is>
      </ns0:c>
      <ns0:c r="S11" s="3" t="inlineStr">
        <ns0:is>
          <ns0:t>Note</ns0:t>
        </ns0:is>
      </ns0:c>
    </ns0:row>
    <ns0:row r="12" ht="56.25" customHeight="1">
      <ns0:c r="J12" s="3" t="inlineStr">
        <ns0:is>
          <ns0:t xml:space="preserve">SPL </ns0:t>
        </ns0:is>
      </ns0:c>
      <ns0:c r="K12" s="3" t="inlineStr">
        <ns0:is>
          <ns0:t xml:space="preserve">THD </ns0:t>
        </ns0:is>
      </ns0:c>
      <ns0:c r="L12" s="3" t="inlineStr">
        <ns0:is>
          <ns0:t>SPL+THD+F0</ns0:t>
        </ns0:is>
      </ns0:c>
      <ns0:c r="M12" s="3" t="inlineStr">
        <ns0:is>
          <ns0:t>SPL+THD</ns0:t>
        </ns0:is>
      </ns0:c>
      <ns0:c r="N12" s="3" t="inlineStr">
        <ns0:is>
          <ns0:t xml:space="preserve">Noise </ns0:t>
        </ns0:is>
      </ns0:c>
      <ns0:c r="O12" s="3" t="inlineStr">
        <ns0:is>
          <ns0:t xml:space="preserve">Touch </ns0:t>
        </ns0:is>
      </ns0:c>
    </ns0:row>
    <ns0:row r="13" ht="56.25" customHeight="1">
      <ns0:c r="C13" s="4" t="n">
        <ns0:v>45819</ns0:v>
      </ns0:c>
      <ns0:c r="D13" s="3" t="inlineStr">
        <ns0:is>
          <ns0:t>E2-3B</ns0:t>
        </ns0:is>
      </ns0:c>
      <ns0:c r="E13" s="3" t="inlineStr">
        <ns0:is>
          <ns0:t>VP #3</ns0:t>
        </ns0:is>
      </ns0:c>
      <ns0:c r="F13" s="3" t="inlineStr">
        <ns0:is>
          <ns0:t>IR250606004</ns0:t>
        </ns0:is>
      </ns0:c>
      <ns0:c r="G13" s="3" t="n">
        <ns0:v>579</ns0:v>
      </ns0:c>
      <ns0:c r="H13" s="3">
        <ns0:f>G13-P13</ns0:f>
        <ns0:v/>
      </ns0:c>
      <ns0:c r="I13" s="3" t="n">
        <ns0:v>0</ns0:v>
      </ns0:c>
      <ns0:c r="J13" s="3" t="n">
        <ns0:v>0</ns0:v>
      </ns0:c>
      <ns0:c r="K13" s="3" t="n">
        <ns0:v>0</ns0:v>
      </ns0:c>
      <ns0:c r="L13" s="3" t="n">
        <ns0:v>0</ns0:v>
      </ns0:c>
      <ns0:c r="M13" s="3" t="n">
        <ns0:v>0</ns0:v>
      </ns0:c>
      <ns0:c r="N13" s="3" t="n">
        <ns0:v>6</ns0:v>
      </ns0:c>
      <ns0:c r="O13" s="3" t="n">
        <ns0:v>9</ns0:v>
      </ns0:c>
      <ns0:c r="P13" s="3">
        <ns0:f>SUM(I13:O13)</ns0:f>
        <ns0:v/>
      </ns0:c>
      <ns0:c r="Q13" s="3">
        <ns0:f>P13/G13</ns0:f>
        <ns0:v/>
      </ns0:c>
      <ns0:c r="R13" s="3" t="inlineStr">
        <ns0:is>
          <ns0:t>Decap NG separate VP+CD</ns0:t>
        </ns0:is>
      </ns0:c>
      <ns0:c r="S13" s="3" t="inlineStr">
        <ns0:is>
          <ns0:t>NG of lot test same normal</ns0:t>
        </ns0:is>
      </ns0:c>
    </ns0:row>
    <ns0:row r="14" ht="56.25" customHeight="1">
      <ns0:c r="E14" s="3" t="inlineStr">
        <ns0:is>
          <ns0:t>VP #5</ns0:t>
        </ns0:is>
      </ns0:c>
      <ns0:c r="F14" s="3" t="inlineStr">
        <ns0:is>
          <ns0:t>IR250606004</ns0:t>
        </ns0:is>
      </ns0:c>
      <ns0:c r="G14" s="3" t="n">
        <ns0:v>585</ns0:v>
      </ns0:c>
      <ns0:c r="H14" s="3">
        <ns0:f>G14-P14</ns0:f>
        <ns0:v/>
      </ns0:c>
      <ns0:c r="I14" s="3" t="n">
        <ns0:v>0</ns0:v>
      </ns0:c>
      <ns0:c r="J14" s="3" t="n">
        <ns0:v>0</ns0:v>
      </ns0:c>
      <ns0:c r="K14" s="3" t="n">
        <ns0:v>0</ns0:v>
      </ns0:c>
      <ns0:c r="L14" s="3" t="n">
        <ns0:v>0</ns0:v>
      </ns0:c>
      <ns0:c r="M14" s="3" t="n">
        <ns0:v>0</ns0:v>
      </ns0:c>
      <ns0:c r="N14" s="3" t="n">
        <ns0:v>9</ns0:v>
      </ns0:c>
      <ns0:c r="O14" s="3" t="n">
        <ns0:v>7</ns0:v>
      </ns0:c>
      <ns0:c r="P14" s="3">
        <ns0:f>SUM(I14:O14)</ns0:f>
        <ns0:v/>
      </ns0:c>
      <ns0:c r="Q14" s="3">
        <ns0:f>P14/G14</ns0:f>
        <ns0:v/>
      </ns0:c>
    </ns0:row>
    <ns0:row r="15" ht="56.25" customHeight="1">
      <ns0:c r="E15" s="3" t="inlineStr">
        <ns0:is>
          <ns0:t>VP #9</ns0:t>
        </ns0:is>
      </ns0:c>
      <ns0:c r="F15" s="3" t="inlineStr">
        <ns0:is>
          <ns0:t>IR250606004</ns0:t>
        </ns0:is>
      </ns0:c>
      <ns0:c r="G15" s="3" t="n">
        <ns0:v>594</ns0:v>
      </ns0:c>
      <ns0:c r="H15" s="3">
        <ns0:f>G15-P15</ns0:f>
        <ns0:v/>
      </ns0:c>
      <ns0:c r="I15" s="3" t="n">
        <ns0:v>0</ns0:v>
      </ns0:c>
      <ns0:c r="J15" s="3" t="n">
        <ns0:v>0</ns0:v>
      </ns0:c>
      <ns0:c r="K15" s="3" t="n">
        <ns0:v>0</ns0:v>
      </ns0:c>
      <ns0:c r="L15" s="3" t="n">
        <ns0:v>0</ns0:v>
      </ns0:c>
      <ns0:c r="M15" s="3" t="n">
        <ns0:v>0</ns0:v>
      </ns0:c>
      <ns0:c r="N15" s="3" t="n">
        <ns0:v>10</ns0:v>
      </ns0:c>
      <ns0:c r="O15" s="3" t="n">
        <ns0:v>6</ns0:v>
      </ns0:c>
      <ns0:c r="P15" s="3">
        <ns0:f>SUM(I15:O15)</ns0:f>
        <ns0:v/>
      </ns0:c>
      <ns0:c r="Q15" s="3">
        <ns0:f>P15/G15</ns0:f>
        <ns0:v/>
      </ns0:c>
    </ns0:row>
    <ns0:row r="16" ht="56.25" customHeight="1">
      <ns0:c r="E16" s="3" t="inlineStr">
        <ns0:is>
          <ns0:t>VP #8</ns0:t>
        </ns0:is>
      </ns0:c>
      <ns0:c r="F16" s="3" t="inlineStr">
        <ns0:is>
          <ns0:t>IR250606004</ns0:t>
        </ns0:is>
      </ns0:c>
      <ns0:c r="G16" s="3" t="n">
        <ns0:v>588</ns0:v>
      </ns0:c>
      <ns0:c r="H16" s="3">
        <ns0:f>G16-P16</ns0:f>
        <ns0:v/>
      </ns0:c>
      <ns0:c r="I16" s="3" t="n">
        <ns0:v>0</ns0:v>
      </ns0:c>
      <ns0:c r="J16" s="3" t="n">
        <ns0:v>0</ns0:v>
      </ns0:c>
      <ns0:c r="K16" s="3" t="n">
        <ns0:v>0</ns0:v>
      </ns0:c>
      <ns0:c r="L16" s="3" t="n">
        <ns0:v>0</ns0:v>
      </ns0:c>
      <ns0:c r="M16" s="3" t="n">
        <ns0:v>0</ns0:v>
      </ns0:c>
      <ns0:c r="N16" s="3" t="n">
        <ns0:v>9</ns0:v>
      </ns0:c>
      <ns0:c r="O16" s="3" t="n">
        <ns0:v>5</ns0:v>
      </ns0:c>
      <ns0:c r="P16" s="3">
        <ns0:f>SUM(I16:O16)</ns0:f>
        <ns0:v/>
      </ns0:c>
      <ns0:c r="Q16" s="3">
        <ns0:f>P16/G16</ns0:f>
        <ns0:v/>
      </ns0:c>
    </ns0:row>
    <ns0:row r="17" ht="56.25" customHeight="1">
      <ns0:c r="E17" s="3" t="inlineStr">
        <ns0:is>
          <ns0:t>VP #6</ns0:t>
        </ns0:is>
      </ns0:c>
      <ns0:c r="F17" s="3" t="inlineStr">
        <ns0:is>
          <ns0:t>IR250606004</ns0:t>
        </ns0:is>
      </ns0:c>
      <ns0:c r="G17" s="3" t="n">
        <ns0:v>567</ns0:v>
      </ns0:c>
      <ns0:c r="H17" s="3">
        <ns0:f>G17-P17</ns0:f>
        <ns0:v/>
      </ns0:c>
      <ns0:c r="I17" s="3" t="n">
        <ns0:v>0</ns0:v>
      </ns0:c>
      <ns0:c r="J17" s="3" t="n">
        <ns0:v>0</ns0:v>
      </ns0:c>
      <ns0:c r="K17" s="3" t="n">
        <ns0:v>0</ns0:v>
      </ns0:c>
      <ns0:c r="L17" s="3" t="n">
        <ns0:v>0</ns0:v>
      </ns0:c>
      <ns0:c r="M17" s="3" t="n">
        <ns0:v>0</ns0:v>
      </ns0:c>
      <ns0:c r="N17" s="3" t="n">
        <ns0:v>10</ns0:v>
      </ns0:c>
      <ns0:c r="O17" s="3" t="n">
        <ns0:v>3</ns0:v>
      </ns0:c>
      <ns0:c r="P17" s="3">
        <ns0:f>SUM(I17:O17)</ns0:f>
        <ns0:v/>
      </ns0:c>
      <ns0:c r="Q17" s="3">
        <ns0:f>P17/G17</ns0:f>
        <ns0:v/>
      </ns0:c>
    </ns0:row>
    <ns0:row r="18" ht="56.25" customHeight="1">
      <ns0:c r="E18" s="3" t="inlineStr">
        <ns0:is>
          <ns0:t>VP #12</ns0:t>
        </ns0:is>
      </ns0:c>
      <ns0:c r="F18" s="3" t="inlineStr">
        <ns0:is>
          <ns0:t>IR250606004</ns0:t>
        </ns0:is>
      </ns0:c>
      <ns0:c r="G18" s="3" t="n">
        <ns0:v>579</ns0:v>
      </ns0:c>
      <ns0:c r="H18" s="3">
        <ns0:f>G18-P18</ns0:f>
        <ns0:v/>
      </ns0:c>
      <ns0:c r="I18" s="3" t="n">
        <ns0:v>0</ns0:v>
      </ns0:c>
      <ns0:c r="J18" s="3" t="n">
        <ns0:v>0</ns0:v>
      </ns0:c>
      <ns0:c r="K18" s="3" t="n">
        <ns0:v>0</ns0:v>
      </ns0:c>
      <ns0:c r="L18" s="3" t="n">
        <ns0:v>0</ns0:v>
      </ns0:c>
      <ns0:c r="M18" s="3" t="n">
        <ns0:v>0</ns0:v>
      </ns0:c>
      <ns0:c r="N18" s="3" t="n">
        <ns0:v>5</ns0:v>
      </ns0:c>
      <ns0:c r="O18" s="3" t="n">
        <ns0:v>12</ns0:v>
      </ns0:c>
      <ns0:c r="P18" s="3">
        <ns0:f>SUM(I18:O18)</ns0:f>
        <ns0:v/>
      </ns0:c>
      <ns0:c r="Q18" s="3">
        <ns0:f>P18/G18</ns0:f>
        <ns0:v/>
      </ns0:c>
    </ns0:row>
    <ns0:row r="19" ht="56.25" customHeight="1">
      <ns0:c r="E19" s="3" t="inlineStr">
        <ns0:is>
          <ns0:t>VP #2</ns0:t>
        </ns0:is>
      </ns0:c>
      <ns0:c r="F19" s="3" t="inlineStr">
        <ns0:is>
          <ns0:t>IR250606004</ns0:t>
        </ns0:is>
      </ns0:c>
      <ns0:c r="G19" s="3" t="n">
        <ns0:v>586</ns0:v>
      </ns0:c>
      <ns0:c r="H19" s="3">
        <ns0:f>G19-P19</ns0:f>
        <ns0:v/>
      </ns0:c>
      <ns0:c r="I19" s="3" t="n">
        <ns0:v>0</ns0:v>
      </ns0:c>
      <ns0:c r="J19" s="3" t="n">
        <ns0:v>0</ns0:v>
      </ns0:c>
      <ns0:c r="K19" s="3" t="n">
        <ns0:v>0</ns0:v>
      </ns0:c>
      <ns0:c r="L19" s="3" t="n">
        <ns0:v>0</ns0:v>
      </ns0:c>
      <ns0:c r="M19" s="3" t="n">
        <ns0:v>0</ns0:v>
      </ns0:c>
      <ns0:c r="N19" s="3" t="n">
        <ns0:v>11</ns0:v>
      </ns0:c>
      <ns0:c r="O19" s="3" t="n">
        <ns0:v>5</ns0:v>
      </ns0:c>
      <ns0:c r="P19" s="3">
        <ns0:f>SUM(I19:O19)</ns0:f>
        <ns0:v/>
      </ns0:c>
      <ns0:c r="Q19" s="3">
        <ns0:f>P19/G19</ns0:f>
        <ns0:v/>
      </ns0:c>
    </ns0:row>
    <ns0:row r="20" ht="56.25" customHeight="1">
      <ns0:c r="E20" s="3" t="inlineStr">
        <ns0:is>
          <ns0:t>Normal  #12</ns0:t>
        </ns0:is>
      </ns0:c>
      <ns0:c r="F20" s="3" t="inlineStr">
        <ns0:is>
          <ns0:t>IR250530004</ns0:t>
        </ns0:is>
      </ns0:c>
      <ns0:c r="G20" s="3" t="n">
        <ns0:v>979</ns0:v>
      </ns0:c>
      <ns0:c r="H20" s="3">
        <ns0:f>G20-P20</ns0:f>
        <ns0:v/>
      </ns0:c>
      <ns0:c r="I20" s="3" t="n">
        <ns0:v>0</ns0:v>
      </ns0:c>
      <ns0:c r="J20" s="3" t="n">
        <ns0:v>0</ns0:v>
      </ns0:c>
      <ns0:c r="K20" s="3" t="n">
        <ns0:v>0</ns0:v>
      </ns0:c>
      <ns0:c r="L20" s="3" t="n">
        <ns0:v>0</ns0:v>
      </ns0:c>
      <ns0:c r="M20" s="3" t="n">
        <ns0:v>0</ns0:v>
      </ns0:c>
      <ns0:c r="N20" s="3" t="n">
        <ns0:v>19</ns0:v>
      </ns0:c>
      <ns0:c r="O20" s="3" t="n">
        <ns0:v>6</ns0:v>
      </ns0:c>
      <ns0:c r="P20" s="3">
        <ns0:f>SUM(I20:O20)</ns0:f>
        <ns0:v/>
      </ns0:c>
      <ns0:c r="Q20" s="3">
        <ns0:f>P20/G20</ns0:f>
        <ns0:v/>
      </ns0:c>
    </ns0:row>
    <ns0:row r="21" ht="56.25" customHeight="1">
      <ns0:c r="C21" s="4" t="n">
        <ns0:v>45827</ns0:v>
      </ns0:c>
      <ns0:c r="D21" s="3" t="inlineStr">
        <ns0:is>
          <ns0:t>E2-3A</ns0:t>
        </ns0:is>
      </ns0:c>
      <ns0:c r="E21" s="3" t="inlineStr">
        <ns0:is>
          <ns0:t>VP#2</ns0:t>
        </ns0:is>
      </ns0:c>
      <ns0:c r="F21" s="3" t="inlineStr">
        <ns0:is>
          <ns0:t>IR250616001</ns0:t>
        </ns0:is>
      </ns0:c>
      <ns0:c r="G21" s="3" t="n">
        <ns0:v>563</ns0:v>
      </ns0:c>
      <ns0:c r="H21" s="3">
        <ns0:f>G21-P21</ns0:f>
        <ns0:v/>
      </ns0:c>
      <ns0:c r="I21" s="3" t="n">
        <ns0:v>0</ns0:v>
      </ns0:c>
      <ns0:c r="J21" s="3" t="n">
        <ns0:v>0</ns0:v>
      </ns0:c>
      <ns0:c r="K21" s="3" t="n">
        <ns0:v>1</ns0:v>
      </ns0:c>
      <ns0:c r="L21" s="3" t="n">
        <ns0:v>0</ns0:v>
      </ns0:c>
      <ns0:c r="M21" s="3" t="n">
        <ns0:v>1</ns0:v>
      </ns0:c>
      <ns0:c r="N21" s="3" t="n">
        <ns0:v>8</ns0:v>
      </ns0:c>
      <ns0:c r="O21" s="3" t="n">
        <ns0:v>0</ns0:v>
      </ns0:c>
      <ns0:c r="P21" s="3">
        <ns0:f>SUM(I21:O21)</ns0:f>
        <ns0:v/>
      </ns0:c>
      <ns0:c r="Q21" s="3">
        <ns0:f>P21/G21</ns0:f>
        <ns0:v/>
      </ns0:c>
      <ns0:c r="R21" s="3" t="inlineStr">
        <ns0:is>
          <ns0:t>Decap NG separate VP+CD</ns0:t>
        </ns0:is>
      </ns0:c>
      <ns0:c r="S21" s="3" t="inlineStr">
        <ns0:is>
          <ns0:t>VP #10,#11 NG function high than normal</ns0:t>
        </ns0:is>
      </ns0:c>
    </ns0:row>
    <ns0:row r="22" ht="56.25" customHeight="1">
      <ns0:c r="E22" s="3" t="inlineStr">
        <ns0:is>
          <ns0:t>VP #7</ns0:t>
        </ns0:is>
      </ns0:c>
      <ns0:c r="F22" s="3" t="inlineStr">
        <ns0:is>
          <ns0:t>IR250616001</ns0:t>
        </ns0:is>
      </ns0:c>
      <ns0:c r="G22" s="3" t="n">
        <ns0:v>593</ns0:v>
      </ns0:c>
      <ns0:c r="H22" s="3">
        <ns0:f>G22-P22</ns0:f>
        <ns0:v/>
      </ns0:c>
      <ns0:c r="I22" s="3" t="n">
        <ns0:v>0</ns0:v>
      </ns0:c>
      <ns0:c r="J22" s="3" t="n">
        <ns0:v>0</ns0:v>
      </ns0:c>
      <ns0:c r="K22" s="3" t="n">
        <ns0:v>2</ns0:v>
      </ns0:c>
      <ns0:c r="L22" s="3" t="n">
        <ns0:v>0</ns0:v>
      </ns0:c>
      <ns0:c r="M22" s="3" t="n">
        <ns0:v>0</ns0:v>
      </ns0:c>
      <ns0:c r="N22" s="3" t="n">
        <ns0:v>9</ns0:v>
      </ns0:c>
      <ns0:c r="O22" s="3" t="n">
        <ns0:v>0</ns0:v>
      </ns0:c>
      <ns0:c r="P22" s="3">
        <ns0:f>SUM(I22:O22)</ns0:f>
        <ns0:v/>
      </ns0:c>
      <ns0:c r="Q22" s="3">
        <ns0:f>P22/G22</ns0:f>
        <ns0:v/>
      </ns0:c>
    </ns0:row>
    <ns0:row r="23" ht="56.25" customHeight="1">
      <ns0:c r="E23" s="3" t="inlineStr">
        <ns0:is>
          <ns0:t>VP #8</ns0:t>
        </ns0:is>
      </ns0:c>
      <ns0:c r="F23" s="3" t="inlineStr">
        <ns0:is>
          <ns0:t>IR250616001</ns0:t>
        </ns0:is>
      </ns0:c>
      <ns0:c r="G23" s="3" t="n">
        <ns0:v>590</ns0:v>
      </ns0:c>
      <ns0:c r="H23" s="3">
        <ns0:f>G23-P23</ns0:f>
        <ns0:v/>
      </ns0:c>
      <ns0:c r="I23" s="3" t="n">
        <ns0:v>0</ns0:v>
      </ns0:c>
      <ns0:c r="J23" s="3" t="n">
        <ns0:v>0</ns0:v>
      </ns0:c>
      <ns0:c r="K23" s="3" t="n">
        <ns0:v>0</ns0:v>
      </ns0:c>
      <ns0:c r="L23" s="3" t="n">
        <ns0:v>0</ns0:v>
      </ns0:c>
      <ns0:c r="M23" s="3" t="n">
        <ns0:v>0</ns0:v>
      </ns0:c>
      <ns0:c r="N23" s="3" t="n">
        <ns0:v>12</ns0:v>
      </ns0:c>
      <ns0:c r="O23" s="3" t="n">
        <ns0:v>0</ns0:v>
      </ns0:c>
      <ns0:c r="P23" s="3">
        <ns0:f>SUM(I23:O23)</ns0:f>
        <ns0:v/>
      </ns0:c>
      <ns0:c r="Q23" s="3">
        <ns0:f>P23/G23</ns0:f>
        <ns0:v/>
      </ns0:c>
    </ns0:row>
    <ns0:row r="24" ht="56.25" customHeight="1">
      <ns0:c r="E24" s="3" t="inlineStr">
        <ns0:is>
          <ns0:t>VP #10</ns0:t>
        </ns0:is>
      </ns0:c>
      <ns0:c r="F24" s="3" t="inlineStr">
        <ns0:is>
          <ns0:t>IR250616001</ns0:t>
        </ns0:is>
      </ns0:c>
      <ns0:c r="G24" s="3" t="n">
        <ns0:v>593</ns0:v>
      </ns0:c>
      <ns0:c r="H24" s="3">
        <ns0:f>G24-P24</ns0:f>
        <ns0:v/>
      </ns0:c>
      <ns0:c r="I24" s="3" t="n">
        <ns0:v>0</ns0:v>
      </ns0:c>
      <ns0:c r="J24" s="3" t="n">
        <ns0:v>0</ns0:v>
      </ns0:c>
      <ns0:c r="K24" s="3" t="n">
        <ns0:v>1</ns0:v>
      </ns0:c>
      <ns0:c r="L24" s="3" t="n">
        <ns0:v>0</ns0:v>
      </ns0:c>
      <ns0:c r="M24" s="3" t="n">
        <ns0:v>0</ns0:v>
      </ns0:c>
      <ns0:c r="N24" s="3" t="n">
        <ns0:v>20</ns0:v>
      </ns0:c>
      <ns0:c r="O24" s="3" t="n">
        <ns0:v>4</ns0:v>
      </ns0:c>
      <ns0:c r="P24" s="3">
        <ns0:f>SUM(I24:O24)</ns0:f>
        <ns0:v/>
      </ns0:c>
      <ns0:c r="Q24" s="3">
        <ns0:f>P24/G24</ns0:f>
        <ns0:v/>
      </ns0:c>
    </ns0:row>
    <ns0:row r="25" ht="56.25" customHeight="1">
      <ns0:c r="E25" s="3" t="inlineStr">
        <ns0:is>
          <ns0:t>VP #11</ns0:t>
        </ns0:is>
      </ns0:c>
      <ns0:c r="F25" s="3" t="inlineStr">
        <ns0:is>
          <ns0:t>IR250616001</ns0:t>
        </ns0:is>
      </ns0:c>
      <ns0:c r="G25" s="3" t="n">
        <ns0:v>554</ns0:v>
      </ns0:c>
      <ns0:c r="H25" s="3">
        <ns0:f>G25-P25</ns0:f>
        <ns0:v/>
      </ns0:c>
      <ns0:c r="I25" s="3" t="n">
        <ns0:v>0</ns0:v>
      </ns0:c>
      <ns0:c r="J25" s="3" t="n">
        <ns0:v>0</ns0:v>
      </ns0:c>
      <ns0:c r="K25" s="3" t="n">
        <ns0:v>0</ns0:v>
      </ns0:c>
      <ns0:c r="L25" s="3" t="n">
        <ns0:v>0</ns0:v>
      </ns0:c>
      <ns0:c r="M25" s="3" t="n">
        <ns0:v>0</ns0:v>
      </ns0:c>
      <ns0:c r="N25" s="3" t="n">
        <ns0:v>17</ns0:v>
      </ns0:c>
      <ns0:c r="O25" s="3" t="n">
        <ns0:v>5</ns0:v>
      </ns0:c>
      <ns0:c r="P25" s="3">
        <ns0:f>SUM(I25:O25)</ns0:f>
        <ns0:v/>
      </ns0:c>
      <ns0:c r="Q25" s="3">
        <ns0:f>P25/G25</ns0:f>
        <ns0:v/>
      </ns0:c>
    </ns0:row>
    <ns0:row r="26" ht="56.25" customHeight="1">
      <ns0:c r="E26" s="3" t="inlineStr">
        <ns0:is>
          <ns0:t>VP #9</ns0:t>
        </ns0:is>
      </ns0:c>
      <ns0:c r="F26" s="3" t="inlineStr">
        <ns0:is>
          <ns0:t>IR250616001</ns0:t>
        </ns0:is>
      </ns0:c>
      <ns0:c r="G26" s="3" t="n">
        <ns0:v>580</ns0:v>
      </ns0:c>
      <ns0:c r="H26" s="3">
        <ns0:f>G26-P26</ns0:f>
        <ns0:v/>
      </ns0:c>
      <ns0:c r="I26" s="3" t="n">
        <ns0:v>0</ns0:v>
      </ns0:c>
      <ns0:c r="J26" s="3" t="n">
        <ns0:v>0</ns0:v>
      </ns0:c>
      <ns0:c r="K26" s="3" t="n">
        <ns0:v>2</ns0:v>
      </ns0:c>
      <ns0:c r="L26" s="3" t="n">
        <ns0:v>0</ns0:v>
      </ns0:c>
      <ns0:c r="M26" s="3" t="n">
        <ns0:v>0</ns0:v>
      </ns0:c>
      <ns0:c r="N26" s="3" t="n">
        <ns0:v>7</ns0:v>
      </ns0:c>
      <ns0:c r="O26" s="3" t="n">
        <ns0:v>0</ns0:v>
      </ns0:c>
      <ns0:c r="P26" s="3">
        <ns0:f>SUM(I26:O26)</ns0:f>
        <ns0:v/>
      </ns0:c>
      <ns0:c r="Q26" s="3">
        <ns0:f>P26/G26</ns0:f>
        <ns0:v/>
      </ns0:c>
    </ns0:row>
    <ns0:row r="27" ht="56.25" customHeight="1">
      <ns0:c r="E27" s="3" t="inlineStr">
        <ns0:is>
          <ns0:t>Normal  #3</ns0:t>
        </ns0:is>
      </ns0:c>
      <ns0:c r="F27" s="3" t="inlineStr">
        <ns0:is>
          <ns0:t>IR250530004</ns0:t>
        </ns0:is>
      </ns0:c>
      <ns0:c r="G27" s="3" t="n">
        <ns0:v>800</ns0:v>
      </ns0:c>
      <ns0:c r="H27" s="3">
        <ns0:f>G27-P27</ns0:f>
        <ns0:v/>
      </ns0:c>
      <ns0:c r="I27" s="3" t="n">
        <ns0:v>0</ns0:v>
      </ns0:c>
      <ns0:c r="J27" s="3" t="n">
        <ns0:v>0</ns0:v>
      </ns0:c>
      <ns0:c r="K27" s="3" t="n">
        <ns0:v>0</ns0:v>
      </ns0:c>
      <ns0:c r="L27" s="3" t="n">
        <ns0:v>0</ns0:v>
      </ns0:c>
      <ns0:c r="M27" s="3" t="n">
        <ns0:v>2</ns0:v>
      </ns0:c>
      <ns0:c r="N27" s="3" t="n">
        <ns0:v>12</ns0:v>
      </ns0:c>
      <ns0:c r="O27" s="3" t="n">
        <ns0:v>6</ns0:v>
      </ns0:c>
      <ns0:c r="P27" s="3">
        <ns0:f>SUM(I27:O27)</ns0:f>
        <ns0:v/>
      </ns0:c>
      <ns0:c r="Q27" s="3">
        <ns0:f>P27/G27</ns0:f>
        <ns0:v/>
      </ns0:c>
    </ns0:row>
    <ns0:row r="28" ht="56.25" customHeight="1">
      <ns0:c r="C28" s="4" t="n">
        <ns0:v>45827</ns0:v>
      </ns0:c>
      <ns0:c r="D28" s="3" t="inlineStr">
        <ns0:is>
          <ns0:t>E2-3B</ns0:t>
        </ns0:is>
      </ns0:c>
      <ns0:c r="E28" s="3" t="inlineStr">
        <ns0:is>
          <ns0:t>VP #3</ns0:t>
        </ns0:is>
      </ns0:c>
      <ns0:c r="F28" s="3" t="inlineStr">
        <ns0:is>
          <ns0:t>IR250616001</ns0:t>
        </ns0:is>
      </ns0:c>
      <ns0:c r="G28" s="3" t="n">
        <ns0:v>580</ns0:v>
      </ns0:c>
      <ns0:c r="H28" s="3">
        <ns0:f>G28-P28</ns0:f>
        <ns0:v/>
      </ns0:c>
      <ns0:c r="I28" s="3" t="n">
        <ns0:v>0</ns0:v>
      </ns0:c>
      <ns0:c r="J28" s="3" t="n">
        <ns0:v>0</ns0:v>
      </ns0:c>
      <ns0:c r="K28" s="3" t="n">
        <ns0:v>2</ns0:v>
      </ns0:c>
      <ns0:c r="L28" s="3" t="n">
        <ns0:v>0</ns0:v>
      </ns0:c>
      <ns0:c r="M28" s="3" t="n">
        <ns0:v>0</ns0:v>
      </ns0:c>
      <ns0:c r="N28" s="3" t="n">
        <ns0:v>3</ns0:v>
      </ns0:c>
      <ns0:c r="O28" s="3" t="n">
        <ns0:v>10</ns0:v>
      </ns0:c>
      <ns0:c r="P28" s="3">
        <ns0:f>SUM(I28:O28)</ns0:f>
        <ns0:v/>
      </ns0:c>
      <ns0:c r="Q28" s="3">
        <ns0:f>P28/G28</ns0:f>
        <ns0:v/>
      </ns0:c>
    </ns0:row>
    <ns0:row r="29" ht="56.25" customHeight="1">
      <ns0:c r="E29" s="3" t="inlineStr">
        <ns0:is>
          <ns0:t>VP #2</ns0:t>
        </ns0:is>
      </ns0:c>
      <ns0:c r="F29" s="3" t="inlineStr">
        <ns0:is>
          <ns0:t>IR250616001</ns0:t>
        </ns0:is>
      </ns0:c>
      <ns0:c r="G29" s="3" t="n">
        <ns0:v>584</ns0:v>
      </ns0:c>
      <ns0:c r="H29" s="3">
        <ns0:f>G29-P29</ns0:f>
        <ns0:v/>
      </ns0:c>
      <ns0:c r="I29" s="3" t="n">
        <ns0:v>0</ns0:v>
      </ns0:c>
      <ns0:c r="J29" s="3" t="n">
        <ns0:v>0</ns0:v>
      </ns0:c>
      <ns0:c r="K29" s="3" t="n">
        <ns0:v>1</ns0:v>
      </ns0:c>
      <ns0:c r="L29" s="3" t="n">
        <ns0:v>0</ns0:v>
      </ns0:c>
      <ns0:c r="M29" s="3" t="n">
        <ns0:v>0</ns0:v>
      </ns0:c>
      <ns0:c r="N29" s="3" t="n">
        <ns0:v>6</ns0:v>
      </ns0:c>
      <ns0:c r="O29" s="3" t="n">
        <ns0:v>6</ns0:v>
      </ns0:c>
      <ns0:c r="P29" s="3">
        <ns0:f>SUM(I29:O29)</ns0:f>
        <ns0:v/>
      </ns0:c>
      <ns0:c r="Q29" s="3">
        <ns0:f>P29/G29</ns0:f>
        <ns0:v/>
      </ns0:c>
    </ns0:row>
    <ns0:row r="30" ht="56.25" customHeight="1">
      <ns0:c r="E30" s="3" t="inlineStr">
        <ns0:is>
          <ns0:t>VP #6</ns0:t>
        </ns0:is>
      </ns0:c>
      <ns0:c r="F30" s="3" t="inlineStr">
        <ns0:is>
          <ns0:t>IR250616001</ns0:t>
        </ns0:is>
      </ns0:c>
      <ns0:c r="G30" s="3" t="n">
        <ns0:v>588</ns0:v>
      </ns0:c>
      <ns0:c r="H30" s="3">
        <ns0:f>G30-P30</ns0:f>
        <ns0:v/>
      </ns0:c>
      <ns0:c r="I30" s="3" t="n">
        <ns0:v>0</ns0:v>
      </ns0:c>
      <ns0:c r="J30" s="3" t="n">
        <ns0:v>0</ns0:v>
      </ns0:c>
      <ns0:c r="K30" s="3" t="n">
        <ns0:v>0</ns0:v>
      </ns0:c>
      <ns0:c r="L30" s="3" t="n">
        <ns0:v>0</ns0:v>
      </ns0:c>
      <ns0:c r="M30" s="3" t="n">
        <ns0:v>0</ns0:v>
      </ns0:c>
      <ns0:c r="N30" s="3" t="n">
        <ns0:v>14</ns0:v>
      </ns0:c>
      <ns0:c r="O30" s="3" t="n">
        <ns0:v>1</ns0:v>
      </ns0:c>
      <ns0:c r="P30" s="3">
        <ns0:f>SUM(I30:O30)</ns0:f>
        <ns0:v/>
      </ns0:c>
      <ns0:c r="Q30" s="3">
        <ns0:f>P30/G30</ns0:f>
        <ns0:v/>
      </ns0:c>
      <ns0:c r="R30" s="3" t="inlineStr">
        <ns0:is>
          <ns0:t>Decap NG separate VP+CD</ns0:t>
        </ns0:is>
      </ns0:c>
      <ns0:c r="S30" s="3" t="inlineStr">
        <ns0:is>
          <ns0:t>VP  #9,#10,#11 NG function high than normal</ns0:t>
        </ns0:is>
      </ns0:c>
    </ns0:row>
    <ns0:row r="31" ht="56.25" customHeight="1">
      <ns0:c r="E31" s="3" t="inlineStr">
        <ns0:is>
          <ns0:t>VP #9</ns0:t>
        </ns0:is>
      </ns0:c>
      <ns0:c r="F31" s="3" t="inlineStr">
        <ns0:is>
          <ns0:t>IR250616001</ns0:t>
        </ns0:is>
      </ns0:c>
      <ns0:c r="G31" s="3" t="n">
        <ns0:v>583</ns0:v>
      </ns0:c>
      <ns0:c r="H31" s="3">
        <ns0:f>G31-P31</ns0:f>
        <ns0:v/>
      </ns0:c>
      <ns0:c r="I31" s="3" t="n">
        <ns0:v>0</ns0:v>
      </ns0:c>
      <ns0:c r="J31" s="3" t="n">
        <ns0:v>0</ns0:v>
      </ns0:c>
      <ns0:c r="K31" s="3" t="n">
        <ns0:v>0</ns0:v>
      </ns0:c>
      <ns0:c r="L31" s="3" t="n">
        <ns0:v>0</ns0:v>
      </ns0:c>
      <ns0:c r="M31" s="3" t="n">
        <ns0:v>1</ns0:v>
      </ns0:c>
      <ns0:c r="N31" s="3" t="n">
        <ns0:v>15</ns0:v>
      </ns0:c>
      <ns0:c r="O31" s="3" t="n">
        <ns0:v>9</ns0:v>
      </ns0:c>
      <ns0:c r="P31" s="3">
        <ns0:f>SUM(I31:O31)</ns0:f>
        <ns0:v/>
      </ns0:c>
      <ns0:c r="Q31" s="3">
        <ns0:f>P31/G31</ns0:f>
        <ns0:v/>
      </ns0:c>
    </ns0:row>
    <ns0:row r="32" ht="56.25" customHeight="1">
      <ns0:c r="E32" s="3" t="inlineStr">
        <ns0:is>
          <ns0:t>VP #12</ns0:t>
        </ns0:is>
      </ns0:c>
      <ns0:c r="F32" s="3" t="inlineStr">
        <ns0:is>
          <ns0:t>IR250616001</ns0:t>
        </ns0:is>
      </ns0:c>
      <ns0:c r="G32" s="3" t="n">
        <ns0:v>577</ns0:v>
      </ns0:c>
      <ns0:c r="H32" s="3">
        <ns0:f>G32-P32</ns0:f>
        <ns0:v/>
      </ns0:c>
      <ns0:c r="I32" s="3" t="n">
        <ns0:v>0</ns0:v>
      </ns0:c>
      <ns0:c r="J32" s="3" t="n">
        <ns0:v>0</ns0:v>
      </ns0:c>
      <ns0:c r="K32" s="3" t="n">
        <ns0:v>1</ns0:v>
      </ns0:c>
      <ns0:c r="L32" s="3" t="n">
        <ns0:v>0</ns0:v>
      </ns0:c>
      <ns0:c r="M32" s="3" t="n">
        <ns0:v>1</ns0:v>
      </ns0:c>
      <ns0:c r="N32" s="3" t="n">
        <ns0:v>9</ns0:v>
      </ns0:c>
      <ns0:c r="O32" s="3" t="n">
        <ns0:v>5</ns0:v>
      </ns0:c>
      <ns0:c r="P32" s="3">
        <ns0:f>SUM(I32:O32)</ns0:f>
        <ns0:v/>
      </ns0:c>
      <ns0:c r="Q32" s="3">
        <ns0:f>P32/G32</ns0:f>
        <ns0:v/>
      </ns0:c>
    </ns0:row>
    <ns0:row r="33" ht="56.25" customHeight="1">
      <ns0:c r="E33" s="3" t="inlineStr">
        <ns0:is>
          <ns0:t>VP #8</ns0:t>
        </ns0:is>
      </ns0:c>
      <ns0:c r="F33" s="3" t="inlineStr">
        <ns0:is>
          <ns0:t>IR250616001</ns0:t>
        </ns0:is>
      </ns0:c>
      <ns0:c r="G33" s="3" t="n">
        <ns0:v>590</ns0:v>
      </ns0:c>
      <ns0:c r="H33" s="3">
        <ns0:f>G33-P33</ns0:f>
        <ns0:v/>
      </ns0:c>
      <ns0:c r="I33" s="3" t="n">
        <ns0:v>0</ns0:v>
      </ns0:c>
      <ns0:c r="J33" s="3" t="n">
        <ns0:v>0</ns0:v>
      </ns0:c>
      <ns0:c r="K33" s="3" t="n">
        <ns0:v>1</ns0:v>
      </ns0:c>
      <ns0:c r="L33" s="3" t="n">
        <ns0:v>0</ns0:v>
      </ns0:c>
      <ns0:c r="M33" s="3" t="n">
        <ns0:v>1</ns0:v>
      </ns0:c>
      <ns0:c r="N33" s="3" t="n">
        <ns0:v>8</ns0:v>
      </ns0:c>
      <ns0:c r="O33" s="3" t="n">
        <ns0:v>4</ns0:v>
      </ns0:c>
      <ns0:c r="P33" s="3">
        <ns0:f>SUM(I33:O33)</ns0:f>
        <ns0:v/>
      </ns0:c>
      <ns0:c r="Q33" s="3">
        <ns0:f>P33/G33</ns0:f>
        <ns0:v/>
      </ns0:c>
    </ns0:row>
    <ns0:row r="34" ht="56.25" customHeight="1">
      <ns0:c r="E34" s="3" t="inlineStr">
        <ns0:is>
          <ns0:t>VP #11</ns0:t>
        </ns0:is>
      </ns0:c>
      <ns0:c r="F34" s="3" t="inlineStr">
        <ns0:is>
          <ns0:t>IR250616001</ns0:t>
        </ns0:is>
      </ns0:c>
      <ns0:c r="G34" s="3" t="n">
        <ns0:v>594</ns0:v>
      </ns0:c>
      <ns0:c r="H34" s="3">
        <ns0:f>G34-P34</ns0:f>
        <ns0:v/>
      </ns0:c>
      <ns0:c r="I34" s="3" t="n">
        <ns0:v>0</ns0:v>
      </ns0:c>
      <ns0:c r="J34" s="3" t="n">
        <ns0:v>0</ns0:v>
      </ns0:c>
      <ns0:c r="K34" s="3" t="n">
        <ns0:v>0</ns0:v>
      </ns0:c>
      <ns0:c r="L34" s="3" t="n">
        <ns0:v>0</ns0:v>
      </ns0:c>
      <ns0:c r="M34" s="3" t="n">
        <ns0:v>1</ns0:v>
      </ns0:c>
      <ns0:c r="N34" s="3" t="n">
        <ns0:v>14</ns0:v>
      </ns0:c>
      <ns0:c r="O34" s="3" t="n">
        <ns0:v>8</ns0:v>
      </ns0:c>
      <ns0:c r="P34" s="3">
        <ns0:f>SUM(I34:O34)</ns0:f>
        <ns0:v/>
      </ns0:c>
      <ns0:c r="Q34" s="3">
        <ns0:f>P34/G34</ns0:f>
        <ns0:v/>
      </ns0:c>
    </ns0:row>
    <ns0:row r="35" ht="56.25" customHeight="1">
      <ns0:c r="E35" s="3" t="inlineStr">
        <ns0:is>
          <ns0:t>VP #10</ns0:t>
        </ns0:is>
      </ns0:c>
      <ns0:c r="F35" s="3" t="inlineStr">
        <ns0:is>
          <ns0:t>IR250616001</ns0:t>
        </ns0:is>
      </ns0:c>
      <ns0:c r="G35" s="3" t="n">
        <ns0:v>537</ns0:v>
      </ns0:c>
      <ns0:c r="H35" s="3">
        <ns0:f>G35-P35</ns0:f>
        <ns0:v/>
      </ns0:c>
      <ns0:c r="I35" s="3" t="n">
        <ns0:v>0</ns0:v>
      </ns0:c>
      <ns0:c r="J35" s="3" t="n">
        <ns0:v>0</ns0:v>
      </ns0:c>
      <ns0:c r="K35" s="3" t="n">
        <ns0:v>1</ns0:v>
      </ns0:c>
      <ns0:c r="L35" s="3" t="n">
        <ns0:v>0</ns0:v>
      </ns0:c>
      <ns0:c r="M35" s="3" t="n">
        <ns0:v>0</ns0:v>
      </ns0:c>
      <ns0:c r="N35" s="3" t="n">
        <ns0:v>11</ns0:v>
      </ns0:c>
      <ns0:c r="O35" s="3" t="n">
        <ns0:v>9</ns0:v>
      </ns0:c>
      <ns0:c r="P35" s="3">
        <ns0:f>SUM(I35:O35)</ns0:f>
        <ns0:v/>
      </ns0:c>
      <ns0:c r="Q35" s="3">
        <ns0:f>P35/G35</ns0:f>
        <ns0:v/>
      </ns0:c>
    </ns0:row>
    <ns0:row r="36" ht="56.25" customHeight="1">
      <ns0:c r="E36" s="3" t="inlineStr">
        <ns0:is>
          <ns0:t>Normal  #3</ns0:t>
        </ns0:is>
      </ns0:c>
      <ns0:c r="F36" s="3" t="inlineStr">
        <ns0:is>
          <ns0:t>IR250530004</ns0:t>
        </ns0:is>
      </ns0:c>
      <ns0:c r="G36" s="3" t="n">
        <ns0:v>800</ns0:v>
      </ns0:c>
      <ns0:c r="H36" s="3">
        <ns0:f>G36-P36</ns0:f>
        <ns0:v/>
      </ns0:c>
      <ns0:c r="I36" s="3" t="n">
        <ns0:v>0</ns0:v>
      </ns0:c>
      <ns0:c r="J36" s="3" t="n">
        <ns0:v>0</ns0:v>
      </ns0:c>
      <ns0:c r="K36" s="3" t="n">
        <ns0:v>1</ns0:v>
      </ns0:c>
      <ns0:c r="L36" s="3" t="n">
        <ns0:v>0</ns0:v>
      </ns0:c>
      <ns0:c r="M36" s="3" t="n">
        <ns0:v>1</ns0:v>
      </ns0:c>
      <ns0:c r="N36" s="3" t="n">
        <ns0:v>11</ns0:v>
      </ns0:c>
      <ns0:c r="O36" s="3" t="n">
        <ns0:v>8</ns0:v>
      </ns0:c>
      <ns0:c r="P36" s="3">
        <ns0:f>SUM(I36:O36)</ns0:f>
        <ns0:v/>
      </ns0:c>
      <ns0:c r="Q36" s="3">
        <ns0:f>P36/G36</ns0:f>
        <ns0:v/>
      </ns0:c>
    </ns0:row>
    <ns0:row r="37" ht="56.25" customHeight="1"/>
    <ns0:row r="38" ht="56.25" customHeight="1"/>
    <ns0:row r="39" ht="40.75" customHeight="1">
      <ns0:c r="B39" s="3" t="inlineStr">
        <ns0:is>
          <ns0:t>4. Decision</ns0:t>
        </ns0:is>
      </ns0:c>
    </ns0:row>
    <ns0:row r="40" ht="40.75" customHeight="1"/>
    <ns0:row r="41" ht="40.75" customHeight="1"/>
    <ns0:row r="42" ht="40.75" customHeight="1"/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U76"/>
  <ns0:sheetViews>
    <ns0:sheetView workbookViewId="0">
      <ns0:selection activeCell="A1" sqref="A1"/>
    </ns0:sheetView>
  </ns0:sheetViews>
  <ns0:sheetFormatPr baseColWidth="8" defaultRowHeight="15"/>
  <ns0:cols>
    <ns0:col width="7.25" customWidth="1" min="1" max="1"/>
    <ns0:col width="21.5" customWidth="1" min="2" max="2"/>
    <ns0:col width="15.5" customWidth="1" min="3" max="3"/>
    <ns0:col width="14.75" customWidth="1" min="4" max="4"/>
    <ns0:col width="17" customWidth="1" min="5" max="5"/>
    <ns0:col width="17" customWidth="1" min="6" max="6"/>
    <ns0:col width="15.25" customWidth="1" min="7" max="7"/>
    <ns0:col width="15.25" customWidth="1" min="8" max="8"/>
    <ns0:col width="15.25" customWidth="1" min="9" max="9"/>
    <ns0:col width="15.25" customWidth="1" min="10" max="10"/>
    <ns0:col width="15.25" customWidth="1" min="11" max="11"/>
    <ns0:col width="15.25" customWidth="1" min="12" max="12"/>
    <ns0:col width="15.25" customWidth="1" min="13" max="13"/>
    <ns0:col width="15.25" customWidth="1" min="14" max="14"/>
    <ns0:col width="15.25" customWidth="1" min="15" max="15"/>
    <ns0:col width="15.25" customWidth="1" min="16" max="16"/>
    <ns0:col width="15.25" customWidth="1" min="17" max="17"/>
    <ns0:col width="19.25" customWidth="1" min="20" max="20"/>
    <ns0:col width="19.2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  <ns0:col width="8.5" customWidth="1" min="55" max="55"/>
    <ns0:col width="8.5" customWidth="1" min="56" max="56"/>
    <ns0:col width="8.5" customWidth="1" min="57" max="57"/>
    <ns0:col width="8.5" customWidth="1" min="58" max="58"/>
    <ns0:col width="8.5" customWidth="1" min="59" max="59"/>
    <ns0:col width="8.5" customWidth="1" min="60" max="60"/>
  </ns0:cols>
  <ns0:sheetData>
    <ns0:row r="1" ht="56.25" customHeight="1"/>
    <ns0:row r="2" ht="56.25" customHeight="1">
      <ns0:c r="B2" s="3" t="inlineStr">
        <ns0:is>
          <ns0:t>TITLE</ns0:t>
        </ns0:is>
      </ns0:c>
      <ns0:c r="D2" s="3" t="inlineStr">
        <ns0:is>
          <ns0:t xml:space="preserve"> BRS-161016 - REPORT TEST CHANGE BONDING LINE ASS'Y VP+CD SUB 1</ns0:t>
        </ns0:is>
      </ns0:c>
      <ns0:c r="T2" s="3" t="inlineStr">
        <ns0:is>
          <ns0:t>Dept</ns0:t>
        </ns0:is>
      </ns0:c>
      <ns0:c r="U2" s="3" t="inlineStr">
        <ns0:is>
          <ns0:t>ME</ns0:t>
        </ns0:is>
      </ns0:c>
    </ns0:row>
    <ns0:row r="3" ht="56.25" customHeight="1">
      <ns0:c r="T3" s="3" t="inlineStr">
        <ns0:is>
          <ns0:t>Date</ns0:t>
        </ns0:is>
      </ns0:c>
      <ns0:c r="U3" s="4" t="n">
        <ns0:v>45814</ns0:v>
      </ns0:c>
    </ns0:row>
    <ns0:row r="4" ht="56.25" customHeight="1">
      <ns0:c r="T4" s="3" t="inlineStr">
        <ns0:is>
          <ns0:t>Marker</ns0:t>
        </ns0:is>
      </ns0:c>
      <ns0:c r="U4" s="3" t="inlineStr">
        <ns0:is>
          <ns0:t>NHUNG</ns0:t>
        </ns0:is>
      </ns0:c>
    </ns0:row>
    <ns0:row r="5" ht="56.25" customHeight="1">
      <ns0:c r="B5" s="3" t="inlineStr">
        <ns0:is>
          <ns0:t>I. Purpose.</ns0:t>
        </ns0:is>
      </ns0:c>
    </ns0:row>
    <ns0:row r="6" ht="56.25" customHeight="1">
      <ns0:c r="B6" s="3" t="inlineStr">
        <ns0:is>
          <ns0:t xml:space="preserve"> - To improve NG hearing high</ns0:t>
        </ns0:is>
      </ns0:c>
    </ns0:row>
    <ns0:row r="7" ht="56.25" customHeight="1">
      <ns0:c r="B7" s="3" t="inlineStr">
        <ns0:is>
          <ns0:t>II. Content.</ns0:t>
        </ns0:is>
      </ns0:c>
    </ns0:row>
    <ns0:row r="8" ht="56.25" customHeight="1">
      <ns0:c r="B8" s="3" t="inlineStr">
        <ns0:is>
          <ns0:t xml:space="preserve"> - Change bonding line VP+CD: Open outside 0.05, small inside 0.05 =&gt; make sample and check NG rate of function SPK and Module (Compare with normal)</ns0:t>
        </ns0:is>
      </ns0:c>
    </ns0:row>
    <ns0:row r="9" ht="56.25" customHeight="1">
      <ns0:c r="C9" s="3" t="inlineStr">
        <ns0:is>
          <ns0:t>Bonding line</ns0:t>
        </ns0:is>
      </ns0:c>
      <ns0:c r="D9" s="3" t="inlineStr">
        <ns0:is>
          <ns0:t>Parameter bonding line</ns0:t>
        </ns0:is>
      </ns0:c>
    </ns0:row>
    <ns0:row r="10" ht="56.25" customHeight="1">
      <ns0:c r="C10" s="3" t="inlineStr">
        <ns0:is>
          <ns0:t xml:space="preserve">Normal </ns0:t>
        </ns0:is>
      </ns0:c>
    </ns0:row>
    <ns0:row r="11" ht="56.25" customHeight="1"/>
    <ns0:row r="12" ht="56.25" customHeight="1"/>
    <ns0:row r="13" ht="56.25" customHeight="1"/>
    <ns0:row r="14" ht="56.25" customHeight="1">
      <ns0:c r="C14" s="3" t="inlineStr">
        <ns0:is>
          <ns0:t>Test open outside 0.05</ns0:t>
        </ns0:is>
      </ns0:c>
    </ns0:row>
    <ns0:row r="15" ht="56.25" customHeight="1"/>
    <ns0:row r="16" ht="56.25" customHeight="1"/>
    <ns0:row r="17" ht="56.25" customHeight="1"/>
    <ns0:row r="18" ht="56.25" customHeight="1">
      <ns0:c r="C18" s="3" t="inlineStr">
        <ns0:is>
          <ns0:t>Test small inside 0.05</ns0:t>
        </ns0:is>
      </ns0:c>
    </ns0:row>
    <ns0:row r="19" ht="56.25" customHeight="1"/>
    <ns0:row r="20" ht="56.25" customHeight="1"/>
    <ns0:row r="21" ht="56.25" customHeight="1"/>
    <ns0:row r="22" ht="56.25" customHeight="1"/>
    <ns0:row r="23" ht="56.25" customHeight="1">
      <ns0:c r="B23" s="3" t="inlineStr">
        <ns0:is>
          <ns0:t xml:space="preserve">III. Result </ns0:t>
        </ns0:is>
      </ns0:c>
    </ns0:row>
    <ns0:row r="24" ht="56.25" customHeight="1">
      <ns0:c r="C24" s="3" t="inlineStr">
        <ns0:is>
          <ns0:t xml:space="preserve">1.RESULT CHECKING VISION VP/CD </ns0:t>
        </ns0:is>
      </ns0:c>
    </ns0:row>
    <ns0:row r="25" ht="48.75" customHeight="1">
      <ns0:c r="C25" s="3" t="inlineStr">
        <ns0:is>
          <ns0:t>Date</ns0:t>
        </ns0:is>
      </ns0:c>
      <ns0:c r="D25" s="3" t="inlineStr">
        <ns0:is>
          <ns0:t>Line</ns0:t>
        </ns0:is>
      </ns0:c>
      <ns0:c r="E25" s="3" t="inlineStr">
        <ns0:is>
          <ns0:t>Type</ns0:t>
        </ns0:is>
      </ns0:c>
      <ns0:c r="G25" s="3" t="inlineStr">
        <ns0:is>
          <ns0:t xml:space="preserve">Input </ns0:t>
        </ns0:is>
      </ns0:c>
      <ns0:c r="H25" s="3" t="inlineStr">
        <ns0:is>
          <ns0:t xml:space="preserve">OK  </ns0:t>
        </ns0:is>
      </ns0:c>
      <ns0:c r="I25" s="3" t="inlineStr">
        <ns0:is>
          <ns0:t xml:space="preserve">NG Vision VP/CD </ns0:t>
        </ns0:is>
      </ns0:c>
      <ns0:c r="P25" s="3" t="inlineStr">
        <ns0:is>
          <ns0:t>Total NG</ns0:t>
        </ns0:is>
      </ns0:c>
      <ns0:c r="Q25" s="3" t="inlineStr">
        <ns0:is>
          <ns0:t>Total NG rate</ns0:t>
        </ns0:is>
      </ns0:c>
    </ns0:row>
    <ns0:row r="26" ht="48.75" customHeight="1">
      <ns0:c r="I26" s="3" t="inlineStr">
        <ns0:is>
          <ns0:t>VP + CD
 separate</ns0:t>
        </ns0:is>
      </ns0:c>
      <ns0:c r="J26" s="3" t="inlineStr">
        <ns0:is>
          <ns0:t>Lack glue</ns0:t>
        </ns0:is>
      </ns0:c>
      <ns0:c r="K26" s="3" t="inlineStr">
        <ns0:is>
          <ns0:t xml:space="preserve">Over glue </ns0:t>
        </ns0:is>
      </ns0:c>
      <ns0:c r="L26" s="3" t="inlineStr">
        <ns0:is>
          <ns0:t>Dome damage</ns0:t>
        </ns0:is>
      </ns0:c>
      <ns0:c r="M26" s="3" t="inlineStr">
        <ns0:is>
          <ns0:t>Particle</ns0:t>
        </ns0:is>
      </ns0:c>
      <ns0:c r="N26" s="3" t="inlineStr">
        <ns0:is>
          <ns0:t>VP damage</ns0:t>
        </ns0:is>
      </ns0:c>
      <ns0:c r="O26" s="3" t="inlineStr">
        <ns0:is>
          <ns0:t>Other</ns0:t>
        </ns0:is>
      </ns0:c>
    </ns0:row>
    <ns0:row r="27" ht="48.75" customHeight="1">
      <ns0:c r="C27" s="4" t="n">
        <ns0:v>45814</ns0:v>
      </ns0:c>
      <ns0:c r="D27" s="3" t="inlineStr">
        <ns0:is>
          <ns0:t>E2-3B</ns0:t>
        </ns0:is>
      </ns0:c>
      <ns0:c r="E27" s="3" t="inlineStr">
        <ns0:is>
          <ns0:t>Bonding open outside 0.05</ns0:t>
        </ns0:is>
      </ns0:c>
      <ns0:c r="G27" s="3" t="n">
        <ns0:v>521</ns0:v>
      </ns0:c>
      <ns0:c r="H27" s="3">
        <ns0:f>G27-P27</ns0:f>
        <ns0:v/>
      </ns0:c>
      <ns0:c r="I27" s="3" t="n">
        <ns0:v>3</ns0:v>
      </ns0:c>
      <ns0:c r="J27" s="3" t="n">
        <ns0:v>0</ns0:v>
      </ns0:c>
      <ns0:c r="K27" s="3" t="n">
        <ns0:v>1</ns0:v>
      </ns0:c>
      <ns0:c r="L27" s="3" t="n">
        <ns0:v>0</ns0:v>
      </ns0:c>
      <ns0:c r="M27" s="3" t="n">
        <ns0:v>1</ns0:v>
      </ns0:c>
      <ns0:c r="N27" s="3" t="n">
        <ns0:v>0</ns0:v>
      </ns0:c>
      <ns0:c r="O27" s="3" t="n">
        <ns0:v>0</ns0:v>
      </ns0:c>
      <ns0:c r="P27" s="3">
        <ns0:f>SUM(I27:O27)</ns0:f>
        <ns0:v/>
      </ns0:c>
      <ns0:c r="Q27" s="3">
        <ns0:f>P27/G27</ns0:f>
        <ns0:v/>
      </ns0:c>
    </ns0:row>
    <ns0:row r="28" ht="48.75" customHeight="1">
      <ns0:c r="E28" s="3" t="inlineStr">
        <ns0:is>
          <ns0:t>Bonding small inside 0.05</ns0:t>
        </ns0:is>
      </ns0:c>
      <ns0:c r="G28" s="3" t="n">
        <ns0:v>535</ns0:v>
      </ns0:c>
      <ns0:c r="H28" s="3">
        <ns0:f>G28-P28</ns0:f>
        <ns0:v/>
      </ns0:c>
      <ns0:c r="I28" s="3" t="n">
        <ns0:v>0</ns0:v>
      </ns0:c>
      <ns0:c r="J28" s="3" t="n">
        <ns0:v>0</ns0:v>
      </ns0:c>
      <ns0:c r="K28" s="3" t="n">
        <ns0:v>18</ns0:v>
      </ns0:c>
      <ns0:c r="L28" s="3" t="n">
        <ns0:v>1</ns0:v>
      </ns0:c>
      <ns0:c r="M28" s="3" t="n">
        <ns0:v>0</ns0:v>
      </ns0:c>
      <ns0:c r="N28" s="3" t="n">
        <ns0:v>0</ns0:v>
      </ns0:c>
      <ns0:c r="O28" s="3" t="n">
        <ns0:v>0</ns0:v>
      </ns0:c>
      <ns0:c r="P28" s="3">
        <ns0:f>SUM(I28:O28)</ns0:f>
        <ns0:v/>
      </ns0:c>
      <ns0:c r="Q28" s="3">
        <ns0:f>P28/G28</ns0:f>
        <ns0:v/>
      </ns0:c>
    </ns0:row>
    <ns0:row r="29" ht="48.75" customHeight="1">
      <ns0:c r="E29" s="3" t="inlineStr">
        <ns0:is>
          <ns0:t>Normal bonding line</ns0:t>
        </ns0:is>
      </ns0:c>
      <ns0:c r="G29" s="3" t="n">
        <ns0:v>500</ns0:v>
      </ns0:c>
      <ns0:c r="H29" s="3">
        <ns0:f>G29-P29</ns0:f>
        <ns0:v/>
      </ns0:c>
      <ns0:c r="I29" s="3" t="n">
        <ns0:v>3</ns0:v>
      </ns0:c>
      <ns0:c r="J29" s="3" t="n">
        <ns0:v>0</ns0:v>
      </ns0:c>
      <ns0:c r="K29" s="3" t="n">
        <ns0:v>1</ns0:v>
      </ns0:c>
      <ns0:c r="L29" s="3" t="n">
        <ns0:v>0</ns0:v>
      </ns0:c>
      <ns0:c r="M29" s="3" t="n">
        <ns0:v>1</ns0:v>
      </ns0:c>
      <ns0:c r="N29" s="3" t="n">
        <ns0:v>0</ns0:v>
      </ns0:c>
      <ns0:c r="O29" s="3" t="n">
        <ns0:v>0</ns0:v>
      </ns0:c>
      <ns0:c r="P29" s="3">
        <ns0:f>SUM(I29:O29)</ns0:f>
        <ns0:v/>
      </ns0:c>
      <ns0:c r="Q29" s="3">
        <ns0:f>P29/G29</ns0:f>
        <ns0:v/>
      </ns0:c>
    </ns0:row>
    <ns0:row r="30" ht="48.75" customHeight="1">
      <ns0:c r="C30" s="4" t="n">
        <ns0:v>45818</ns0:v>
      </ns0:c>
      <ns0:c r="D30" s="3" t="inlineStr">
        <ns0:is>
          <ns0:t>E2-3A</ns0:t>
        </ns0:is>
      </ns0:c>
      <ns0:c r="E30" s="3" t="inlineStr">
        <ns0:is>
          <ns0:t>Bonding small inside 0.05</ns0:t>
        </ns0:is>
      </ns0:c>
      <ns0:c r="G30" s="3" t="n">
        <ns0:v>1035</ns0:v>
      </ns0:c>
      <ns0:c r="H30" s="3">
        <ns0:f>G30-P30</ns0:f>
        <ns0:v/>
      </ns0:c>
      <ns0:c r="I30" s="3" t="n">
        <ns0:v>3</ns0:v>
      </ns0:c>
      <ns0:c r="J30" s="3" t="n">
        <ns0:v>0</ns0:v>
      </ns0:c>
      <ns0:c r="K30" s="3" t="n">
        <ns0:v>1</ns0:v>
      </ns0:c>
      <ns0:c r="L30" s="3" t="n">
        <ns0:v>0</ns0:v>
      </ns0:c>
      <ns0:c r="M30" s="3" t="n">
        <ns0:v>1</ns0:v>
      </ns0:c>
      <ns0:c r="N30" s="3" t="n">
        <ns0:v>0</ns0:v>
      </ns0:c>
      <ns0:c r="O30" s="3" t="n">
        <ns0:v>0</ns0:v>
      </ns0:c>
      <ns0:c r="P30" s="3">
        <ns0:f>SUM(I30:O30)</ns0:f>
        <ns0:v/>
      </ns0:c>
      <ns0:c r="Q30" s="3">
        <ns0:f>P30/G30</ns0:f>
        <ns0:v/>
      </ns0:c>
    </ns0:row>
    <ns0:row r="31" ht="48.75" customHeight="1">
      <ns0:c r="E31" s="3" t="inlineStr">
        <ns0:is>
          <ns0:t>Normal bonding line</ns0:t>
        </ns0:is>
      </ns0:c>
      <ns0:c r="G31" s="3" t="n">
        <ns0:v>1000</ns0:v>
      </ns0:c>
      <ns0:c r="H31" s="3">
        <ns0:f>G31-P31</ns0:f>
        <ns0:v/>
      </ns0:c>
      <ns0:c r="I31" s="3" t="n">
        <ns0:v>4</ns0:v>
      </ns0:c>
      <ns0:c r="J31" s="3" t="n">
        <ns0:v>0</ns0:v>
      </ns0:c>
      <ns0:c r="K31" s="3" t="n">
        <ns0:v>1</ns0:v>
      </ns0:c>
      <ns0:c r="L31" s="3" t="n">
        <ns0:v>1</ns0:v>
      </ns0:c>
      <ns0:c r="M31" s="3" t="n">
        <ns0:v>0</ns0:v>
      </ns0:c>
      <ns0:c r="N31" s="3" t="n">
        <ns0:v>0</ns0:v>
      </ns0:c>
      <ns0:c r="O31" s="3" t="n">
        <ns0:v>0</ns0:v>
      </ns0:c>
      <ns0:c r="P31" s="3">
        <ns0:f>SUM(I31:O31)</ns0:f>
        <ns0:v/>
      </ns0:c>
      <ns0:c r="Q31" s="3">
        <ns0:f>P31/G31</ns0:f>
        <ns0:v/>
      </ns0:c>
    </ns0:row>
    <ns0:row r="32" ht="48.75" customHeight="1">
      <ns0:c r="C32" s="4" t="n">
        <ns0:v>45822</ns0:v>
      </ns0:c>
      <ns0:c r="D32" s="3" t="inlineStr">
        <ns0:is>
          <ns0:t>E2-3A</ns0:t>
        </ns0:is>
      </ns0:c>
      <ns0:c r="E32" s="3" t="inlineStr">
        <ns0:is>
          <ns0:t>Bonding small inside 0.05</ns0:t>
        </ns0:is>
      </ns0:c>
      <ns0:c r="G32" s="3" t="n">
        <ns0:v>3180</ns0:v>
      </ns0:c>
      <ns0:c r="H32" s="3">
        <ns0:f>G32-P32</ns0:f>
        <ns0:v/>
      </ns0:c>
      <ns0:c r="I32" s="3" t="n">
        <ns0:v>8</ns0:v>
      </ns0:c>
      <ns0:c r="J32" s="3" t="n">
        <ns0:v>7</ns0:v>
      </ns0:c>
      <ns0:c r="K32" s="3" t="n">
        <ns0:v>0</ns0:v>
      </ns0:c>
      <ns0:c r="L32" s="3" t="n">
        <ns0:v>3</ns0:v>
      </ns0:c>
      <ns0:c r="M32" s="3" t="n">
        <ns0:v>2</ns0:v>
      </ns0:c>
      <ns0:c r="N32" s="3" t="n">
        <ns0:v>0</ns0:v>
      </ns0:c>
      <ns0:c r="O32" s="3" t="n">
        <ns0:v>0</ns0:v>
      </ns0:c>
      <ns0:c r="P32" s="3">
        <ns0:f>SUM(I32:O32)</ns0:f>
        <ns0:v/>
      </ns0:c>
      <ns0:c r="Q32" s="3">
        <ns0:f>P32/G32</ns0:f>
        <ns0:v/>
      </ns0:c>
    </ns0:row>
    <ns0:row r="33" ht="48.75" customHeight="1">
      <ns0:c r="E33" s="3" t="inlineStr">
        <ns0:is>
          <ns0:t>Normal bonding line</ns0:t>
        </ns0:is>
      </ns0:c>
      <ns0:c r="G33" s="3" t="n">
        <ns0:v>2460</ns0:v>
      </ns0:c>
      <ns0:c r="H33" s="3">
        <ns0:f>G33-P33</ns0:f>
        <ns0:v/>
      </ns0:c>
      <ns0:c r="I33" s="3" t="n">
        <ns0:v>6</ns0:v>
      </ns0:c>
      <ns0:c r="J33" s="3" t="n">
        <ns0:v>5</ns0:v>
      </ns0:c>
      <ns0:c r="K33" s="3" t="n">
        <ns0:v>0</ns0:v>
      </ns0:c>
      <ns0:c r="L33" s="3" t="n">
        <ns0:v>2</ns0:v>
      </ns0:c>
      <ns0:c r="M33" s="3" t="n">
        <ns0:v>3</ns0:v>
      </ns0:c>
      <ns0:c r="N33" s="3" t="n">
        <ns0:v>0</ns0:v>
      </ns0:c>
      <ns0:c r="O33" s="3" t="n">
        <ns0:v>0</ns0:v>
      </ns0:c>
      <ns0:c r="P33" s="3">
        <ns0:f>SUM(I33:O33)</ns0:f>
        <ns0:v/>
      </ns0:c>
      <ns0:c r="Q33" s="3">
        <ns0:f>P33/G33</ns0:f>
        <ns0:v/>
      </ns0:c>
    </ns0:row>
    <ns0:row r="34" ht="48.75" customHeight="1">
      <ns0:c r="C34" s="3" t="inlineStr">
        <ns0:is>
          <ns0:t>Total</ns0:t>
        </ns0:is>
      </ns0:c>
      <ns0:c r="E34" s="3" t="inlineStr">
        <ns0:is>
          <ns0:t>Bonding small inside 0.05</ns0:t>
        </ns0:is>
      </ns0:c>
      <ns0:c r="G34" s="3">
        <ns0:f>+G30+G32</ns0:f>
        <ns0:v/>
      </ns0:c>
      <ns0:c r="H34" s="3">
        <ns0:f>+H30+H32</ns0:f>
        <ns0:v/>
      </ns0:c>
      <ns0:c r="I34" s="3">
        <ns0:f>+I30+I32</ns0:f>
        <ns0:v/>
      </ns0:c>
      <ns0:c r="J34" s="3">
        <ns0:f>+J30+J32</ns0:f>
        <ns0:v/>
      </ns0:c>
      <ns0:c r="K34" s="3">
        <ns0:f>+K30+K32</ns0:f>
        <ns0:v/>
      </ns0:c>
      <ns0:c r="L34" s="3">
        <ns0:f>+L30+L32</ns0:f>
        <ns0:v/>
      </ns0:c>
      <ns0:c r="M34" s="3">
        <ns0:f>+M30+M32</ns0:f>
        <ns0:v/>
      </ns0:c>
      <ns0:c r="N34" s="3">
        <ns0:f>+N30+N32</ns0:f>
        <ns0:v/>
      </ns0:c>
      <ns0:c r="O34" s="3">
        <ns0:f>+O30+O32</ns0:f>
        <ns0:v/>
      </ns0:c>
      <ns0:c r="P34" s="3">
        <ns0:f>+P30+P32</ns0:f>
        <ns0:v/>
      </ns0:c>
      <ns0:c r="Q34" s="3">
        <ns0:f>+P34/G34</ns0:f>
        <ns0:v/>
      </ns0:c>
    </ns0:row>
    <ns0:row r="35" ht="48.75" customHeight="1">
      <ns0:c r="E35" s="3" t="inlineStr">
        <ns0:is>
          <ns0:t>Normal bonding line</ns0:t>
        </ns0:is>
      </ns0:c>
      <ns0:c r="G35" s="3">
        <ns0:f>+G29+G31+G33</ns0:f>
        <ns0:v/>
      </ns0:c>
      <ns0:c r="H35" s="3">
        <ns0:f>+H29+H31+H33</ns0:f>
        <ns0:v/>
      </ns0:c>
      <ns0:c r="I35" s="3">
        <ns0:f>+I29+I31+I33</ns0:f>
        <ns0:v/>
      </ns0:c>
      <ns0:c r="J35" s="3">
        <ns0:f>+J29+J31+J33</ns0:f>
        <ns0:v/>
      </ns0:c>
      <ns0:c r="K35" s="3">
        <ns0:f>+K29+K31+K33</ns0:f>
        <ns0:v/>
      </ns0:c>
      <ns0:c r="L35" s="3">
        <ns0:f>+L29+L31+L33</ns0:f>
        <ns0:v/>
      </ns0:c>
      <ns0:c r="M35" s="3">
        <ns0:f>+M29+M31+M33</ns0:f>
        <ns0:v/>
      </ns0:c>
      <ns0:c r="N35" s="3">
        <ns0:f>+N29+N31+N33</ns0:f>
        <ns0:v/>
      </ns0:c>
      <ns0:c r="O35" s="3">
        <ns0:f>+O29+O31+O33</ns0:f>
        <ns0:v/>
      </ns0:c>
      <ns0:c r="P35" s="3">
        <ns0:f>+P29+P31+P33</ns0:f>
        <ns0:v/>
      </ns0:c>
      <ns0:c r="Q35" s="3">
        <ns0:f>+P35/G35</ns0:f>
        <ns0:v/>
      </ns0:c>
    </ns0:row>
    <ns0:row r="36" ht="48.75" customHeight="1">
      <ns0:c r="C36" s="3" t="inlineStr">
        <ns0:is>
          <ns0:t>2. RESULT CHECKING FUNCTION OF SPK</ns0:t>
        </ns0:is>
      </ns0:c>
    </ns0:row>
    <ns0:row r="37" ht="42" customHeight="1">
      <ns0:c r="C37" s="3" t="inlineStr">
        <ns0:is>
          <ns0:t>Date</ns0:t>
        </ns0:is>
      </ns0:c>
      <ns0:c r="D37" s="3" t="inlineStr">
        <ns0:is>
          <ns0:t>Line</ns0:t>
        </ns0:is>
      </ns0:c>
      <ns0:c r="E37" s="3" t="inlineStr">
        <ns0:is>
          <ns0:t>Type</ns0:t>
        </ns0:is>
      </ns0:c>
      <ns0:c r="G37" s="3" t="inlineStr">
        <ns0:is>
          <ns0:t xml:space="preserve">Input </ns0:t>
        </ns0:is>
      </ns0:c>
      <ns0:c r="H37" s="3" t="inlineStr">
        <ns0:is>
          <ns0:t xml:space="preserve">OK  </ns0:t>
        </ns0:is>
      </ns0:c>
      <ns0:c r="I37" s="3" t="inlineStr">
        <ns0:is>
          <ns0:t>Air leak</ns0:t>
        </ns0:is>
      </ns0:c>
      <ns0:c r="J37" s="3" t="inlineStr">
        <ns0:is>
          <ns0:t xml:space="preserve">NG Sigma </ns0:t>
        </ns0:is>
      </ns0:c>
      <ns0:c r="N37" s="3" t="inlineStr">
        <ns0:is>
          <ns0:t xml:space="preserve">NG Hearing </ns0:t>
        </ns0:is>
      </ns0:c>
      <ns0:c r="P37" s="3" t="inlineStr">
        <ns0:is>
          <ns0:t>Total NG</ns0:t>
        </ns0:is>
      </ns0:c>
      <ns0:c r="Q37" s="3" t="inlineStr">
        <ns0:is>
          <ns0:t>Total NG rate</ns0:t>
        </ns0:is>
      </ns0:c>
      <ns0:c r="R37" s="3" t="inlineStr">
        <ns0:is>
          <ns0:t>Decap NG separate VP+CD</ns0:t>
        </ns0:is>
      </ns0:c>
      <ns0:c r="S37" s="3" t="inlineStr">
        <ns0:is>
          <ns0:t>Note</ns0:t>
        </ns0:is>
      </ns0:c>
    </ns0:row>
    <ns0:row r="38" ht="42" customHeight="1">
      <ns0:c r="J38" s="3" t="inlineStr">
        <ns0:is>
          <ns0:t xml:space="preserve">SPL </ns0:t>
        </ns0:is>
      </ns0:c>
      <ns0:c r="K38" s="3" t="inlineStr">
        <ns0:is>
          <ns0:t xml:space="preserve">THD </ns0:t>
        </ns0:is>
      </ns0:c>
      <ns0:c r="L38" s="3" t="inlineStr">
        <ns0:is>
          <ns0:t xml:space="preserve">SPL+THD </ns0:t>
        </ns0:is>
      </ns0:c>
      <ns0:c r="M38" s="3" t="inlineStr">
        <ns0:is>
          <ns0:t>SPL+THD+F0</ns0:t>
        </ns0:is>
      </ns0:c>
      <ns0:c r="N38" s="3" t="inlineStr">
        <ns0:is>
          <ns0:t xml:space="preserve">Noise </ns0:t>
        </ns0:is>
      </ns0:c>
      <ns0:c r="O38" s="3" t="inlineStr">
        <ns0:is>
          <ns0:t xml:space="preserve">Touch </ns0:t>
        </ns0:is>
      </ns0:c>
    </ns0:row>
    <ns0:row r="39">
      <ns0:c r="C39" s="4" t="n">
        <ns0:v>45815</ns0:v>
      </ns0:c>
      <ns0:c r="D39" s="3" t="inlineStr">
        <ns0:is>
          <ns0:t>E2-3B</ns0:t>
        </ns0:is>
      </ns0:c>
      <ns0:c r="E39" s="3" t="inlineStr">
        <ns0:is>
          <ns0:t>Bonding open outside 0.05</ns0:t>
        </ns0:is>
      </ns0:c>
      <ns0:c r="G39" s="3" t="n">
        <ns0:v>491</ns0:v>
      </ns0:c>
      <ns0:c r="H39" s="3">
        <ns0:f>G39-P39</ns0:f>
        <ns0:v/>
      </ns0:c>
      <ns0:c r="I39" s="3" t="n">
        <ns0:v>0</ns0:v>
      </ns0:c>
      <ns0:c r="J39" s="3" t="n">
        <ns0:v>0</ns0:v>
      </ns0:c>
      <ns0:c r="K39" s="3" t="n">
        <ns0:v>3</ns0:v>
      </ns0:c>
      <ns0:c r="L39" s="3" t="n">
        <ns0:v>0</ns0:v>
      </ns0:c>
      <ns0:c r="M39" s="3" t="n">
        <ns0:v>0</ns0:v>
      </ns0:c>
      <ns0:c r="N39" s="3" t="n">
        <ns0:v>4</ns0:v>
      </ns0:c>
      <ns0:c r="O39" s="3" t="n">
        <ns0:v>2</ns0:v>
      </ns0:c>
      <ns0:c r="P39" s="3">
        <ns0:f>SUM(I39:O39)</ns0:f>
        <ns0:v/>
      </ns0:c>
      <ns0:c r="Q39" s="3">
        <ns0:f>P39/G39</ns0:f>
        <ns0:v/>
      </ns0:c>
      <ns0:c r="R39" s="3" t="inlineStr">
        <ns0:is>
          <ns0:t>Don't Happen NG VP+CD separate</ns0:t>
        </ns0:is>
      </ns0:c>
      <ns0:c r="S39" s="3" t="inlineStr">
        <ns0:is>
          <ns0:t>Fr: G6
VP:#7
IR250526023-00002</ns0:t>
        </ns0:is>
      </ns0:c>
    </ns0:row>
    <ns0:row r="40">
      <ns0:c r="E40" s="3" t="inlineStr">
        <ns0:is>
          <ns0:t>Bonding small inside 0.05</ns0:t>
        </ns0:is>
      </ns0:c>
      <ns0:c r="G40" s="3" t="n">
        <ns0:v>535</ns0:v>
      </ns0:c>
      <ns0:c r="H40" s="3">
        <ns0:f>G40-P40</ns0:f>
        <ns0:v/>
      </ns0:c>
      <ns0:c r="I40" s="3" t="n">
        <ns0:v>0</ns0:v>
      </ns0:c>
      <ns0:c r="J40" s="3" t="n">
        <ns0:v>0</ns0:v>
      </ns0:c>
      <ns0:c r="K40" s="3" t="n">
        <ns0:v>0</ns0:v>
      </ns0:c>
      <ns0:c r="L40" s="3" t="n">
        <ns0:v>2</ns0:v>
      </ns0:c>
      <ns0:c r="M40" s="3" t="n">
        <ns0:v>0</ns0:v>
      </ns0:c>
      <ns0:c r="N40" s="3" t="n">
        <ns0:v>4</ns0:v>
      </ns0:c>
      <ns0:c r="O40" s="3" t="n">
        <ns0:v>3</ns0:v>
      </ns0:c>
      <ns0:c r="P40" s="3">
        <ns0:f>SUM(I40:O40)</ns0:f>
        <ns0:v/>
      </ns0:c>
      <ns0:c r="Q40" s="3">
        <ns0:f>P40/G40</ns0:f>
        <ns0:v/>
      </ns0:c>
    </ns0:row>
    <ns0:row r="41">
      <ns0:c r="E41" s="3" t="inlineStr">
        <ns0:is>
          <ns0:t xml:space="preserve">Normal </ns0:t>
        </ns0:is>
      </ns0:c>
      <ns0:c r="G41" s="3" t="n">
        <ns0:v>598</ns0:v>
      </ns0:c>
      <ns0:c r="H41" s="3">
        <ns0:f>G41-P41</ns0:f>
        <ns0:v/>
      </ns0:c>
      <ns0:c r="I41" s="3" t="n">
        <ns0:v>0</ns0:v>
      </ns0:c>
      <ns0:c r="J41" s="3" t="n">
        <ns0:v>0</ns0:v>
      </ns0:c>
      <ns0:c r="K41" s="3" t="n">
        <ns0:v>0</ns0:v>
      </ns0:c>
      <ns0:c r="L41" s="3" t="n">
        <ns0:v>4</ns0:v>
      </ns0:c>
      <ns0:c r="M41" s="3" t="n">
        <ns0:v>0</ns0:v>
      </ns0:c>
      <ns0:c r="N41" s="3" t="n">
        <ns0:v>6</ns0:v>
      </ns0:c>
      <ns0:c r="O41" s="3" t="n">
        <ns0:v>1</ns0:v>
      </ns0:c>
      <ns0:c r="P41" s="3">
        <ns0:f>SUM(I41:O41)</ns0:f>
        <ns0:v/>
      </ns0:c>
      <ns0:c r="Q41" s="3">
        <ns0:f>P41/G41</ns0:f>
        <ns0:v/>
      </ns0:c>
    </ns0:row>
    <ns0:row r="42" ht="42" customHeight="1">
      <ns0:c r="C42" s="4" t="n">
        <ns0:v>45818</ns0:v>
      </ns0:c>
      <ns0:c r="D42" s="3" t="inlineStr">
        <ns0:is>
          <ns0:t>E2-3A</ns0:t>
        </ns0:is>
      </ns0:c>
      <ns0:c r="E42" s="3" t="inlineStr">
        <ns0:is>
          <ns0:t>Bonding small inside 0.05</ns0:t>
        </ns0:is>
      </ns0:c>
      <ns0:c r="G42" s="3" t="n">
        <ns0:v>1028</ns0:v>
      </ns0:c>
      <ns0:c r="H42" s="3">
        <ns0:f>G42-P42</ns0:f>
        <ns0:v/>
      </ns0:c>
      <ns0:c r="I42" s="3" t="n">
        <ns0:v>0</ns0:v>
      </ns0:c>
      <ns0:c r="J42" s="3" t="n">
        <ns0:v>0</ns0:v>
      </ns0:c>
      <ns0:c r="K42" s="3" t="n">
        <ns0:v>0</ns0:v>
      </ns0:c>
      <ns0:c r="L42" s="3" t="n">
        <ns0:v>0</ns0:v>
      </ns0:c>
      <ns0:c r="M42" s="3" t="n">
        <ns0:v>0</ns0:v>
      </ns0:c>
      <ns0:c r="N42" s="3" t="n">
        <ns0:v>17</ns0:v>
      </ns0:c>
      <ns0:c r="O42" s="3" t="n">
        <ns0:v>2</ns0:v>
      </ns0:c>
      <ns0:c r="P42" s="3">
        <ns0:f>SUM(I42:O42)</ns0:f>
        <ns0:v/>
      </ns0:c>
      <ns0:c r="Q42" s="3">
        <ns0:f>P42/G42</ns0:f>
        <ns0:v/>
      </ns0:c>
      <ns0:c r="R42" s="3" t="inlineStr">
        <ns0:is>
          <ns0:t>Don't Happen NG VP+CD separate</ns0:t>
        </ns0:is>
      </ns0:c>
      <ns0:c r="S42" s="3" t="inlineStr">
        <ns0:is>
          <ns0:t>Fr: G3
VP:#12
IR2505300004-00002</ns0:t>
        </ns0:is>
      </ns0:c>
    </ns0:row>
    <ns0:row r="43" ht="42" customHeight="1">
      <ns0:c r="E43" s="3" t="inlineStr">
        <ns0:is>
          <ns0:t xml:space="preserve">Normal </ns0:t>
        </ns0:is>
      </ns0:c>
      <ns0:c r="G43" s="3" t="n">
        <ns0:v>800</ns0:v>
      </ns0:c>
      <ns0:c r="H43" s="3">
        <ns0:f>G43-P43</ns0:f>
        <ns0:v/>
      </ns0:c>
      <ns0:c r="I43" s="3" t="n">
        <ns0:v>0</ns0:v>
      </ns0:c>
      <ns0:c r="J43" s="3" t="n">
        <ns0:v>0</ns0:v>
      </ns0:c>
      <ns0:c r="K43" s="3" t="n">
        <ns0:v>2</ns0:v>
      </ns0:c>
      <ns0:c r="L43" s="3" t="n">
        <ns0:v>0</ns0:v>
      </ns0:c>
      <ns0:c r="M43" s="3" t="n">
        <ns0:v>0</ns0:v>
      </ns0:c>
      <ns0:c r="N43" s="3" t="n">
        <ns0:v>15</ns0:v>
      </ns0:c>
      <ns0:c r="O43" s="3" t="n">
        <ns0:v>5</ns0:v>
      </ns0:c>
      <ns0:c r="P43" s="3">
        <ns0:f>SUM(I43:O43)</ns0:f>
        <ns0:v/>
      </ns0:c>
      <ns0:c r="Q43" s="3">
        <ns0:f>P43/G43</ns0:f>
        <ns0:v/>
      </ns0:c>
    </ns0:row>
    <ns0:row r="44" ht="42" customHeight="1">
      <ns0:c r="C44" s="4" t="n">
        <ns0:v>45824</ns0:v>
      </ns0:c>
      <ns0:c r="D44" s="3" t="inlineStr">
        <ns0:is>
          <ns0:t>E2-3A</ns0:t>
        </ns0:is>
      </ns0:c>
      <ns0:c r="E44" s="3" t="inlineStr">
        <ns0:is>
          <ns0:t>Bonding small inside 0.05</ns0:t>
        </ns0:is>
      </ns0:c>
      <ns0:c r="G44" s="3" t="n">
        <ns0:v>3150</ns0:v>
      </ns0:c>
      <ns0:c r="H44" s="3">
        <ns0:f>G44-P44</ns0:f>
        <ns0:v/>
      </ns0:c>
      <ns0:c r="I44" s="3" t="n">
        <ns0:v>0</ns0:v>
      </ns0:c>
      <ns0:c r="J44" s="3" t="n">
        <ns0:v>0</ns0:v>
      </ns0:c>
      <ns0:c r="K44" s="3" t="n">
        <ns0:v>4</ns0:v>
      </ns0:c>
      <ns0:c r="L44" s="3" t="n">
        <ns0:v>3</ns0:v>
      </ns0:c>
      <ns0:c r="M44" s="3" t="n">
        <ns0:v>0</ns0:v>
      </ns0:c>
      <ns0:c r="N44" s="3" t="n">
        <ns0:v>35</ns0:v>
      </ns0:c>
      <ns0:c r="O44" s="3" t="n">
        <ns0:v>4</ns0:v>
      </ns0:c>
      <ns0:c r="P44" s="3">
        <ns0:f>SUM(I44:O44)</ns0:f>
        <ns0:v/>
      </ns0:c>
      <ns0:c r="Q44" s="3">
        <ns0:f>P44/G44</ns0:f>
        <ns0:v/>
      </ns0:c>
      <ns0:c r="R44" s="3" t="inlineStr">
        <ns0:is>
          <ns0:t>Don't Happen NG VP+CD separate</ns0:t>
        </ns0:is>
      </ns0:c>
      <ns0:c r="S44" s="3" t="inlineStr">
        <ns0:is>
          <ns0:t>Fr: k1
VP:#6
IR2505300004-00002</ns0:t>
        </ns0:is>
      </ns0:c>
    </ns0:row>
    <ns0:row r="45" ht="42" customHeight="1">
      <ns0:c r="E45" s="3" t="inlineStr">
        <ns0:is>
          <ns0:t xml:space="preserve">Normal </ns0:t>
        </ns0:is>
      </ns0:c>
      <ns0:c r="G45" s="3" t="n">
        <ns0:v>919</ns0:v>
      </ns0:c>
      <ns0:c r="H45" s="3">
        <ns0:f>G45-P45</ns0:f>
        <ns0:v/>
      </ns0:c>
      <ns0:c r="I45" s="3" t="n">
        <ns0:v>0</ns0:v>
      </ns0:c>
      <ns0:c r="J45" s="3" t="n">
        <ns0:v>0</ns0:v>
      </ns0:c>
      <ns0:c r="K45" s="3" t="n">
        <ns0:v>2</ns0:v>
      </ns0:c>
      <ns0:c r="L45" s="3" t="n">
        <ns0:v>0</ns0:v>
      </ns0:c>
      <ns0:c r="M45" s="3" t="n">
        <ns0:v>0</ns0:v>
      </ns0:c>
      <ns0:c r="N45" s="3" t="n">
        <ns0:v>21</ns0:v>
      </ns0:c>
      <ns0:c r="O45" s="3" t="n">
        <ns0:v>2</ns0:v>
      </ns0:c>
      <ns0:c r="P45" s="3">
        <ns0:f>SUM(I45:O45)</ns0:f>
        <ns0:v/>
      </ns0:c>
      <ns0:c r="Q45" s="3">
        <ns0:f>P45/G45</ns0:f>
        <ns0:v/>
      </ns0:c>
    </ns0:row>
    <ns0:row r="46" ht="44.25" customHeight="1">
      <ns0:c r="C46" s="3" t="inlineStr">
        <ns0:is>
          <ns0:t>Total</ns0:t>
        </ns0:is>
      </ns0:c>
      <ns0:c r="E46" s="3" t="inlineStr">
        <ns0:is>
          <ns0:t>Bonding small inside 0.05</ns0:t>
        </ns0:is>
      </ns0:c>
      <ns0:c r="G46" s="3">
        <ns0:f>+G44+G42+G40</ns0:f>
        <ns0:v/>
      </ns0:c>
      <ns0:c r="H46" s="3">
        <ns0:f>+H44+H42+H40</ns0:f>
        <ns0:v/>
      </ns0:c>
      <ns0:c r="I46" s="3">
        <ns0:f>+I44+I42+I40</ns0:f>
        <ns0:v/>
      </ns0:c>
      <ns0:c r="J46" s="3">
        <ns0:f>+J44+J42+J40</ns0:f>
        <ns0:v/>
      </ns0:c>
      <ns0:c r="K46" s="3">
        <ns0:f>+K44+K42+K40</ns0:f>
        <ns0:v/>
      </ns0:c>
      <ns0:c r="L46" s="3">
        <ns0:f>+L44+L42+L40</ns0:f>
        <ns0:v/>
      </ns0:c>
      <ns0:c r="M46" s="3">
        <ns0:f>+M44+M42+M40</ns0:f>
        <ns0:v/>
      </ns0:c>
      <ns0:c r="N46" s="3">
        <ns0:f>+N44+N42+N40</ns0:f>
        <ns0:v/>
      </ns0:c>
      <ns0:c r="O46" s="3">
        <ns0:f>+O44+O42+O40</ns0:f>
        <ns0:v/>
      </ns0:c>
      <ns0:c r="P46" s="3">
        <ns0:f>+P44+P42+P40</ns0:f>
        <ns0:v/>
      </ns0:c>
      <ns0:c r="Q46" s="3">
        <ns0:f>+P46/G46</ns0:f>
        <ns0:v/>
      </ns0:c>
    </ns0:row>
    <ns0:row r="47" ht="44.25" customHeight="1">
      <ns0:c r="E47" s="3" t="inlineStr">
        <ns0:is>
          <ns0:t>Normal bonding line</ns0:t>
        </ns0:is>
      </ns0:c>
      <ns0:c r="G47" s="3">
        <ns0:f>+G43+G45+G41</ns0:f>
        <ns0:v/>
      </ns0:c>
      <ns0:c r="H47" s="3">
        <ns0:f>+H43+H45+H41</ns0:f>
        <ns0:v/>
      </ns0:c>
      <ns0:c r="I47" s="3">
        <ns0:f>+I43+I45+I41</ns0:f>
        <ns0:v/>
      </ns0:c>
      <ns0:c r="J47" s="3">
        <ns0:f>+J43+J45+J41</ns0:f>
        <ns0:v/>
      </ns0:c>
      <ns0:c r="K47" s="3">
        <ns0:f>+K43+K45+K41</ns0:f>
        <ns0:v/>
      </ns0:c>
      <ns0:c r="L47" s="3">
        <ns0:f>+L43+L45+L41</ns0:f>
        <ns0:v/>
      </ns0:c>
      <ns0:c r="M47" s="3">
        <ns0:f>+M43+M45+M41</ns0:f>
        <ns0:v/>
      </ns0:c>
      <ns0:c r="N47" s="3">
        <ns0:f>+N43+N45+N41</ns0:f>
        <ns0:v/>
      </ns0:c>
      <ns0:c r="O47" s="3">
        <ns0:f>+O43+O45+O41</ns0:f>
        <ns0:v/>
      </ns0:c>
      <ns0:c r="P47" s="3">
        <ns0:f>+P43+P45+P41</ns0:f>
        <ns0:v/>
      </ns0:c>
      <ns0:c r="Q47" s="3">
        <ns0:f>+P47/G47</ns0:f>
        <ns0:v/>
      </ns0:c>
    </ns0:row>
    <ns0:row r="48" ht="20.25" customHeight="1">
      <ns0:c r="C48" s="3" t="inlineStr">
        <ns0:is>
          <ns0:t>3. RESULT CHECKING FUNCTION OF MODULE</ns0:t>
        </ns0:is>
      </ns0:c>
    </ns0:row>
    <ns0:row r="49" ht="33.75" customHeight="1">
      <ns0:c r="C49" s="3" t="inlineStr">
        <ns0:is>
          <ns0:t>Date</ns0:t>
        </ns0:is>
      </ns0:c>
      <ns0:c r="D49" s="3" t="inlineStr">
        <ns0:is>
          <ns0:t>Line</ns0:t>
        </ns0:is>
      </ns0:c>
      <ns0:c r="E49" s="3" t="inlineStr">
        <ns0:is>
          <ns0:t>Item</ns0:t>
        </ns0:is>
      </ns0:c>
      <ns0:c r="G49" s="3" t="inlineStr">
        <ns0:is>
          <ns0:t>Input</ns0:t>
        </ns0:is>
      </ns0:c>
      <ns0:c r="H49" s="3" t="inlineStr">
        <ns0:is>
          <ns0:t>OK</ns0:t>
        </ns0:is>
      </ns0:c>
      <ns0:c r="I49" s="3" t="inlineStr">
        <ns0:is>
          <ns0:t>NG</ns0:t>
        </ns0:is>
      </ns0:c>
      <ns0:c r="N49" s="3" t="inlineStr">
        <ns0:is>
          <ns0:t>Total NG</ns0:t>
        </ns0:is>
      </ns0:c>
      <ns0:c r="O49" s="3" t="inlineStr">
        <ns0:is>
          <ns0:t>NG rate</ns0:t>
        </ns0:is>
      </ns0:c>
    </ns0:row>
    <ns0:row r="50" ht="33.75" customHeight="1">
      <ns0:c r="I50" s="3" t="inlineStr">
        <ns0:is>
          <ns0:t>Frequecy</ns0:t>
        </ns0:is>
      </ns0:c>
      <ns0:c r="J50" s="3" t="inlineStr">
        <ns0:is>
          <ns0:t>Bako</ns0:t>
        </ns0:is>
      </ns0:c>
      <ns0:c r="K50" s="3" t="inlineStr">
        <ns0:is>
          <ns0:t>Hearing</ns0:t>
        </ns0:is>
      </ns0:c>
      <ns0:c r="L50" s="3" t="inlineStr">
        <ns0:is>
          <ns0:t>Hearing 2</ns0:t>
        </ns0:is>
      </ns0:c>
      <ns0:c r="M50" s="3" t="inlineStr">
        <ns0:is>
          <ns0:t>Air leak</ns0:t>
        </ns0:is>
      </ns0:c>
    </ns0:row>
    <ns0:row r="51" ht="33.75" customHeight="1">
      <ns0:c r="C51" s="4" t="n">
        <ns0:v>45817</ns0:v>
      </ns0:c>
      <ns0:c r="D51" s="3" t="inlineStr">
        <ns0:is>
          <ns0:t>S931</ns0:t>
        </ns0:is>
      </ns0:c>
      <ns0:c r="E51" s="3" t="inlineStr">
        <ns0:is>
          <ns0:t>Bonding open outside 0.05</ns0:t>
        </ns0:is>
      </ns0:c>
      <ns0:c r="G51" s="3" t="n">
        <ns0:v>239</ns0:v>
      </ns0:c>
      <ns0:c r="H51" s="3">
        <ns0:f>+G51-N51</ns0:f>
        <ns0:v/>
      </ns0:c>
      <ns0:c r="I51" s="3" t="n">
        <ns0:v>0</ns0:v>
      </ns0:c>
      <ns0:c r="J51" s="3" t="n">
        <ns0:v>7</ns0:v>
      </ns0:c>
      <ns0:c r="K51" s="3" t="n">
        <ns0:v>0</ns0:v>
      </ns0:c>
      <ns0:c r="L51" s="3" t="n">
        <ns0:v>0</ns0:v>
      </ns0:c>
      <ns0:c r="M51" s="3" t="n">
        <ns0:v>0</ns0:v>
      </ns0:c>
      <ns0:c r="N51" s="3">
        <ns0:f>SUM(I51:M51)</ns0:f>
        <ns0:v/>
      </ns0:c>
      <ns0:c r="O51" s="3">
        <ns0:f>+N51/G51</ns0:f>
        <ns0:v/>
      </ns0:c>
    </ns0:row>
    <ns0:row r="52" ht="33.75" customHeight="1">
      <ns0:c r="E52" s="3" t="inlineStr">
        <ns0:is>
          <ns0:t>Bonding small inside 0.05</ns0:t>
        </ns0:is>
      </ns0:c>
      <ns0:c r="G52" s="3" t="n">
        <ns0:v>256</ns0:v>
      </ns0:c>
      <ns0:c r="H52" s="3">
        <ns0:f>+G52-N52</ns0:f>
        <ns0:v/>
      </ns0:c>
      <ns0:c r="I52" s="3" t="n">
        <ns0:v>0</ns0:v>
      </ns0:c>
      <ns0:c r="J52" s="3" t="n">
        <ns0:v>1</ns0:v>
      </ns0:c>
      <ns0:c r="K52" s="3" t="n">
        <ns0:v>0</ns0:v>
      </ns0:c>
      <ns0:c r="L52" s="3" t="n">
        <ns0:v>0</ns0:v>
      </ns0:c>
      <ns0:c r="M52" s="3" t="n">
        <ns0:v>0</ns0:v>
      </ns0:c>
      <ns0:c r="N52" s="3">
        <ns0:f>SUM(I52:M52)</ns0:f>
        <ns0:v/>
      </ns0:c>
      <ns0:c r="O52" s="3">
        <ns0:f>+N52/G52</ns0:f>
        <ns0:v/>
      </ns0:c>
    </ns0:row>
    <ns0:row r="53" ht="33.75" customHeight="1">
      <ns0:c r="E53" s="3" t="inlineStr">
        <ns0:is>
          <ns0:t xml:space="preserve">Normal </ns0:t>
        </ns0:is>
      </ns0:c>
      <ns0:c r="G53" s="3" t="n">
        <ns0:v>688</ns0:v>
      </ns0:c>
      <ns0:c r="H53" s="3">
        <ns0:f>+G53-N53</ns0:f>
        <ns0:v/>
      </ns0:c>
      <ns0:c r="I53" s="3" t="n">
        <ns0:v>0</ns0:v>
      </ns0:c>
      <ns0:c r="J53" s="3" t="n">
        <ns0:v>21</ns0:v>
      </ns0:c>
      <ns0:c r="K53" s="3" t="n">
        <ns0:v>3</ns0:v>
      </ns0:c>
      <ns0:c r="L53" s="3" t="n">
        <ns0:v>0</ns0:v>
      </ns0:c>
      <ns0:c r="M53" s="3" t="n">
        <ns0:v>0</ns0:v>
      </ns0:c>
      <ns0:c r="N53" s="3">
        <ns0:f>SUM(I53:M53)</ns0:f>
        <ns0:v/>
      </ns0:c>
      <ns0:c r="O53" s="3">
        <ns0:f>+N53/G53</ns0:f>
        <ns0:v/>
      </ns0:c>
    </ns0:row>
    <ns0:row r="54" ht="33.75" customHeight="1">
      <ns0:c r="C54" s="4" t="n">
        <ns0:v>45821</ns0:v>
      </ns0:c>
      <ns0:c r="D54" s="3" t="inlineStr">
        <ns0:is>
          <ns0:t>S931</ns0:t>
        </ns0:is>
      </ns0:c>
      <ns0:c r="E54" s="3" t="inlineStr">
        <ns0:is>
          <ns0:t>Bonding small inside 0.05</ns0:t>
        </ns0:is>
      </ns0:c>
      <ns0:c r="G54" s="3" t="n">
        <ns0:v>505</ns0:v>
      </ns0:c>
      <ns0:c r="H54" s="3">
        <ns0:f>+G54-N54</ns0:f>
        <ns0:v/>
      </ns0:c>
      <ns0:c r="I54" s="3" t="n">
        <ns0:v>0</ns0:v>
      </ns0:c>
      <ns0:c r="J54" s="3" t="n">
        <ns0:v>3</ns0:v>
      </ns0:c>
      <ns0:c r="K54" s="3" t="n">
        <ns0:v>1</ns0:v>
      </ns0:c>
      <ns0:c r="L54" s="3" t="n">
        <ns0:v>0</ns0:v>
      </ns0:c>
      <ns0:c r="M54" s="3" t="n">
        <ns0:v>0</ns0:v>
      </ns0:c>
      <ns0:c r="N54" s="3">
        <ns0:f>SUM(I54:M54)</ns0:f>
        <ns0:v/>
      </ns0:c>
      <ns0:c r="O54" s="3">
        <ns0:f>+N54/G54</ns0:f>
        <ns0:v/>
      </ns0:c>
    </ns0:row>
    <ns0:row r="55" ht="33.75" customHeight="1">
      <ns0:c r="E55" s="3" t="inlineStr">
        <ns0:is>
          <ns0:t xml:space="preserve">Normal </ns0:t>
        </ns0:is>
      </ns0:c>
      <ns0:c r="G55" s="3" t="n">
        <ns0:v>492</ns0:v>
      </ns0:c>
      <ns0:c r="H55" s="3">
        <ns0:f>+G55-N55</ns0:f>
        <ns0:v/>
      </ns0:c>
      <ns0:c r="I55" s="3" t="n">
        <ns0:v>0</ns0:v>
      </ns0:c>
      <ns0:c r="J55" s="3" t="n">
        <ns0:v>14</ns0:v>
      </ns0:c>
      <ns0:c r="K55" s="3" t="n">
        <ns0:v>0</ns0:v>
      </ns0:c>
      <ns0:c r="L55" s="3" t="n">
        <ns0:v>0</ns0:v>
      </ns0:c>
      <ns0:c r="M55" s="3" t="n">
        <ns0:v>0</ns0:v>
      </ns0:c>
      <ns0:c r="N55" s="3">
        <ns0:f>SUM(I55:M55)</ns0:f>
        <ns0:v/>
      </ns0:c>
      <ns0:c r="O55" s="3">
        <ns0:f>+N55/G55</ns0:f>
        <ns0:v/>
      </ns0:c>
    </ns0:row>
    <ns0:row r="56" ht="33.75" customHeight="1">
      <ns0:c r="C56" s="4" t="n">
        <ns0:v>45817</ns0:v>
      </ns0:c>
      <ns0:c r="D56" s="3" t="inlineStr">
        <ns0:is>
          <ns0:t>S936</ns0:t>
        </ns0:is>
      </ns0:c>
      <ns0:c r="E56" s="3" t="inlineStr">
        <ns0:is>
          <ns0:t>Bonding open outside 0.05</ns0:t>
        </ns0:is>
      </ns0:c>
      <ns0:c r="G56" s="3" t="n">
        <ns0:v>240</ns0:v>
      </ns0:c>
      <ns0:c r="H56" s="3">
        <ns0:f>+G56-N56</ns0:f>
        <ns0:v/>
      </ns0:c>
      <ns0:c r="I56" s="3" t="n">
        <ns0:v>0</ns0:v>
      </ns0:c>
      <ns0:c r="J56" s="3" t="n">
        <ns0:v>2</ns0:v>
      </ns0:c>
      <ns0:c r="K56" s="3" t="n">
        <ns0:v>0</ns0:v>
      </ns0:c>
      <ns0:c r="L56" s="3" t="n">
        <ns0:v>0</ns0:v>
      </ns0:c>
      <ns0:c r="M56" s="3" t="n">
        <ns0:v>2</ns0:v>
      </ns0:c>
      <ns0:c r="N56" s="3">
        <ns0:f>SUM(I56:M56)</ns0:f>
        <ns0:v/>
      </ns0:c>
      <ns0:c r="O56" s="3">
        <ns0:f>+N56/G56</ns0:f>
        <ns0:v/>
      </ns0:c>
    </ns0:row>
    <ns0:row r="57" ht="33.75" customHeight="1">
      <ns0:c r="E57" s="3" t="inlineStr">
        <ns0:is>
          <ns0:t>Bonding small inside 0.05</ns0:t>
        </ns0:is>
      </ns0:c>
      <ns0:c r="G57" s="3" t="n">
        <ns0:v>257</ns0:v>
      </ns0:c>
      <ns0:c r="H57" s="3">
        <ns0:f>+G57-N57</ns0:f>
        <ns0:v/>
      </ns0:c>
      <ns0:c r="I57" s="3" t="n">
        <ns0:v>0</ns0:v>
      </ns0:c>
      <ns0:c r="J57" s="3" t="n">
        <ns0:v>1</ns0:v>
      </ns0:c>
      <ns0:c r="K57" s="3" t="n">
        <ns0:v>1</ns0:v>
      </ns0:c>
      <ns0:c r="L57" s="3" t="n">
        <ns0:v>0</ns0:v>
      </ns0:c>
      <ns0:c r="M57" s="3" t="n">
        <ns0:v>0</ns0:v>
      </ns0:c>
      <ns0:c r="N57" s="3">
        <ns0:f>SUM(I57:M57)</ns0:f>
        <ns0:v/>
      </ns0:c>
      <ns0:c r="O57" s="3">
        <ns0:f>+N57/G57</ns0:f>
        <ns0:v/>
      </ns0:c>
    </ns0:row>
    <ns0:row r="58" ht="33.75" customHeight="1">
      <ns0:c r="E58" s="3" t="inlineStr">
        <ns0:is>
          <ns0:t xml:space="preserve">Normal </ns0:t>
        </ns0:is>
      </ns0:c>
      <ns0:c r="G58" s="3" t="n">
        <ns0:v>688</ns0:v>
      </ns0:c>
      <ns0:c r="H58" s="3">
        <ns0:f>+G58-N58</ns0:f>
        <ns0:v/>
      </ns0:c>
      <ns0:c r="I58" s="3" t="n">
        <ns0:v>0</ns0:v>
      </ns0:c>
      <ns0:c r="J58" s="3" t="n">
        <ns0:v>21</ns0:v>
      </ns0:c>
      <ns0:c r="K58" s="3" t="n">
        <ns0:v>3</ns0:v>
      </ns0:c>
      <ns0:c r="L58" s="3" t="n">
        <ns0:v>0</ns0:v>
      </ns0:c>
      <ns0:c r="M58" s="3" t="n">
        <ns0:v>0</ns0:v>
      </ns0:c>
      <ns0:c r="N58" s="3">
        <ns0:f>SUM(I58:M58)</ns0:f>
        <ns0:v/>
      </ns0:c>
      <ns0:c r="O58" s="3">
        <ns0:f>+N58/G58</ns0:f>
        <ns0:v/>
      </ns0:c>
    </ns0:row>
    <ns0:row r="59" ht="33.75" customHeight="1">
      <ns0:c r="C59" s="4" t="n">
        <ns0:v>45821</ns0:v>
      </ns0:c>
      <ns0:c r="D59" s="3" t="inlineStr">
        <ns0:is>
          <ns0:t>S936</ns0:t>
        </ns0:is>
      </ns0:c>
      <ns0:c r="E59" s="3" t="inlineStr">
        <ns0:is>
          <ns0:t>Bonding small inside 0.05</ns0:t>
        </ns0:is>
      </ns0:c>
      <ns0:c r="G59" s="3" t="n">
        <ns0:v>504</ns0:v>
      </ns0:c>
      <ns0:c r="H59" s="3">
        <ns0:f>+G59-N59</ns0:f>
        <ns0:v/>
      </ns0:c>
      <ns0:c r="I59" s="3" t="n">
        <ns0:v>0</ns0:v>
      </ns0:c>
      <ns0:c r="J59" s="3" t="n">
        <ns0:v>6</ns0:v>
      </ns0:c>
      <ns0:c r="K59" s="3" t="n">
        <ns0:v>0</ns0:v>
      </ns0:c>
      <ns0:c r="L59" s="3" t="n">
        <ns0:v>0</ns0:v>
      </ns0:c>
      <ns0:c r="M59" s="3" t="n">
        <ns0:v>0</ns0:v>
      </ns0:c>
      <ns0:c r="N59" s="3">
        <ns0:f>SUM(I59:M59)</ns0:f>
        <ns0:v/>
      </ns0:c>
      <ns0:c r="O59" s="3">
        <ns0:f>+N59/G59</ns0:f>
        <ns0:v/>
      </ns0:c>
    </ns0:row>
    <ns0:row r="60" ht="33.75" customHeight="1">
      <ns0:c r="E60" s="3" t="inlineStr">
        <ns0:is>
          <ns0:t xml:space="preserve">Normal </ns0:t>
        </ns0:is>
      </ns0:c>
      <ns0:c r="G60" s="3" t="n">
        <ns0:v>972</ns0:v>
      </ns0:c>
      <ns0:c r="H60" s="3">
        <ns0:f>+G60-N60</ns0:f>
        <ns0:v/>
      </ns0:c>
      <ns0:c r="I60" s="3" t="n">
        <ns0:v>0</ns0:v>
      </ns0:c>
      <ns0:c r="J60" s="3" t="n">
        <ns0:v>15</ns0:v>
      </ns0:c>
      <ns0:c r="K60" s="3" t="n">
        <ns0:v>1</ns0:v>
      </ns0:c>
      <ns0:c r="L60" s="3" t="n">
        <ns0:v>0</ns0:v>
      </ns0:c>
      <ns0:c r="M60" s="3" t="n">
        <ns0:v>0</ns0:v>
      </ns0:c>
      <ns0:c r="N60" s="3">
        <ns0:f>SUM(I60:M60)</ns0:f>
        <ns0:v/>
      </ns0:c>
      <ns0:c r="O60" s="3">
        <ns0:f>+N60/G60</ns0:f>
        <ns0:v/>
      </ns0:c>
    </ns0:row>
    <ns0:row r="61" ht="33.75" customHeight="1">
      <ns0:c r="C61" s="4" t="n">
        <ns0:v>45825</ns0:v>
      </ns0:c>
      <ns0:c r="D61" s="3" t="inlineStr">
        <ns0:is>
          <ns0:t>S931</ns0:t>
        </ns0:is>
      </ns0:c>
      <ns0:c r="E61" s="3" t="inlineStr">
        <ns0:is>
          <ns0:t>Bonding small inside 0.05</ns0:t>
        </ns0:is>
      </ns0:c>
      <ns0:c r="G61" s="3" t="n">
        <ns0:v>1500</ns0:v>
      </ns0:c>
      <ns0:c r="H61" s="3">
        <ns0:f>+G61-N61</ns0:f>
        <ns0:v/>
      </ns0:c>
      <ns0:c r="I61" s="3" t="n">
        <ns0:v>0</ns0:v>
      </ns0:c>
      <ns0:c r="J61" s="3" t="n">
        <ns0:v>16</ns0:v>
      </ns0:c>
      <ns0:c r="K61" s="3" t="n">
        <ns0:v>1</ns0:v>
      </ns0:c>
      <ns0:c r="L61" s="3" t="n">
        <ns0:v>0</ns0:v>
      </ns0:c>
      <ns0:c r="M61" s="3" t="n">
        <ns0:v>0</ns0:v>
      </ns0:c>
      <ns0:c r="N61" s="3">
        <ns0:f>SUM(I61:M61)</ns0:f>
        <ns0:v/>
      </ns0:c>
      <ns0:c r="O61" s="3">
        <ns0:f>+N61/G61</ns0:f>
        <ns0:v/>
      </ns0:c>
    </ns0:row>
    <ns0:row r="62" ht="33.75" customHeight="1">
      <ns0:c r="E62" s="3" t="inlineStr">
        <ns0:is>
          <ns0:t xml:space="preserve">Normal </ns0:t>
        </ns0:is>
      </ns0:c>
      <ns0:c r="G62" s="3" t="n">
        <ns0:v>2200</ns0:v>
      </ns0:c>
      <ns0:c r="H62" s="3">
        <ns0:f>+G62-N62</ns0:f>
        <ns0:v/>
      </ns0:c>
      <ns0:c r="I62" s="3" t="n">
        <ns0:v>0</ns0:v>
      </ns0:c>
      <ns0:c r="J62" s="3" t="n">
        <ns0:v>40</ns0:v>
      </ns0:c>
      <ns0:c r="K62" s="3" t="n">
        <ns0:v>5</ns0:v>
      </ns0:c>
      <ns0:c r="L62" s="3" t="n">
        <ns0:v>0</ns0:v>
      </ns0:c>
      <ns0:c r="M62" s="3" t="n">
        <ns0:v>3</ns0:v>
      </ns0:c>
      <ns0:c r="N62" s="3">
        <ns0:f>SUM(I62:M62)</ns0:f>
        <ns0:v/>
      </ns0:c>
      <ns0:c r="O62" s="3">
        <ns0:f>+N62/G62</ns0:f>
        <ns0:v/>
      </ns0:c>
    </ns0:row>
    <ns0:row r="63" ht="33.75" customHeight="1">
      <ns0:c r="D63" s="3" t="inlineStr">
        <ns0:is>
          <ns0:t>S936</ns0:t>
        </ns0:is>
      </ns0:c>
      <ns0:c r="E63" s="3" t="inlineStr">
        <ns0:is>
          <ns0:t>Bonding small inside 0.05</ns0:t>
        </ns0:is>
      </ns0:c>
      <ns0:c r="G63" s="3" t="n">
        <ns0:v>1500</ns0:v>
      </ns0:c>
      <ns0:c r="H63" s="3">
        <ns0:f>+G63-N63</ns0:f>
        <ns0:v/>
      </ns0:c>
      <ns0:c r="I63" s="3" t="n">
        <ns0:v>0</ns0:v>
      </ns0:c>
      <ns0:c r="J63" s="3" t="n">
        <ns0:v>14</ns0:v>
      </ns0:c>
      <ns0:c r="K63" s="3" t="n">
        <ns0:v>0</ns0:v>
      </ns0:c>
      <ns0:c r="L63" s="3" t="n">
        <ns0:v>0</ns0:v>
      </ns0:c>
      <ns0:c r="M63" s="3" t="n">
        <ns0:v>0</ns0:v>
      </ns0:c>
      <ns0:c r="N63" s="3">
        <ns0:f>SUM(I63:M63)</ns0:f>
        <ns0:v/>
      </ns0:c>
      <ns0:c r="O63" s="3">
        <ns0:f>+N63/G63</ns0:f>
        <ns0:v/>
      </ns0:c>
    </ns0:row>
    <ns0:row r="64" ht="33.75" customHeight="1">
      <ns0:c r="E64" s="3" t="inlineStr">
        <ns0:is>
          <ns0:t xml:space="preserve">Normal </ns0:t>
        </ns0:is>
      </ns0:c>
      <ns0:c r="G64" s="3" t="n">
        <ns0:v>1158</ns0:v>
      </ns0:c>
      <ns0:c r="H64" s="3">
        <ns0:f>+G64-N64</ns0:f>
        <ns0:v/>
      </ns0:c>
      <ns0:c r="I64" s="3" t="n">
        <ns0:v>0</ns0:v>
      </ns0:c>
      <ns0:c r="J64" s="3" t="n">
        <ns0:v>19</ns0:v>
      </ns0:c>
      <ns0:c r="K64" s="3" t="n">
        <ns0:v>1</ns0:v>
      </ns0:c>
      <ns0:c r="L64" s="3" t="n">
        <ns0:v>0</ns0:v>
      </ns0:c>
      <ns0:c r="M64" s="3" t="n">
        <ns0:v>1</ns0:v>
      </ns0:c>
      <ns0:c r="N64" s="3">
        <ns0:f>SUM(I64:M64)</ns0:f>
        <ns0:v/>
      </ns0:c>
      <ns0:c r="O64" s="3">
        <ns0:f>+N64/G64</ns0:f>
        <ns0:v/>
      </ns0:c>
    </ns0:row>
    <ns0:row r="65" ht="33.75" customHeight="1">
      <ns0:c r="C65" s="3" t="inlineStr">
        <ns0:is>
          <ns0:t>Total</ns0:t>
        </ns0:is>
      </ns0:c>
      <ns0:c r="D65" s="3" t="inlineStr">
        <ns0:is>
          <ns0:t>S931</ns0:t>
        </ns0:is>
      </ns0:c>
      <ns0:c r="E65" s="3" t="inlineStr">
        <ns0:is>
          <ns0:t>Bonding small inside 0.05</ns0:t>
        </ns0:is>
      </ns0:c>
      <ns0:c r="G65" s="3">
        <ns0:f>+G52+G54+G61</ns0:f>
        <ns0:v/>
      </ns0:c>
      <ns0:c r="H65" s="3">
        <ns0:f>+G65-N65</ns0:f>
        <ns0:v/>
      </ns0:c>
      <ns0:c r="I65" s="3">
        <ns0:f>+I52+I54+I61</ns0:f>
        <ns0:v/>
      </ns0:c>
      <ns0:c r="J65" s="3">
        <ns0:f>+J52+J54+J61</ns0:f>
        <ns0:v/>
      </ns0:c>
      <ns0:c r="K65" s="3">
        <ns0:f>+K52+K54+K61</ns0:f>
        <ns0:v/>
      </ns0:c>
      <ns0:c r="L65" s="3">
        <ns0:f>+L52+L54+L61</ns0:f>
        <ns0:v/>
      </ns0:c>
      <ns0:c r="M65" s="3">
        <ns0:f>+M52+M54+M61</ns0:f>
        <ns0:v/>
      </ns0:c>
      <ns0:c r="N65" s="3">
        <ns0:f>SUM(I65:M65)</ns0:f>
        <ns0:v/>
      </ns0:c>
      <ns0:c r="O65" s="3">
        <ns0:f>+N65/G65</ns0:f>
        <ns0:v/>
      </ns0:c>
    </ns0:row>
    <ns0:row r="66" ht="33.75" customHeight="1">
      <ns0:c r="E66" s="3" t="inlineStr">
        <ns0:is>
          <ns0:t xml:space="preserve">Normal </ns0:t>
        </ns0:is>
      </ns0:c>
      <ns0:c r="G66" s="3">
        <ns0:f>+G53+G55+G62</ns0:f>
        <ns0:v/>
      </ns0:c>
      <ns0:c r="H66" s="3">
        <ns0:f>+G66-N66</ns0:f>
        <ns0:v/>
      </ns0:c>
      <ns0:c r="I66" s="3">
        <ns0:f>+I53+I55+I62</ns0:f>
        <ns0:v/>
      </ns0:c>
      <ns0:c r="J66" s="3">
        <ns0:f>+J53+J55+J62</ns0:f>
        <ns0:v/>
      </ns0:c>
      <ns0:c r="K66" s="3">
        <ns0:f>+K53+K55+K62</ns0:f>
        <ns0:v/>
      </ns0:c>
      <ns0:c r="L66" s="3">
        <ns0:f>+L53+L55+L62</ns0:f>
        <ns0:v/>
      </ns0:c>
      <ns0:c r="M66" s="3">
        <ns0:f>+M53+M55+M62</ns0:f>
        <ns0:v/>
      </ns0:c>
      <ns0:c r="N66" s="3">
        <ns0:f>SUM(I66:M66)</ns0:f>
        <ns0:v/>
      </ns0:c>
      <ns0:c r="O66" s="3">
        <ns0:f>+N66/G66</ns0:f>
        <ns0:v/>
      </ns0:c>
    </ns0:row>
    <ns0:row r="67" ht="33.75" customHeight="1">
      <ns0:c r="D67" s="3" t="inlineStr">
        <ns0:is>
          <ns0:t>S936</ns0:t>
        </ns0:is>
      </ns0:c>
      <ns0:c r="E67" s="3" t="inlineStr">
        <ns0:is>
          <ns0:t>Bonding small inside 0.05</ns0:t>
        </ns0:is>
      </ns0:c>
      <ns0:c r="G67" s="3">
        <ns0:f>+G57+G59+G63</ns0:f>
        <ns0:v/>
      </ns0:c>
      <ns0:c r="H67" s="3">
        <ns0:f>+G67-N67</ns0:f>
        <ns0:v/>
      </ns0:c>
      <ns0:c r="I67" s="3">
        <ns0:f>+I57+I59+I63</ns0:f>
        <ns0:v/>
      </ns0:c>
      <ns0:c r="J67" s="3">
        <ns0:f>+J57+J59+J63</ns0:f>
        <ns0:v/>
      </ns0:c>
      <ns0:c r="K67" s="3">
        <ns0:f>+K57+K59+K63</ns0:f>
        <ns0:v/>
      </ns0:c>
      <ns0:c r="L67" s="3">
        <ns0:f>+L57+L59+L63</ns0:f>
        <ns0:v/>
      </ns0:c>
      <ns0:c r="M67" s="3">
        <ns0:f>+M57+M59+M63</ns0:f>
        <ns0:v/>
      </ns0:c>
      <ns0:c r="N67" s="3">
        <ns0:f>SUM(I67:M67)</ns0:f>
        <ns0:v/>
      </ns0:c>
      <ns0:c r="O67" s="3">
        <ns0:f>+N67/G67</ns0:f>
        <ns0:v/>
      </ns0:c>
    </ns0:row>
    <ns0:row r="68" ht="33.75" customHeight="1">
      <ns0:c r="E68" s="3" t="inlineStr">
        <ns0:is>
          <ns0:t xml:space="preserve">Normal </ns0:t>
        </ns0:is>
      </ns0:c>
      <ns0:c r="G68" s="3">
        <ns0:f>+G58+G60+G64</ns0:f>
        <ns0:v/>
      </ns0:c>
      <ns0:c r="H68" s="3">
        <ns0:f>+G68-N68</ns0:f>
        <ns0:v/>
      </ns0:c>
      <ns0:c r="I68" s="3">
        <ns0:f>+I58+I60+I64</ns0:f>
        <ns0:v/>
      </ns0:c>
      <ns0:c r="J68" s="3">
        <ns0:f>+J58+J60+J64</ns0:f>
        <ns0:v/>
      </ns0:c>
      <ns0:c r="K68" s="3">
        <ns0:f>+K58+K60+K64</ns0:f>
        <ns0:v/>
      </ns0:c>
      <ns0:c r="L68" s="3">
        <ns0:f>+L58+L60+L64</ns0:f>
        <ns0:v/>
      </ns0:c>
      <ns0:c r="M68" s="3">
        <ns0:f>+M58+M60+M64</ns0:f>
        <ns0:v/>
      </ns0:c>
      <ns0:c r="N68" s="3">
        <ns0:f>SUM(I68:M68)</ns0:f>
        <ns0:v/>
      </ns0:c>
      <ns0:c r="O68" s="3">
        <ns0:f>+N68/G68</ns0:f>
        <ns0:v/>
      </ns0:c>
    </ns0:row>
    <ns0:row r="69" ht="20.25" customHeight="1">
      <ns0:c r="C69" s="3" t="inlineStr">
        <ns0:is>
          <ns0:t>4. RESULT TENSION TEST VP+CD</ns0:t>
        </ns0:is>
      </ns0:c>
    </ns0:row>
    <ns0:row r="70" ht="48.75" customHeight="1">
      <ns0:c r="C70" s="3" t="inlineStr">
        <ns0:is>
          <ns0:t>Date</ns0:t>
        </ns0:is>
      </ns0:c>
      <ns0:c r="D70" s="3" t="inlineStr">
        <ns0:is>
          <ns0:t xml:space="preserve">Line </ns0:t>
        </ns0:is>
      </ns0:c>
      <ns0:c r="E70" s="3" t="inlineStr">
        <ns0:is>
          <ns0:t>Type</ns0:t>
        </ns0:is>
      </ns0:c>
      <ns0:c r="F70" s="3" t="inlineStr">
        <ns0:is>
          <ns0:t>Spec</ns0:t>
        </ns0:is>
      </ns0:c>
      <ns0:c r="G70" s="3" t="inlineStr">
        <ns0:is>
          <ns0:t>Result</ns0:t>
        </ns0:is>
      </ns0:c>
      <ns0:c r="H70" s="3" t="inlineStr">
        <ns0:is>
          <ns0:t>Min</ns0:t>
        </ns0:is>
      </ns0:c>
      <ns0:c r="I70" s="3" t="inlineStr">
        <ns0:is>
          <ns0:t>Max</ns0:t>
        </ns0:is>
      </ns0:c>
      <ns0:c r="J70" s="3" t="inlineStr">
        <ns0:is>
          <ns0:t>AVG</ns0:t>
        </ns0:is>
      </ns0:c>
      <ns0:c r="K70" s="3" t="inlineStr">
        <ns0:is>
          <ns0:t>No sample</ns0:t>
        </ns0:is>
      </ns0:c>
    </ns0:row>
    <ns0:row r="71" ht="48.75" customHeight="1">
      <ns0:c r="K71" s="3" t="inlineStr">
        <ns0:is>
          <ns0:t>#1</ns0:t>
        </ns0:is>
      </ns0:c>
      <ns0:c r="L71" s="3" t="inlineStr">
        <ns0:is>
          <ns0:t>#2</ns0:t>
        </ns0:is>
      </ns0:c>
      <ns0:c r="M71" s="3" t="inlineStr">
        <ns0:is>
          <ns0:t>#3</ns0:t>
        </ns0:is>
      </ns0:c>
      <ns0:c r="N71" s="3" t="inlineStr">
        <ns0:is>
          <ns0:t>#4</ns0:t>
        </ns0:is>
      </ns0:c>
      <ns0:c r="O71" s="3" t="inlineStr">
        <ns0:is>
          <ns0:t>#5</ns0:t>
        </ns0:is>
      </ns0:c>
      <ns0:c r="P71" s="3" t="inlineStr">
        <ns0:is>
          <ns0:t>#6</ns0:t>
        </ns0:is>
      </ns0:c>
      <ns0:c r="Q71" s="3" t="inlineStr">
        <ns0:is>
          <ns0:t>#7</ns0:t>
        </ns0:is>
      </ns0:c>
      <ns0:c r="R71" s="3" t="inlineStr">
        <ns0:is>
          <ns0:t>#8</ns0:t>
        </ns0:is>
      </ns0:c>
      <ns0:c r="S71" s="3" t="inlineStr">
        <ns0:is>
          <ns0:t>#9</ns0:t>
        </ns0:is>
      </ns0:c>
      <ns0:c r="T71" s="3" t="inlineStr">
        <ns0:is>
          <ns0:t>#10</ns0:t>
        </ns0:is>
      </ns0:c>
    </ns0:row>
    <ns0:row r="72" ht="48.75" customHeight="1">
      <ns0:c r="C72" s="4" t="n">
        <ns0:v>45824</ns0:v>
      </ns0:c>
      <ns0:c r="D72" s="3" t="inlineStr">
        <ns0:is>
          <ns0:t>E2-3A</ns0:t>
        </ns0:is>
      </ns0:c>
      <ns0:c r="E72" s="3" t="inlineStr">
        <ns0:is>
          <ns0:t xml:space="preserve">Test </ns0:t>
        </ns0:is>
      </ns0:c>
      <ns0:c r="F72" s="3" t="inlineStr">
        <ns0:is>
          <ns0:t>&gt; 0.5kgf</ns0:t>
        </ns0:is>
      </ns0:c>
      <ns0:c r="G72" s="3" t="inlineStr">
        <ns0:is>
          <ns0:t>Pass</ns0:t>
        </ns0:is>
      </ns0:c>
      <ns0:c r="H72" s="3">
        <ns0:f>MIN(K72:T72)</ns0:f>
        <ns0:v/>
      </ns0:c>
      <ns0:c r="I72" s="3">
        <ns0:f>MAX(K72:T72)</ns0:f>
        <ns0:v/>
      </ns0:c>
      <ns0:c r="J72" s="3">
        <ns0:f>AVERAGE(K72:T72)</ns0:f>
        <ns0:v/>
      </ns0:c>
      <ns0:c r="K72" s="3" t="n">
        <ns0:v>1.477</ns0:v>
      </ns0:c>
      <ns0:c r="L72" s="3" t="n">
        <ns0:v>1.569</ns0:v>
      </ns0:c>
      <ns0:c r="M72" s="3" t="n">
        <ns0:v>1.419</ns0:v>
      </ns0:c>
      <ns0:c r="N72" s="3" t="n">
        <ns0:v>1.584</ns0:v>
      </ns0:c>
      <ns0:c r="O72" s="3" t="n">
        <ns0:v>1.631</ns0:v>
      </ns0:c>
      <ns0:c r="P72" s="3" t="n">
        <ns0:v>1.363</ns0:v>
      </ns0:c>
      <ns0:c r="Q72" s="3" t="n">
        <ns0:v>1.428</ns0:v>
      </ns0:c>
      <ns0:c r="R72" s="3" t="n">
        <ns0:v>1.447</ns0:v>
      </ns0:c>
      <ns0:c r="S72" s="3" t="n">
        <ns0:v>1.325</ns0:v>
      </ns0:c>
      <ns0:c r="T72" s="3" t="n">
        <ns0:v>1.282</ns0:v>
      </ns0:c>
    </ns0:row>
    <ns0:row r="73" ht="48.75" customHeight="1">
      <ns0:c r="E73" s="3" t="inlineStr">
        <ns0:is>
          <ns0:t>Normal</ns0:t>
        </ns0:is>
      </ns0:c>
      <ns0:c r="F73" s="3" t="inlineStr">
        <ns0:is>
          <ns0:t>&gt; 0.5kgf</ns0:t>
        </ns0:is>
      </ns0:c>
      <ns0:c r="G73" s="3" t="inlineStr">
        <ns0:is>
          <ns0:t>Pass</ns0:t>
        </ns0:is>
      </ns0:c>
      <ns0:c r="H73" s="3">
        <ns0:f>MIN(K73:O73)</ns0:f>
        <ns0:v/>
      </ns0:c>
      <ns0:c r="I73" s="3">
        <ns0:f>MAX(K73:O73)</ns0:f>
        <ns0:v/>
      </ns0:c>
      <ns0:c r="J73" s="3">
        <ns0:f>AVERAGE(K73:O73)</ns0:f>
        <ns0:v/>
      </ns0:c>
      <ns0:c r="K73" s="3" t="n">
        <ns0:v>1.502</ns0:v>
      </ns0:c>
      <ns0:c r="L73" s="3" t="n">
        <ns0:v>1.414</ns0:v>
      </ns0:c>
      <ns0:c r="M73" s="3" t="n">
        <ns0:v>1.288</ns0:v>
      </ns0:c>
      <ns0:c r="N73" s="3" t="n">
        <ns0:v>1.345</ns0:v>
      </ns0:c>
      <ns0:c r="O73" s="3" t="n">
        <ns0:v>1.585</ns0:v>
      </ns0:c>
    </ns0:row>
    <ns0:row r="74" ht="48.75" customHeight="1"/>
    <ns0:row r="75" ht="40.75" customHeight="1">
      <ns0:c r="B75" s="3" t="inlineStr">
        <ns0:is>
          <ns0:t>4. Decision</ns0:t>
        </ns0:is>
      </ns0:c>
    </ns0:row>
    <ns0:row r="76" ht="40.75" customHeight="1">
      <ns0:c r="B76" s="3" t="inlineStr">
        <ns0:is>
          <ns0:t>- Lot test move inside when test in module S931 NG function reduce more =&gt; Make sample test more 1000pcs</ns0:t>
        </ns0:is>
      </ns0:c>
    </ns0:row>
    <ns0:row r="77" ht="40.75" customHeight="1"/>
    <ns0:row r="78" ht="40.75" customHeight="1"/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2:S19"/>
  <ns0:sheetViews>
    <ns0:sheetView workbookViewId="0">
      <ns0:selection activeCell="A1" sqref="A1"/>
    </ns0:sheetView>
  </ns0:sheetViews>
  <ns0:sheetFormatPr baseColWidth="8" defaultRowHeight="15"/>
  <ns0:cols>
    <ns0:col width="19.63" customWidth="1" min="2" max="2"/>
    <ns0:col width="19.63" customWidth="1" min="3" max="3"/>
    <ns0:col width="19.63" customWidth="1" min="4" max="4"/>
    <ns0:col width="19.63" customWidth="1" min="5" max="5"/>
    <ns0:col width="19.63" customWidth="1" min="6" max="6"/>
    <ns0:col width="19.63" customWidth="1" min="7" max="7"/>
    <ns0:col width="19.63" customWidth="1" min="8" max="8"/>
    <ns0:col width="19.63" customWidth="1" min="9" max="9"/>
    <ns0:col width="19.63" customWidth="1" min="10" max="10"/>
    <ns0:col width="19.63" customWidth="1" min="11" max="11"/>
    <ns0:col width="19.63" customWidth="1" min="12" max="12"/>
    <ns0:col width="19.63" customWidth="1" min="13" max="13"/>
    <ns0:col width="19.63" customWidth="1" min="14" max="14"/>
    <ns0:col width="19.63" customWidth="1" min="15" max="15"/>
    <ns0:col width="19.63" customWidth="1" min="16" max="16"/>
    <ns0:col width="19.63" customWidth="1" min="17" max="17"/>
    <ns0:col width="19.63" customWidth="1" min="18" max="18"/>
    <ns0:col width="19.63" customWidth="1" min="19" max="19"/>
    <ns0:col width="8.630000000000001" customWidth="1" min="20" max="20"/>
    <ns0:col width="8.630000000000001" customWidth="1" min="21" max="21"/>
    <ns0:col width="8.630000000000001" customWidth="1" min="22" max="22"/>
    <ns0:col width="8.630000000000001" customWidth="1" min="23" max="23"/>
    <ns0:col width="8.630000000000001" customWidth="1" min="24" max="24"/>
    <ns0:col width="8.630000000000001" customWidth="1" min="25" max="25"/>
    <ns0:col width="8.630000000000001" customWidth="1" min="26" max="26"/>
    <ns0:col width="8.630000000000001" customWidth="1" min="27" max="27"/>
    <ns0:col width="8.630000000000001" customWidth="1" min="28" max="28"/>
    <ns0:col width="8.630000000000001" customWidth="1" min="29" max="29"/>
    <ns0:col width="8.630000000000001" customWidth="1" min="30" max="30"/>
    <ns0:col width="8.630000000000001" customWidth="1" min="31" max="31"/>
    <ns0:col width="8.630000000000001" customWidth="1" min="32" max="32"/>
    <ns0:col width="8.630000000000001" customWidth="1" min="33" max="33"/>
    <ns0:col width="8.630000000000001" customWidth="1" min="34" max="34"/>
    <ns0:col width="8.630000000000001" customWidth="1" min="35" max="35"/>
    <ns0:col width="8.630000000000001" customWidth="1" min="36" max="36"/>
    <ns0:col width="8.630000000000001" customWidth="1" min="37" max="37"/>
    <ns0:col width="8.630000000000001" customWidth="1" min="38" max="38"/>
    <ns0:col width="8.630000000000001" customWidth="1" min="39" max="39"/>
    <ns0:col width="8.630000000000001" customWidth="1" min="40" max="40"/>
    <ns0:col width="8.630000000000001" customWidth="1" min="41" max="41"/>
    <ns0:col width="8.630000000000001" customWidth="1" min="42" max="42"/>
    <ns0:col width="8.630000000000001" customWidth="1" min="43" max="43"/>
    <ns0:col width="8.630000000000001" customWidth="1" min="44" max="44"/>
    <ns0:col width="8.630000000000001" customWidth="1" min="45" max="45"/>
    <ns0:col width="8.630000000000001" customWidth="1" min="46" max="46"/>
    <ns0:col width="8.630000000000001" customWidth="1" min="47" max="47"/>
    <ns0:col width="8.630000000000001" customWidth="1" min="48" max="48"/>
    <ns0:col width="8.630000000000001" customWidth="1" min="49" max="49"/>
    <ns0:col width="8.630000000000001" customWidth="1" min="50" max="50"/>
    <ns0:col width="8.630000000000001" customWidth="1" min="51" max="51"/>
    <ns0:col width="8.630000000000001" customWidth="1" min="52" max="52"/>
    <ns0:col width="8.630000000000001" customWidth="1" min="53" max="53"/>
    <ns0:col width="8.630000000000001" customWidth="1" min="54" max="54"/>
    <ns0:col width="8.630000000000001" customWidth="1" min="55" max="55"/>
    <ns0:col width="8.630000000000001" customWidth="1" min="56" max="56"/>
  </ns0:cols>
  <ns0:sheetData>
    <ns0:row r="1" ht="37.5" customHeight="1"/>
    <ns0:row r="2" ht="44.25" customHeight="1">
      <ns0:c r="B2" s="3" t="inlineStr">
        <ns0:is>
          <ns0:t>TITLE</ns0:t>
        </ns0:is>
      </ns0:c>
      <ns0:c r="D2" s="3" t="inlineStr">
        <ns0:is>
          <ns0:t xml:space="preserve"> BRS-161016 - REPORT TEST COMPARE SEMI VP+CD C2 WITH E2</ns0:t>
        </ns0:is>
      </ns0:c>
      <ns0:c r="R2" s="3" t="inlineStr">
        <ns0:is>
          <ns0:t>Dept</ns0:t>
        </ns0:is>
      </ns0:c>
      <ns0:c r="S2" s="3" t="inlineStr">
        <ns0:is>
          <ns0:t>ME</ns0:t>
        </ns0:is>
      </ns0:c>
    </ns0:row>
    <ns0:row r="3" ht="44.25" customHeight="1">
      <ns0:c r="R3" s="3" t="inlineStr">
        <ns0:is>
          <ns0:t>Date</ns0:t>
        </ns0:is>
      </ns0:c>
      <ns0:c r="S3" s="4" t="n">
        <ns0:v>45815</ns0:v>
      </ns0:c>
    </ns0:row>
    <ns0:row r="4" ht="44.25" customHeight="1">
      <ns0:c r="R4" s="3" t="inlineStr">
        <ns0:is>
          <ns0:t>Marker</ns0:t>
        </ns0:is>
      </ns0:c>
      <ns0:c r="S4" s="3" t="inlineStr">
        <ns0:is>
          <ns0:t>Nhung</ns0:t>
        </ns0:is>
      </ns0:c>
    </ns0:row>
    <ns0:row r="5" ht="44.25" customHeight="1">
      <ns0:c r="B5" s="3" t="inlineStr">
        <ns0:is>
          <ns0:t>I. Purpose.</ns0:t>
        </ns0:is>
      </ns0:c>
    </ns0:row>
    <ns0:row r="6" ht="44.25" customHeight="1">
      <ns0:c r="B6" s="3" t="inlineStr">
        <ns0:is>
          <ns0:t xml:space="preserve"> - To test find reason NG function (Improve TF)</ns0:t>
        </ns0:is>
      </ns0:c>
    </ns0:row>
    <ns0:row r="7" ht="44.25" customHeight="1">
      <ns0:c r="B7" s="3" t="inlineStr">
        <ns0:is>
          <ns0:t>II. Content.</ns0:t>
        </ns0:is>
      </ns0:c>
    </ns0:row>
    <ns0:row r="8" ht="44.25" customHeight="1">
      <ns0:c r="B8" s="3" t="inlineStr">
        <ns0:is>
          <ns0:t xml:space="preserve"> - Change Semi VP+CD from C2 &lt;=&gt; E2 </ns0:t>
        </ns0:is>
      </ns0:c>
    </ns0:row>
    <ns0:row r="9" ht="44.25" customHeight="1">
      <ns0:c r="B9" s="3" t="inlineStr">
        <ns0:is>
          <ns0:t>- Make final and check function</ns0:t>
        </ns0:is>
      </ns0:c>
    </ns0:row>
    <ns0:row r="10" ht="44.25" customHeight="1">
      <ns0:c r="B10" s="3" t="inlineStr">
        <ns0:is>
          <ns0:t>- Compare result check function C2 &amp; E2</ns0:t>
        </ns0:is>
      </ns0:c>
    </ns0:row>
    <ns0:row r="11" ht="44.25" customHeight="1">
      <ns0:c r="B11" s="3" t="inlineStr">
        <ns0:is>
          <ns0:t xml:space="preserve">III. Result </ns0:t>
        </ns0:is>
      </ns0:c>
    </ns0:row>
    <ns0:row r="12" ht="42.75" customHeight="1">
      <ns0:c r="C12" s="3" t="inlineStr">
        <ns0:is>
          <ns0:t>RESULT CHECKING FUNCTION</ns0:t>
        </ns0:is>
      </ns0:c>
    </ns0:row>
    <ns0:row r="13" ht="42.75" customHeight="1">
      <ns0:c r="C13" s="3" t="inlineStr">
        <ns0:is>
          <ns0:t>Date</ns0:t>
        </ns0:is>
      </ns0:c>
      <ns0:c r="D13" s="3" t="inlineStr">
        <ns0:is>
          <ns0:t>Line</ns0:t>
        </ns0:is>
      </ns0:c>
      <ns0:c r="E13" s="3" t="inlineStr">
        <ns0:is>
          <ns0:t>Type</ns0:t>
        </ns0:is>
      </ns0:c>
      <ns0:c r="G13" s="3" t="inlineStr">
        <ns0:is>
          <ns0:t xml:space="preserve">Input </ns0:t>
        </ns0:is>
      </ns0:c>
      <ns0:c r="H13" s="3" t="inlineStr">
        <ns0:is>
          <ns0:t xml:space="preserve">OK  </ns0:t>
        </ns0:is>
      </ns0:c>
      <ns0:c r="I13" s="3" t="inlineStr">
        <ns0:is>
          <ns0:t>Air leak</ns0:t>
        </ns0:is>
      </ns0:c>
      <ns0:c r="J13" s="3" t="inlineStr">
        <ns0:is>
          <ns0:t xml:space="preserve">NG Sigma </ns0:t>
        </ns0:is>
      </ns0:c>
      <ns0:c r="N13" s="3" t="inlineStr">
        <ns0:is>
          <ns0:t xml:space="preserve">NG Hearing </ns0:t>
        </ns0:is>
      </ns0:c>
      <ns0:c r="P13" s="3" t="inlineStr">
        <ns0:is>
          <ns0:t>Total NG</ns0:t>
        </ns0:is>
      </ns0:c>
      <ns0:c r="Q13" s="3" t="inlineStr">
        <ns0:is>
          <ns0:t>Total NG rate</ns0:t>
        </ns0:is>
      </ns0:c>
    </ns0:row>
    <ns0:row r="14" ht="42.75" customHeight="1">
      <ns0:c r="J14" s="3" t="inlineStr">
        <ns0:is>
          <ns0:t xml:space="preserve">SPL </ns0:t>
        </ns0:is>
      </ns0:c>
      <ns0:c r="K14" s="3" t="inlineStr">
        <ns0:is>
          <ns0:t xml:space="preserve">THD </ns0:t>
        </ns0:is>
      </ns0:c>
      <ns0:c r="L14" s="3" t="inlineStr">
        <ns0:is>
          <ns0:t xml:space="preserve">SPL+THD </ns0:t>
        </ns0:is>
      </ns0:c>
      <ns0:c r="M14" s="3" t="inlineStr">
        <ns0:is>
          <ns0:t>SPL+THD+F0</ns0:t>
        </ns0:is>
      </ns0:c>
      <ns0:c r="N14" s="3" t="inlineStr">
        <ns0:is>
          <ns0:t xml:space="preserve">Noise </ns0:t>
        </ns0:is>
      </ns0:c>
      <ns0:c r="O14" s="3" t="inlineStr">
        <ns0:is>
          <ns0:t xml:space="preserve">Touch </ns0:t>
        </ns0:is>
      </ns0:c>
    </ns0:row>
    <ns0:row r="15" ht="42.75" customHeight="1">
      <ns0:c r="C15" s="4" t="n">
        <ns0:v>45815</ns0:v>
      </ns0:c>
      <ns0:c r="D15" s="3" t="inlineStr">
        <ns0:is>
          <ns0:t>E2-3B</ns0:t>
        </ns0:is>
      </ns0:c>
      <ns0:c r="E15" s="3" t="inlineStr">
        <ns0:is>
          <ns0:t>VP+CD C2</ns0:t>
        </ns0:is>
      </ns0:c>
      <ns0:c r="G15" s="3" t="n">
        <ns0:v>969</ns0:v>
      </ns0:c>
      <ns0:c r="H15" s="3">
        <ns0:f>G15-P15</ns0:f>
        <ns0:v/>
      </ns0:c>
      <ns0:c r="I15" s="3" t="n">
        <ns0:v>0</ns0:v>
      </ns0:c>
      <ns0:c r="J15" s="3" t="n">
        <ns0:v>0</ns0:v>
      </ns0:c>
      <ns0:c r="K15" s="3" t="n">
        <ns0:v>1</ns0:v>
      </ns0:c>
      <ns0:c r="L15" s="3" t="n">
        <ns0:v>7</ns0:v>
      </ns0:c>
      <ns0:c r="M15" s="3" t="n">
        <ns0:v>0</ns0:v>
      </ns0:c>
      <ns0:c r="N15" s="3" t="n">
        <ns0:v>10</ns0:v>
      </ns0:c>
      <ns0:c r="O15" s="3" t="n">
        <ns0:v>6</ns0:v>
      </ns0:c>
      <ns0:c r="P15" s="3">
        <ns0:f>SUM(I15:O15)</ns0:f>
        <ns0:v/>
      </ns0:c>
      <ns0:c r="Q15" s="3">
        <ns0:f>P15/G15</ns0:f>
        <ns0:v/>
      </ns0:c>
    </ns0:row>
    <ns0:row r="16" ht="42.75" customHeight="1">
      <ns0:c r="E16" s="3" t="inlineStr">
        <ns0:is>
          <ns0:t xml:space="preserve">Normal </ns0:t>
        </ns0:is>
      </ns0:c>
      <ns0:c r="G16" s="3" t="n">
        <ns0:v>931</ns0:v>
      </ns0:c>
      <ns0:c r="H16" s="3">
        <ns0:f>G16-P16</ns0:f>
        <ns0:v/>
      </ns0:c>
      <ns0:c r="I16" s="3" t="n">
        <ns0:v>0</ns0:v>
      </ns0:c>
      <ns0:c r="J16" s="3" t="n">
        <ns0:v>0</ns0:v>
      </ns0:c>
      <ns0:c r="K16" s="3" t="n">
        <ns0:v>1</ns0:v>
      </ns0:c>
      <ns0:c r="L16" s="3" t="n">
        <ns0:v>4</ns0:v>
      </ns0:c>
      <ns0:c r="M16" s="3" t="n">
        <ns0:v>0</ns0:v>
      </ns0:c>
      <ns0:c r="N16" s="3" t="n">
        <ns0:v>8</ns0:v>
      </ns0:c>
      <ns0:c r="O16" s="3" t="n">
        <ns0:v>10</ns0:v>
      </ns0:c>
      <ns0:c r="P16" s="3">
        <ns0:f>SUM(I16:O16)</ns0:f>
        <ns0:v/>
      </ns0:c>
      <ns0:c r="Q16" s="3">
        <ns0:f>P16/G16</ns0:f>
        <ns0:v/>
      </ns0:c>
    </ns0:row>
    <ns0:row r="17" ht="42.75" customHeight="1"/>
    <ns0:row r="18" ht="44.25" customHeight="1"/>
    <ns0:row r="19" ht="44.25" customHeight="1">
      <ns0:c r="B19" s="3" t="inlineStr">
        <ns0:is>
          <ns0:t>IV. Decision</ns0:t>
        </ns0:is>
      </ns0:c>
    </ns0:row>
    <ns0:row r="20" ht="44.25" customHeight="1"/>
    <ns0:row r="21" ht="44.25" customHeight="1"/>
    <ns0:row r="22" ht="41" customHeight="1"/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2:S17"/>
  <ns0:sheetViews>
    <ns0:sheetView workbookViewId="0">
      <ns0:selection activeCell="A1" sqref="A1"/>
    </ns0:sheetView>
  </ns0:sheetViews>
  <ns0:sheetFormatPr baseColWidth="8" defaultRowHeight="15"/>
  <ns0:cols>
    <ns0:col width="14" customWidth="1" min="2" max="2"/>
    <ns0:col width="14" customWidth="1" min="3" max="3"/>
    <ns0:col width="14" customWidth="1" min="4" max="4"/>
    <ns0:col width="14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4" customWidth="1" min="14" max="14"/>
    <ns0:col width="14" customWidth="1" min="15" max="15"/>
    <ns0:col width="20.13" customWidth="1" min="16" max="16"/>
    <ns0:col width="20.13" customWidth="1" min="17" max="17"/>
    <ns0:col width="20.13" customWidth="1" min="18" max="18"/>
    <ns0:col width="20.13" customWidth="1" min="19" max="19"/>
  </ns0:cols>
  <ns0:sheetData>
    <ns0:row r="2" ht="30" customHeight="1">
      <ns0:c r="B2" t="inlineStr">
        <ns0:is>
          <ns0:t>STATUS CHECKING NEW JIG AWF BRS-161016</ns0:t>
        </ns0:is>
      </ns0:c>
    </ns0:row>
    <ns0:row r="3" ht="30" customHeight="1">
      <ns0:c r="B3" t="inlineStr">
        <ns0:is>
          <ns0:t>JIG</ns0:t>
        </ns0:is>
      </ns0:c>
      <ns0:c r="C3" t="inlineStr">
        <ns0:is>
          <ns0:t>Cuốn dây tự động</ns0:t>
        </ns0:is>
      </ns0:c>
      <ns0:c r="D3" t="inlineStr">
        <ns0:is>
          <ns0:t>Chinh dây &amp; kiểm tra Vision</ns0:t>
        </ns0:is>
      </ns0:c>
      <ns0:c r="E3" t="inlineStr">
        <ns0:is>
          <ns0:t>Bôi keo tổ hợp SP+COIL</ns0:t>
        </ns0:is>
      </ns0:c>
      <ns0:c r="F3" t="inlineStr">
        <ns0:is>
          <ns0:t xml:space="preserve">Tổ hợp S/P+Coil </ns0:t>
        </ns0:is>
      </ns0:c>
      <ns0:c r="G3" t="inlineStr">
        <ns0:is>
          <ns0:t>Đèn LED UV2 (phần dưới)(1)</ns0:t>
        </ns0:is>
      </ns0:c>
      <ns0:c r="H3" t="inlineStr">
        <ns0:is>
          <ns0:t>Lật FR+COIL và đặt (1)</ns0:t>
        </ns0:is>
      </ns0:c>
      <ns0:c r="I3" t="inlineStr">
        <ns0:is>
          <ns0:t>Kiểm tra vị trí định hình</ns0:t>
        </ns0:is>
      </ns0:c>
      <ns0:c r="J3" t="inlineStr">
        <ns0:is>
          <ns0:t>SPOT WELDING</ns0:t>
        </ns0:is>
      </ns0:c>
      <ns0:c r="K3" t="inlineStr">
        <ns0:is>
          <ns0:t xml:space="preserve">Kiểm tra AI SPOT WELDING </ns0:t>
        </ns0:is>
      </ns0:c>
      <ns0:c r="L3" t="inlineStr">
        <ns0:is>
          <ns0:t xml:space="preserve">Bôi keo cố định  </ns0:t>
        </ns0:is>
      </ns0:c>
      <ns0:c r="M3" t="inlineStr">
        <ns0:is>
          <ns0:t>Bôi keo cố định  (2)</ns0:t>
        </ns0:is>
      </ns0:c>
      <ns0:c r="N3" t="inlineStr">
        <ns0:is>
          <ns0:t>Đèn LED UV3  (phần trên)(1)</ns0:t>
        </ns0:is>
      </ns0:c>
      <ns0:c r="O3" t="inlineStr">
        <ns0:is>
          <ns0:t>Lật FR+COIL và đặt (2)</ns0:t>
        </ns0:is>
      </ns0:c>
      <ns0:c r="P3" t="inlineStr">
        <ns0:is>
          <ns0:t xml:space="preserve">Laser Cutting SP </ns0:t>
        </ns0:is>
      </ns0:c>
      <ns0:c r="Q3" t="inlineStr">
        <ns0:is>
          <ns0:t xml:space="preserve">Kiểm tra LASER CUTTING </ns0:t>
        </ns0:is>
      </ns0:c>
      <ns0:c r="R3" t="inlineStr">
        <ns0:is>
          <ns0:t>Kiểm tra D.C.R</ns0:t>
        </ns0:is>
      </ns0:c>
      <ns0:c r="S3" t="inlineStr">
        <ns0:is>
          <ns0:t>Lật FR+COIL và đặt ( 3 )</ns0:t>
        </ns0:is>
      </ns0:c>
    </ns0:row>
    <ns0:row r="4" ht="86.25" customHeight="1">
      <ns0:c r="B4" t="inlineStr">
        <ns0:is>
          <ns0:t xml:space="preserve">AWF JIG-Y </ns0:t>
        </ns0:is>
      </ns0:c>
    </ns0:row>
    <ns0:row r="5" ht="27" customHeight="1">
      <ns0:c r="B5" t="inlineStr">
        <ns0:is>
          <ns0:t xml:space="preserve">Result check </ns0:t>
        </ns0:is>
      </ns0:c>
      <ns0:c r="C5" t="inlineStr">
        <ns0:is>
          <ns0:t>OK</ns0:t>
        </ns0:is>
      </ns0:c>
      <ns0:c r="D5" t="inlineStr">
        <ns0:is>
          <ns0:t>OK</ns0:t>
        </ns0:is>
      </ns0:c>
      <ns0:c r="E5" t="inlineStr">
        <ns0:is>
          <ns0:t>OK</ns0:t>
        </ns0:is>
      </ns0:c>
      <ns0:c r="F5" t="inlineStr">
        <ns0:is>
          <ns0:t>OK</ns0:t>
        </ns0:is>
      </ns0:c>
      <ns0:c r="G5" t="inlineStr">
        <ns0:is>
          <ns0:t>OK</ns0:t>
        </ns0:is>
      </ns0:c>
      <ns0:c r="H5" t="inlineStr">
        <ns0:is>
          <ns0:t>OK</ns0:t>
        </ns0:is>
      </ns0:c>
      <ns0:c r="I5" t="inlineStr">
        <ns0:is>
          <ns0:t>OK</ns0:t>
        </ns0:is>
      </ns0:c>
      <ns0:c r="J5" t="inlineStr">
        <ns0:is>
          <ns0:t>OK</ns0:t>
        </ns0:is>
      </ns0:c>
      <ns0:c r="K5" t="inlineStr">
        <ns0:is>
          <ns0:t>OK</ns0:t>
        </ns0:is>
      </ns0:c>
      <ns0:c r="L5" t="inlineStr">
        <ns0:is>
          <ns0:t>OK</ns0:t>
        </ns0:is>
      </ns0:c>
      <ns0:c r="M5" t="inlineStr">
        <ns0:is>
          <ns0:t>OK</ns0:t>
        </ns0:is>
      </ns0:c>
      <ns0:c r="N5" t="inlineStr">
        <ns0:is>
          <ns0:t>OK</ns0:t>
        </ns0:is>
      </ns0:c>
      <ns0:c r="O5" t="inlineStr">
        <ns0:is>
          <ns0:t>OK</ns0:t>
        </ns0:is>
      </ns0:c>
      <ns0:c r="P5" t="inlineStr">
        <ns0:is>
          <ns0:t>OK</ns0:t>
        </ns0:is>
      </ns0:c>
      <ns0:c r="Q5" t="inlineStr">
        <ns0:is>
          <ns0:t>OK</ns0:t>
        </ns0:is>
      </ns0:c>
      <ns0:c r="R5" t="inlineStr">
        <ns0:is>
          <ns0:t>OK</ns0:t>
        </ns0:is>
      </ns0:c>
      <ns0:c r="S5" t="inlineStr">
        <ns0:is>
          <ns0:t>OK</ns0:t>
        </ns0:is>
      </ns0:c>
    </ns0:row>
    <ns0:row r="6" ht="30" customHeight="1">
      <ns0:c r="B6" t="inlineStr">
        <ns0:is>
          <ns0:t>After repair</ns0:t>
        </ns0:is>
      </ns0:c>
    </ns0:row>
    <ns0:row r="7" ht="30" customHeight="1"/>
    <ns0:row r="8" ht="30" customHeight="1"/>
    <ns0:row r="9" ht="30" customHeight="1">
      <ns0:c r="B9" t="inlineStr">
        <ns0:is>
          <ns0:t>RESULT CHECK FUNCTION COMPARE NEW JIG AWF AND OLD JIG AWF</ns0:t>
        </ns0:is>
      </ns0:c>
    </ns0:row>
    <ns0:row r="10" ht="30" customHeight="1">
      <ns0:c r="B10" t="inlineStr">
        <ns0:is>
          <ns0:t>Date</ns0:t>
        </ns0:is>
      </ns0:c>
      <ns0:c r="C10" t="inlineStr">
        <ns0:is>
          <ns0:t>Line</ns0:t>
        </ns0:is>
      </ns0:c>
      <ns0:c r="D10" t="inlineStr">
        <ns0:is>
          <ns0:t>Type</ns0:t>
        </ns0:is>
      </ns0:c>
      <ns0:c r="E10" t="inlineStr">
        <ns0:is>
          <ns0:t xml:space="preserve">Input </ns0:t>
        </ns0:is>
      </ns0:c>
      <ns0:c r="F10" t="inlineStr">
        <ns0:is>
          <ns0:t xml:space="preserve">OK  </ns0:t>
        </ns0:is>
      </ns0:c>
      <ns0:c r="G10" t="inlineStr">
        <ns0:is>
          <ns0:t>Air leak</ns0:t>
        </ns0:is>
      </ns0:c>
      <ns0:c r="H10" t="inlineStr">
        <ns0:is>
          <ns0:t xml:space="preserve">NG Sigma </ns0:t>
        </ns0:is>
      </ns0:c>
      <ns0:c r="L10" t="inlineStr">
        <ns0:is>
          <ns0:t xml:space="preserve">NG Hearing </ns0:t>
        </ns0:is>
      </ns0:c>
      <ns0:c r="N10" t="inlineStr">
        <ns0:is>
          <ns0:t>Total NG</ns0:t>
        </ns0:is>
      </ns0:c>
      <ns0:c r="O10" t="inlineStr">
        <ns0:is>
          <ns0:t>Total NG rate</ns0:t>
        </ns0:is>
      </ns0:c>
    </ns0:row>
    <ns0:row r="11" ht="30" customHeight="1">
      <ns0:c r="H11" t="inlineStr">
        <ns0:is>
          <ns0:t xml:space="preserve">SPL </ns0:t>
        </ns0:is>
      </ns0:c>
      <ns0:c r="I11" t="inlineStr">
        <ns0:is>
          <ns0:t xml:space="preserve">THD </ns0:t>
        </ns0:is>
      </ns0:c>
      <ns0:c r="J11" t="inlineStr">
        <ns0:is>
          <ns0:t xml:space="preserve">SPL+THD </ns0:t>
        </ns0:is>
      </ns0:c>
      <ns0:c r="K11" t="inlineStr">
        <ns0:is>
          <ns0:t>SPL+THD+F0</ns0:t>
        </ns0:is>
      </ns0:c>
      <ns0:c r="L11" t="inlineStr">
        <ns0:is>
          <ns0:t xml:space="preserve">Noise </ns0:t>
        </ns0:is>
      </ns0:c>
      <ns0:c r="M11" t="inlineStr">
        <ns0:is>
          <ns0:t xml:space="preserve">Touch </ns0:t>
        </ns0:is>
      </ns0:c>
    </ns0:row>
    <ns0:row r="12" ht="30" customHeight="1">
      <ns0:c r="B12" s="5" t="n">
        <ns0:v>45812</ns0:v>
      </ns0:c>
      <ns0:c r="C12" t="inlineStr">
        <ns0:is>
          <ns0:t>E2-3B</ns0:t>
        </ns0:is>
      </ns0:c>
      <ns0:c r="D12" t="inlineStr">
        <ns0:is>
          <ns0:t>New JIG</ns0:t>
        </ns0:is>
      </ns0:c>
      <ns0:c r="E12" t="n">
        <ns0:v>397</ns0:v>
      </ns0:c>
      <ns0:c r="F12">
        <ns0:f>E12-N12</ns0:f>
        <ns0:v/>
      </ns0:c>
      <ns0:c r="G12" t="n">
        <ns0:v>0</ns0:v>
      </ns0:c>
      <ns0:c r="H12" t="n">
        <ns0:v>0</ns0:v>
      </ns0:c>
      <ns0:c r="I12" t="n">
        <ns0:v>4</ns0:v>
      </ns0:c>
      <ns0:c r="J12" t="n">
        <ns0:v>0</ns0:v>
      </ns0:c>
      <ns0:c r="K12" t="n">
        <ns0:v>0</ns0:v>
      </ns0:c>
      <ns0:c r="L12" t="n">
        <ns0:v>4</ns0:v>
      </ns0:c>
      <ns0:c r="M12" t="n">
        <ns0:v>1</ns0:v>
      </ns0:c>
      <ns0:c r="N12">
        <ns0:f>SUM(G12:M12)</ns0:f>
        <ns0:v/>
      </ns0:c>
      <ns0:c r="O12">
        <ns0:f>N12/E12</ns0:f>
        <ns0:v/>
      </ns0:c>
    </ns0:row>
    <ns0:row r="13" ht="30" customHeight="1">
      <ns0:c r="D13" t="inlineStr">
        <ns0:is>
          <ns0:t>Old JIG</ns0:t>
        </ns0:is>
      </ns0:c>
      <ns0:c r="E13" t="n">
        <ns0:v>769</ns0:v>
      </ns0:c>
      <ns0:c r="F13">
        <ns0:f>E13-N13</ns0:f>
        <ns0:v/>
      </ns0:c>
      <ns0:c r="G13" t="n">
        <ns0:v>0</ns0:v>
      </ns0:c>
      <ns0:c r="H13" t="n">
        <ns0:v>0</ns0:v>
      </ns0:c>
      <ns0:c r="I13" t="n">
        <ns0:v>3</ns0:v>
      </ns0:c>
      <ns0:c r="J13" t="n">
        <ns0:v>0</ns0:v>
      </ns0:c>
      <ns0:c r="K13" t="n">
        <ns0:v>0</ns0:v>
      </ns0:c>
      <ns0:c r="L13" t="n">
        <ns0:v>16</ns0:v>
      </ns0:c>
      <ns0:c r="M13" t="n">
        <ns0:v>4</ns0:v>
      </ns0:c>
      <ns0:c r="N13">
        <ns0:f>SUM(G13:M13)</ns0:f>
        <ns0:v/>
      </ns0:c>
      <ns0:c r="O13">
        <ns0:f>N13/E13</ns0:f>
        <ns0:v/>
      </ns0:c>
    </ns0:row>
    <ns0:row r="14" ht="30" customHeight="1">
      <ns0:c r="B14" s="5" t="n">
        <ns0:v>45812</ns0:v>
      </ns0:c>
      <ns0:c r="C14" t="inlineStr">
        <ns0:is>
          <ns0:t>E2-3A</ns0:t>
        </ns0:is>
      </ns0:c>
      <ns0:c r="D14" t="inlineStr">
        <ns0:is>
          <ns0:t>New JIG</ns0:t>
        </ns0:is>
      </ns0:c>
      <ns0:c r="E14" t="n">
        <ns0:v>10405</ns0:v>
      </ns0:c>
      <ns0:c r="F14">
        <ns0:f>E14-N14</ns0:f>
        <ns0:v/>
      </ns0:c>
      <ns0:c r="G14" t="n">
        <ns0:v>0</ns0:v>
      </ns0:c>
      <ns0:c r="H14" t="n">
        <ns0:v>0</ns0:v>
      </ns0:c>
      <ns0:c r="I14" t="n">
        <ns0:v>16</ns0:v>
      </ns0:c>
      <ns0:c r="J14" t="n">
        <ns0:v>4</ns0:v>
      </ns0:c>
      <ns0:c r="K14" t="n">
        <ns0:v>1</ns0:v>
      </ns0:c>
      <ns0:c r="L14" t="n">
        <ns0:v>245</ns0:v>
      </ns0:c>
      <ns0:c r="M14" t="n">
        <ns0:v>81</ns0:v>
      </ns0:c>
      <ns0:c r="N14">
        <ns0:f>SUM(G14:M14)</ns0:f>
        <ns0:v/>
      </ns0:c>
      <ns0:c r="O14">
        <ns0:f>N14/E14</ns0:f>
        <ns0:v/>
      </ns0:c>
    </ns0:row>
    <ns0:row r="15" ht="30" customHeight="1">
      <ns0:c r="B15" s="5" t="n">
        <ns0:v>45811</ns0:v>
      </ns0:c>
      <ns0:c r="D15" t="inlineStr">
        <ns0:is>
          <ns0:t>Old JIG</ns0:t>
        </ns0:is>
      </ns0:c>
      <ns0:c r="E15" t="n">
        <ns0:v>11191</ns0:v>
      </ns0:c>
      <ns0:c r="F15">
        <ns0:f>E15-N15</ns0:f>
        <ns0:v/>
      </ns0:c>
      <ns0:c r="G15" t="n">
        <ns0:v>0</ns0:v>
      </ns0:c>
      <ns0:c r="H15" t="n">
        <ns0:v>1</ns0:v>
      </ns0:c>
      <ns0:c r="I15" t="n">
        <ns0:v>15</ns0:v>
      </ns0:c>
      <ns0:c r="J15" t="n">
        <ns0:v>5</ns0:v>
      </ns0:c>
      <ns0:c r="K15" t="n">
        <ns0:v>0</ns0:v>
      </ns0:c>
      <ns0:c r="L15" t="n">
        <ns0:v>296</ns0:v>
      </ns0:c>
      <ns0:c r="M15" t="n">
        <ns0:v>61</ns0:v>
      </ns0:c>
      <ns0:c r="N15">
        <ns0:f>SUM(G15:M15)</ns0:f>
        <ns0:v/>
      </ns0:c>
      <ns0:c r="O15">
        <ns0:f>N15/E15</ns0:f>
        <ns0:v/>
      </ns0:c>
    </ns0:row>
    <ns0:row r="16" ht="30" customHeight="1">
      <ns0:c r="B16" t="inlineStr">
        <ns0:is>
          <ns0:t>Total</ns0:t>
        </ns0:is>
      </ns0:c>
      <ns0:c r="D16" t="inlineStr">
        <ns0:is>
          <ns0:t>New JIG</ns0:t>
        </ns0:is>
      </ns0:c>
      <ns0:c r="E16">
        <ns0:f>+E12+E14</ns0:f>
        <ns0:v/>
      </ns0:c>
      <ns0:c r="F16">
        <ns0:f>E16-N16</ns0:f>
        <ns0:v/>
      </ns0:c>
      <ns0:c r="G16">
        <ns0:f>+G12+G14</ns0:f>
        <ns0:v/>
      </ns0:c>
      <ns0:c r="H16">
        <ns0:f>+H12+H14</ns0:f>
        <ns0:v/>
      </ns0:c>
      <ns0:c r="I16">
        <ns0:f>+I12+I14</ns0:f>
        <ns0:v/>
      </ns0:c>
      <ns0:c r="J16">
        <ns0:f>+J12+J14</ns0:f>
        <ns0:v/>
      </ns0:c>
      <ns0:c r="K16">
        <ns0:f>+K12+K14</ns0:f>
        <ns0:v/>
      </ns0:c>
      <ns0:c r="L16">
        <ns0:f>+L12+L14</ns0:f>
        <ns0:v/>
      </ns0:c>
      <ns0:c r="M16">
        <ns0:f>+M12+M14</ns0:f>
        <ns0:v/>
      </ns0:c>
      <ns0:c r="N16">
        <ns0:f>SUM(G16:M16)</ns0:f>
        <ns0:v/>
      </ns0:c>
      <ns0:c r="O16">
        <ns0:f>N16/E16</ns0:f>
        <ns0:v/>
      </ns0:c>
    </ns0:row>
    <ns0:row r="17" ht="30" customHeight="1">
      <ns0:c r="D17" t="inlineStr">
        <ns0:is>
          <ns0:t>Old JIG</ns0:t>
        </ns0:is>
      </ns0:c>
      <ns0:c r="E17">
        <ns0:f>+E13+E15</ns0:f>
        <ns0:v/>
      </ns0:c>
      <ns0:c r="F17">
        <ns0:f>E17-N17</ns0:f>
        <ns0:v/>
      </ns0:c>
      <ns0:c r="G17">
        <ns0:f>+G13+G15</ns0:f>
        <ns0:v/>
      </ns0:c>
      <ns0:c r="H17" t="n">
        <ns0:v>1</ns0:v>
      </ns0:c>
      <ns0:c r="I17" t="n">
        <ns0:v>15</ns0:v>
      </ns0:c>
      <ns0:c r="J17" t="n">
        <ns0:v>5</ns0:v>
      </ns0:c>
      <ns0:c r="K17" t="n">
        <ns0:v>0</ns0:v>
      </ns0:c>
      <ns0:c r="L17" t="n">
        <ns0:v>296</ns0:v>
      </ns0:c>
      <ns0:c r="M17" t="n">
        <ns0:v>61</ns0:v>
      </ns0:c>
      <ns0:c r="N17">
        <ns0:f>SUM(G17:M17)</ns0:f>
        <ns0:v/>
      </ns0:c>
      <ns0:c r="O17">
        <ns0:f>N17/E17</ns0:f>
        <ns0:v/>
      </ns0:c>
    </ns0:row>
    <ns0:row r="18" ht="30" customHeight="1"/>
    <ns0:row r="19" ht="30" customHeight="1"/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3:AG72"/>
  <ns0:sheetViews>
    <ns0:sheetView workbookViewId="0">
      <ns0:selection activeCell="A1" sqref="A1"/>
    </ns0:sheetView>
  </ns0:sheetViews>
  <ns0:sheetFormatPr baseColWidth="8" defaultRowHeight="15"/>
  <ns0:cols>
    <ns0:col width="8.5" customWidth="1" min="2" max="2"/>
    <ns0:col width="15.13" customWidth="1" min="3" max="3"/>
    <ns0:col width="15.13" customWidth="1" min="4" max="4"/>
    <ns0:col width="15.13" customWidth="1" min="5" max="5"/>
    <ns0:col width="15.13" customWidth="1" min="6" max="6"/>
    <ns0:col width="12.13" customWidth="1" min="7" max="7"/>
    <ns0:col width="12.13" customWidth="1" min="8" max="8"/>
    <ns0:col width="12.13" customWidth="1" min="9" max="9"/>
    <ns0:col width="10" customWidth="1" min="10" max="10"/>
    <ns0:col width="10" customWidth="1" min="11" max="11"/>
    <ns0:col width="10" customWidth="1" min="12" max="12"/>
    <ns0:col width="10.13" customWidth="1" min="13" max="13"/>
    <ns0:col width="10.13" customWidth="1" min="14" max="14"/>
    <ns0:col width="10.13" customWidth="1" min="15" max="15"/>
    <ns0:col width="8.5" customWidth="1" min="16" max="16"/>
    <ns0:col width="8.5" customWidth="1" min="17" max="17"/>
    <ns0:col width="8.5" customWidth="1" min="18" max="18"/>
    <ns0:col width="8.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</ns0:cols>
  <ns0:sheetData>
    <ns0:row r="3" ht="36" customHeight="1">
      <ns0:c r="B3" s="6" t="inlineStr">
        <ns0:is>
          <ns0:t>RESULT CHECK COIL BY AOI VISION DAILY</ns0:t>
        </ns0:is>
      </ns0:c>
    </ns0:row>
    <ns0:row r="4" ht="26.25" customHeight="1">
      <ns0:c r="B4" s="6" t="inlineStr">
        <ns0:is>
          <ns0:t>No</ns0:t>
        </ns0:is>
      </ns0:c>
      <ns0:c r="C4" s="6" t="inlineStr">
        <ns0:is>
          <ns0:t xml:space="preserve">Date </ns0:t>
        </ns0:is>
      </ns0:c>
      <ns0:c r="D4" s="6" t="inlineStr">
        <ns0:is>
          <ns0:t xml:space="preserve">Shift </ns0:t>
        </ns0:is>
      </ns0:c>
      <ns0:c r="E4" s="6" t="inlineStr">
        <ns0:is>
          <ns0:t>AWF machine</ns0:t>
        </ns0:is>
      </ns0:c>
      <ns0:c r="F4" s="6" t="inlineStr">
        <ns0:is>
          <ns0:t>Input</ns0:t>
        </ns0:is>
      </ns0:c>
      <ns0:c r="G4" s="6" t="inlineStr">
        <ns0:is>
          <ns0:t>OK</ns0:t>
        </ns0:is>
      </ns0:c>
      <ns0:c r="H4" s="6" t="inlineStr">
        <ns0:is>
          <ns0:t>Total NG</ns0:t>
        </ns0:is>
      </ns0:c>
      <ns0:c r="I4" s="6" t="inlineStr">
        <ns0:is>
          <ns0:t>NG rate</ns0:t>
        </ns0:is>
      </ns0:c>
      <ns0:c r="J4" s="6" t="inlineStr">
        <ns0:is>
          <ns0:t>NG type</ns0:t>
        </ns0:is>
      </ns0:c>
    </ns0:row>
    <ns0:row r="5" ht="26.25" customHeight="1">
      <ns0:c r="J5" s="6" t="inlineStr">
        <ns0:is>
          <ns0:t xml:space="preserve">Don’t  cutting start wire </ns0:t>
        </ns0:is>
      </ns0:c>
      <ns0:c r="M5" s="6" t="inlineStr">
        <ns0:is>
          <ns0:t xml:space="preserve">Don’t  cutting end wire </ns0:t>
        </ns0:is>
      </ns0:c>
      <ns0:c r="P5" s="6" t="inlineStr">
        <ns0:is>
          <ns0:t>Start Wire offset</ns0:t>
        </ns0:is>
      </ns0:c>
      <ns0:c r="S5" s="6" t="inlineStr">
        <ns0:is>
          <ns0:t>End Wire offset</ns0:t>
        </ns0:is>
      </ns0:c>
      <ns0:c r="V5" s="6" t="inlineStr">
        <ns0:is>
          <ns0:t xml:space="preserve">Coil separate </ns0:t>
        </ns0:is>
      </ns0:c>
      <ns0:c r="Y5" s="6" t="inlineStr">
        <ns0:is>
          <ns0:t>Drop coil</ns0:t>
        </ns0:is>
      </ns0:c>
      <ns0:c r="AB5" s="6" t="inlineStr">
        <ns0:is>
          <ns0:t>AOI NG</ns0:t>
        </ns0:is>
      </ns0:c>
      <ns0:c r="AE5" s="6" t="inlineStr">
        <ns0:is>
          <ns0:t xml:space="preserve">Other </ns0:t>
        </ns0:is>
      </ns0:c>
    </ns0:row>
    <ns0:row r="6" ht="26.25" customHeight="1"/>
    <ns0:row r="7" ht="26.25" customHeight="1"/>
    <ns0:row r="8" ht="26.25" customHeight="1"/>
    <ns0:row r="9" ht="26.25" customHeight="1"/>
    <ns0:row r="10" ht="26.25" customHeight="1"/>
    <ns0:row r="11" ht="26.25" customHeight="1"/>
    <ns0:row r="12" ht="26.25" customHeight="1"/>
    <ns0:row r="13" ht="26.25" customHeight="1">
      <ns0:c r="B13" s="6" t="n">
        <ns0:v>1</ns0:v>
      </ns0:c>
      <ns0:c r="C13" s="7" t="n">
        <ns0:v>45807</ns0:v>
      </ns0:c>
      <ns0:c r="D13" s="6" t="inlineStr">
        <ns0:is>
          <ns0:t>Night shift</ns0:t>
        </ns0:is>
      </ns0:c>
      <ns0:c r="E13" s="6" t="inlineStr">
        <ns0:is>
          <ns0:t>#1</ns0:t>
        </ns0:is>
      </ns0:c>
      <ns0:c r="F13" s="6" t="n">
        <ns0:v>100</ns0:v>
      </ns0:c>
      <ns0:c r="G13" s="6">
        <ns0:f>+F13-H13</ns0:f>
        <ns0:v/>
      </ns0:c>
      <ns0:c r="H13" s="6">
        <ns0:f>SUM(J13:AG13)</ns0:f>
        <ns0:v/>
      </ns0:c>
      <ns0:c r="I13" s="6">
        <ns0:f>+H13/F13</ns0:f>
        <ns0:v/>
      </ns0:c>
      <ns0:c r="J13" s="6" t="n">
        <ns0:v>0</ns0:v>
      </ns0:c>
      <ns0:c r="M13" s="6" t="n">
        <ns0:v>0</ns0:v>
      </ns0:c>
      <ns0:c r="P13" s="6" t="n">
        <ns0:v>0</ns0:v>
      </ns0:c>
      <ns0:c r="S13" s="6" t="n">
        <ns0:v>0</ns0:v>
      </ns0:c>
      <ns0:c r="V13" s="6" t="n">
        <ns0:v>0</ns0:v>
      </ns0:c>
      <ns0:c r="Y13" s="6" t="n">
        <ns0:v>2</ns0:v>
      </ns0:c>
      <ns0:c r="AB13" s="6" t="n">
        <ns0:v>0</ns0:v>
      </ns0:c>
      <ns0:c r="AE13" s="6" t="n">
        <ns0:v>0</ns0:v>
      </ns0:c>
    </ns0:row>
    <ns0:row r="14" ht="26.25" customHeight="1">
      <ns0:c r="B14" s="6" t="n">
        <ns0:v>2</ns0:v>
      </ns0:c>
      <ns0:c r="E14" s="6" t="inlineStr">
        <ns0:is>
          <ns0:t>#2</ns0:t>
        </ns0:is>
      </ns0:c>
      <ns0:c r="F14" s="6" t="n">
        <ns0:v>100</ns0:v>
      </ns0:c>
      <ns0:c r="G14" s="6">
        <ns0:f>+F14-H14</ns0:f>
        <ns0:v/>
      </ns0:c>
      <ns0:c r="H14" s="6">
        <ns0:f>SUM(J14:AG14)</ns0:f>
        <ns0:v/>
      </ns0:c>
      <ns0:c r="I14" s="6">
        <ns0:f>+H14/F14</ns0:f>
        <ns0:v/>
      </ns0:c>
      <ns0:c r="J14" s="6" t="n">
        <ns0:v>0</ns0:v>
      </ns0:c>
      <ns0:c r="M14" s="6" t="n">
        <ns0:v>0</ns0:v>
      </ns0:c>
      <ns0:c r="P14" s="6" t="n">
        <ns0:v>0</ns0:v>
      </ns0:c>
      <ns0:c r="S14" s="6" t="n">
        <ns0:v>0</ns0:v>
      </ns0:c>
      <ns0:c r="V14" s="6" t="n">
        <ns0:v>0</ns0:v>
      </ns0:c>
      <ns0:c r="Y14" s="6" t="n">
        <ns0:v>0</ns0:v>
      </ns0:c>
      <ns0:c r="AB14" s="6" t="n">
        <ns0:v>0</ns0:v>
      </ns0:c>
      <ns0:c r="AE14" s="6" t="n">
        <ns0:v>0</ns0:v>
      </ns0:c>
    </ns0:row>
    <ns0:row r="15" ht="26.25" customHeight="1">
      <ns0:c r="B15" s="6" t="n">
        <ns0:v>3</ns0:v>
      </ns0:c>
      <ns0:c r="E15" s="6" t="inlineStr">
        <ns0:is>
          <ns0:t>#3</ns0:t>
        </ns0:is>
      </ns0:c>
      <ns0:c r="F15" s="6" t="n">
        <ns0:v>100</ns0:v>
      </ns0:c>
      <ns0:c r="G15" s="6">
        <ns0:f>+F15-H15</ns0:f>
        <ns0:v/>
      </ns0:c>
      <ns0:c r="H15" s="6">
        <ns0:f>SUM(J15:AG15)</ns0:f>
        <ns0:v/>
      </ns0:c>
      <ns0:c r="I15" s="6">
        <ns0:f>+H15/F15</ns0:f>
        <ns0:v/>
      </ns0:c>
      <ns0:c r="J15" s="6" t="n">
        <ns0:v>0</ns0:v>
      </ns0:c>
      <ns0:c r="M15" s="6" t="n">
        <ns0:v>0</ns0:v>
      </ns0:c>
      <ns0:c r="P15" s="6" t="n">
        <ns0:v>0</ns0:v>
      </ns0:c>
      <ns0:c r="S15" s="6" t="n">
        <ns0:v>0</ns0:v>
      </ns0:c>
      <ns0:c r="V15" s="6" t="n">
        <ns0:v>0</ns0:v>
      </ns0:c>
      <ns0:c r="Y15" s="6" t="n">
        <ns0:v>0</ns0:v>
      </ns0:c>
      <ns0:c r="AB15" s="6" t="n">
        <ns0:v>0</ns0:v>
      </ns0:c>
      <ns0:c r="AE15" s="6" t="n">
        <ns0:v>0</ns0:v>
      </ns0:c>
    </ns0:row>
    <ns0:row r="16" ht="26.25" customHeight="1">
      <ns0:c r="B16" s="6" t="n">
        <ns0:v>4</ns0:v>
      </ns0:c>
      <ns0:c r="E16" s="6" t="inlineStr">
        <ns0:is>
          <ns0:t>#4</ns0:t>
        </ns0:is>
      </ns0:c>
      <ns0:c r="F16" s="6" t="n">
        <ns0:v>100</ns0:v>
      </ns0:c>
      <ns0:c r="G16" s="6">
        <ns0:f>+F16-H16</ns0:f>
        <ns0:v/>
      </ns0:c>
      <ns0:c r="H16" s="6">
        <ns0:f>SUM(J16:AG16)</ns0:f>
        <ns0:v/>
      </ns0:c>
      <ns0:c r="I16" s="6">
        <ns0:f>+H16/F16</ns0:f>
        <ns0:v/>
      </ns0:c>
      <ns0:c r="J16" s="6" t="n">
        <ns0:v>0</ns0:v>
      </ns0:c>
      <ns0:c r="M16" s="6" t="n">
        <ns0:v>0</ns0:v>
      </ns0:c>
      <ns0:c r="P16" s="6" t="n">
        <ns0:v>0</ns0:v>
      </ns0:c>
      <ns0:c r="S16" s="6" t="n">
        <ns0:v>0</ns0:v>
      </ns0:c>
      <ns0:c r="V16" s="6" t="n">
        <ns0:v>0</ns0:v>
      </ns0:c>
      <ns0:c r="Y16" s="6" t="n">
        <ns0:v>0</ns0:v>
      </ns0:c>
      <ns0:c r="AB16" s="6" t="n">
        <ns0:v>0</ns0:v>
      </ns0:c>
      <ns0:c r="AE16" s="6" t="n">
        <ns0:v>0</ns0:v>
      </ns0:c>
    </ns0:row>
    <ns0:row r="17" ht="26.25" customHeight="1">
      <ns0:c r="B17" s="6" t="n">
        <ns0:v>5</ns0:v>
      </ns0:c>
      <ns0:c r="E17" s="6" t="inlineStr">
        <ns0:is>
          <ns0:t>#5</ns0:t>
        </ns0:is>
      </ns0:c>
      <ns0:c r="F17" s="6" t="n">
        <ns0:v>100</ns0:v>
      </ns0:c>
      <ns0:c r="G17" s="6">
        <ns0:f>+F17-H17</ns0:f>
        <ns0:v/>
      </ns0:c>
      <ns0:c r="H17" s="6">
        <ns0:f>SUM(J17:AG17)</ns0:f>
        <ns0:v/>
      </ns0:c>
      <ns0:c r="I17" s="6">
        <ns0:f>+H17/F17</ns0:f>
        <ns0:v/>
      </ns0:c>
      <ns0:c r="J17" s="6" t="n">
        <ns0:v>0</ns0:v>
      </ns0:c>
      <ns0:c r="M17" s="6" t="n">
        <ns0:v>0</ns0:v>
      </ns0:c>
      <ns0:c r="P17" s="6" t="n">
        <ns0:v>0</ns0:v>
      </ns0:c>
      <ns0:c r="S17" s="6" t="n">
        <ns0:v>0</ns0:v>
      </ns0:c>
      <ns0:c r="V17" s="6" t="n">
        <ns0:v>0</ns0:v>
      </ns0:c>
      <ns0:c r="Y17" s="6" t="n">
        <ns0:v>0</ns0:v>
      </ns0:c>
      <ns0:c r="AB17" s="6" t="n">
        <ns0:v>0</ns0:v>
      </ns0:c>
      <ns0:c r="AE17" s="6" t="n">
        <ns0:v>0</ns0:v>
      </ns0:c>
    </ns0:row>
    <ns0:row r="18" ht="26.25" customHeight="1">
      <ns0:c r="B18" s="6" t="n">
        <ns0:v>6</ns0:v>
      </ns0:c>
      <ns0:c r="E18" s="6" t="inlineStr">
        <ns0:is>
          <ns0:t>Total</ns0:t>
        </ns0:is>
      </ns0:c>
      <ns0:c r="F18" s="6">
        <ns0:f>SUM(F13:F17)</ns0:f>
        <ns0:v/>
      </ns0:c>
      <ns0:c r="G18" s="6">
        <ns0:f>+F18-H18</ns0:f>
        <ns0:v/>
      </ns0:c>
      <ns0:c r="H18" s="6">
        <ns0:f>H13+H14+H15+H16+H17</ns0:f>
        <ns0:v/>
      </ns0:c>
      <ns0:c r="I18" s="6">
        <ns0:f>+H18/F18</ns0:f>
        <ns0:v/>
      </ns0:c>
      <ns0:c r="J18" s="6">
        <ns0:f>SUM(J13,J14,J15,J16,J17)</ns0:f>
        <ns0:v/>
      </ns0:c>
      <ns0:c r="M18" s="6">
        <ns0:f>M13+M14+M15+M16+M17</ns0:f>
        <ns0:v/>
      </ns0:c>
      <ns0:c r="P18" s="6">
        <ns0:f>SUM(P13,P14,P15,P16,P17)</ns0:f>
        <ns0:v/>
      </ns0:c>
      <ns0:c r="S18" s="6">
        <ns0:f>SUM(S13,S14,S15,S16,S17)</ns0:f>
        <ns0:v/>
      </ns0:c>
      <ns0:c r="V18" s="6">
        <ns0:f>SUM(V13,V14,V15,V16,V17)</ns0:f>
        <ns0:v/>
      </ns0:c>
      <ns0:c r="Y18" s="6">
        <ns0:f>SUM(Y13,Y14,Y15,Y16,Y17)</ns0:f>
        <ns0:v/>
      </ns0:c>
      <ns0:c r="AB18" s="6">
        <ns0:f>SUM(AB13,AB14,AB15,AB16,AB17)</ns0:f>
        <ns0:v/>
      </ns0:c>
      <ns0:c r="AE18" s="6">
        <ns0:f>SUM(AE13,AE14,AE15,AE16,AE17)</ns0:f>
        <ns0:v/>
      </ns0:c>
    </ns0:row>
    <ns0:row r="19" ht="26.25" customHeight="1">
      <ns0:c r="B19" s="6" t="n">
        <ns0:v>1</ns0:v>
      </ns0:c>
      <ns0:c r="C19" s="7" t="n">
        <ns0:v>45808</ns0:v>
      </ns0:c>
      <ns0:c r="D19" s="6" t="inlineStr">
        <ns0:is>
          <ns0:t>Day shift</ns0:t>
        </ns0:is>
      </ns0:c>
      <ns0:c r="E19" s="6" t="inlineStr">
        <ns0:is>
          <ns0:t>#1</ns0:t>
        </ns0:is>
      </ns0:c>
      <ns0:c r="F19" s="6" t="n">
        <ns0:v>100</ns0:v>
      </ns0:c>
      <ns0:c r="G19" s="6">
        <ns0:f>+F19-H19</ns0:f>
        <ns0:v/>
      </ns0:c>
      <ns0:c r="H19" s="6">
        <ns0:f>SUM(J19:AG19)</ns0:f>
        <ns0:v/>
      </ns0:c>
      <ns0:c r="I19" s="6">
        <ns0:f>+H19/F19</ns0:f>
        <ns0:v/>
      </ns0:c>
      <ns0:c r="J19" s="6" t="n">
        <ns0:v>7</ns0:v>
      </ns0:c>
      <ns0:c r="M19" s="6" t="n">
        <ns0:v>0</ns0:v>
      </ns0:c>
      <ns0:c r="P19" s="6" t="n">
        <ns0:v>0</ns0:v>
      </ns0:c>
      <ns0:c r="S19" s="6" t="n">
        <ns0:v>3</ns0:v>
      </ns0:c>
      <ns0:c r="V19" s="6" t="n">
        <ns0:v>0</ns0:v>
      </ns0:c>
      <ns0:c r="Y19" s="6" t="n">
        <ns0:v>0</ns0:v>
      </ns0:c>
      <ns0:c r="AB19" s="6" t="n">
        <ns0:v>0</ns0:v>
      </ns0:c>
      <ns0:c r="AE19" s="6" t="n">
        <ns0:v>0</ns0:v>
      </ns0:c>
    </ns0:row>
    <ns0:row r="20" ht="26.25" customHeight="1">
      <ns0:c r="B20" s="6" t="n">
        <ns0:v>2</ns0:v>
      </ns0:c>
      <ns0:c r="E20" s="6" t="inlineStr">
        <ns0:is>
          <ns0:t>#2</ns0:t>
        </ns0:is>
      </ns0:c>
      <ns0:c r="F20" s="6" t="n">
        <ns0:v>100</ns0:v>
      </ns0:c>
      <ns0:c r="G20" s="6">
        <ns0:f>+F20-H20</ns0:f>
        <ns0:v/>
      </ns0:c>
      <ns0:c r="H20" s="6">
        <ns0:f>SUM(J20:AG20)</ns0:f>
        <ns0:v/>
      </ns0:c>
      <ns0:c r="I20" s="6">
        <ns0:f>+H20/F20</ns0:f>
        <ns0:v/>
      </ns0:c>
      <ns0:c r="J20" s="6" t="n">
        <ns0:v>0</ns0:v>
      </ns0:c>
      <ns0:c r="M20" s="6" t="n">
        <ns0:v>0</ns0:v>
      </ns0:c>
      <ns0:c r="P20" s="6" t="n">
        <ns0:v>0</ns0:v>
      </ns0:c>
      <ns0:c r="S20" s="6" t="n">
        <ns0:v>0</ns0:v>
      </ns0:c>
      <ns0:c r="V20" s="6" t="n">
        <ns0:v>0</ns0:v>
      </ns0:c>
      <ns0:c r="Y20" s="6" t="n">
        <ns0:v>0</ns0:v>
      </ns0:c>
      <ns0:c r="AB20" s="6" t="n">
        <ns0:v>0</ns0:v>
      </ns0:c>
      <ns0:c r="AE20" s="6" t="n">
        <ns0:v>0</ns0:v>
      </ns0:c>
    </ns0:row>
    <ns0:row r="21" ht="26.25" customHeight="1">
      <ns0:c r="B21" s="6" t="n">
        <ns0:v>3</ns0:v>
      </ns0:c>
      <ns0:c r="E21" s="6" t="inlineStr">
        <ns0:is>
          <ns0:t>#3</ns0:t>
        </ns0:is>
      </ns0:c>
      <ns0:c r="F21" s="6" t="n">
        <ns0:v>100</ns0:v>
      </ns0:c>
      <ns0:c r="G21" s="6">
        <ns0:f>+F21-H21</ns0:f>
        <ns0:v/>
      </ns0:c>
      <ns0:c r="H21" s="6">
        <ns0:f>SUM(J21:AG21)</ns0:f>
        <ns0:v/>
      </ns0:c>
      <ns0:c r="I21" s="6">
        <ns0:f>+H21/F21</ns0:f>
        <ns0:v/>
      </ns0:c>
      <ns0:c r="J21" s="6" t="n">
        <ns0:v>0</ns0:v>
      </ns0:c>
      <ns0:c r="M21" s="6" t="n">
        <ns0:v>0</ns0:v>
      </ns0:c>
      <ns0:c r="P21" s="6" t="n">
        <ns0:v>0</ns0:v>
      </ns0:c>
      <ns0:c r="S21" s="6" t="n">
        <ns0:v>0</ns0:v>
      </ns0:c>
      <ns0:c r="V21" s="6" t="n">
        <ns0:v>0</ns0:v>
      </ns0:c>
      <ns0:c r="Y21" s="6" t="n">
        <ns0:v>0</ns0:v>
      </ns0:c>
      <ns0:c r="AB21" s="6" t="n">
        <ns0:v>0</ns0:v>
      </ns0:c>
      <ns0:c r="AE21" s="6" t="n">
        <ns0:v>0</ns0:v>
      </ns0:c>
    </ns0:row>
    <ns0:row r="22" ht="26.25" customHeight="1">
      <ns0:c r="B22" s="6" t="n">
        <ns0:v>4</ns0:v>
      </ns0:c>
      <ns0:c r="E22" s="6" t="inlineStr">
        <ns0:is>
          <ns0:t>#4</ns0:t>
        </ns0:is>
      </ns0:c>
      <ns0:c r="F22" s="6" t="n">
        <ns0:v>100</ns0:v>
      </ns0:c>
      <ns0:c r="G22" s="6">
        <ns0:f>+F22-H22</ns0:f>
        <ns0:v/>
      </ns0:c>
      <ns0:c r="H22" s="6">
        <ns0:f>SUM(J22:AG22)</ns0:f>
        <ns0:v/>
      </ns0:c>
      <ns0:c r="I22" s="6">
        <ns0:f>+H22/F22</ns0:f>
        <ns0:v/>
      </ns0:c>
      <ns0:c r="J22" s="6" t="n">
        <ns0:v>0</ns0:v>
      </ns0:c>
      <ns0:c r="M22" s="6" t="n">
        <ns0:v>0</ns0:v>
      </ns0:c>
      <ns0:c r="P22" s="6" t="n">
        <ns0:v>0</ns0:v>
      </ns0:c>
      <ns0:c r="S22" s="6" t="n">
        <ns0:v>0</ns0:v>
      </ns0:c>
      <ns0:c r="V22" s="6" t="n">
        <ns0:v>0</ns0:v>
      </ns0:c>
      <ns0:c r="Y22" s="6" t="n">
        <ns0:v>0</ns0:v>
      </ns0:c>
      <ns0:c r="AB22" s="6" t="n">
        <ns0:v>0</ns0:v>
      </ns0:c>
      <ns0:c r="AE22" s="6" t="n">
        <ns0:v>0</ns0:v>
      </ns0:c>
    </ns0:row>
    <ns0:row r="23" ht="26.25" customHeight="1">
      <ns0:c r="B23" s="6" t="n">
        <ns0:v>5</ns0:v>
      </ns0:c>
      <ns0:c r="E23" s="6" t="inlineStr">
        <ns0:is>
          <ns0:t>#5</ns0:t>
        </ns0:is>
      </ns0:c>
      <ns0:c r="F23" s="6" t="n">
        <ns0:v>100</ns0:v>
      </ns0:c>
      <ns0:c r="G23" s="6">
        <ns0:f>+F23-H23</ns0:f>
        <ns0:v/>
      </ns0:c>
      <ns0:c r="H23" s="6">
        <ns0:f>SUM(J23:AG23)</ns0:f>
        <ns0:v/>
      </ns0:c>
      <ns0:c r="I23" s="6">
        <ns0:f>+H23/F23</ns0:f>
        <ns0:v/>
      </ns0:c>
      <ns0:c r="J23" s="6" t="n">
        <ns0:v>0</ns0:v>
      </ns0:c>
      <ns0:c r="M23" s="6" t="n">
        <ns0:v>0</ns0:v>
      </ns0:c>
      <ns0:c r="P23" s="6" t="n">
        <ns0:v>0</ns0:v>
      </ns0:c>
      <ns0:c r="S23" s="6" t="n">
        <ns0:v>0</ns0:v>
      </ns0:c>
      <ns0:c r="V23" s="6" t="n">
        <ns0:v>0</ns0:v>
      </ns0:c>
      <ns0:c r="Y23" s="6" t="n">
        <ns0:v>0</ns0:v>
      </ns0:c>
      <ns0:c r="AB23" s="6" t="n">
        <ns0:v>0</ns0:v>
      </ns0:c>
      <ns0:c r="AE23" s="6" t="n">
        <ns0:v>0</ns0:v>
      </ns0:c>
    </ns0:row>
    <ns0:row r="24" ht="26.25" customHeight="1">
      <ns0:c r="B24" s="6" t="n">
        <ns0:v>6</ns0:v>
      </ns0:c>
      <ns0:c r="E24" s="6" t="inlineStr">
        <ns0:is>
          <ns0:t>Total</ns0:t>
        </ns0:is>
      </ns0:c>
      <ns0:c r="F24" s="6">
        <ns0:f>SUM(F19:F23)</ns0:f>
        <ns0:v/>
      </ns0:c>
      <ns0:c r="G24" s="6">
        <ns0:f>+F24-H24</ns0:f>
        <ns0:v/>
      </ns0:c>
      <ns0:c r="H24" s="6">
        <ns0:f>SUM(J24:AG24)</ns0:f>
        <ns0:v/>
      </ns0:c>
      <ns0:c r="I24" s="6">
        <ns0:f>+H24/F24</ns0:f>
        <ns0:v/>
      </ns0:c>
      <ns0:c r="J24" s="6">
        <ns0:f>SUM(J19,J20,J21,J22,J23)</ns0:f>
        <ns0:v/>
      </ns0:c>
      <ns0:c r="M24" s="6">
        <ns0:f>M19+M20+M21+M22+M23</ns0:f>
        <ns0:v/>
      </ns0:c>
      <ns0:c r="P24" s="6">
        <ns0:f>SUM(P19,P20,P21,P22,P23)</ns0:f>
        <ns0:v/>
      </ns0:c>
      <ns0:c r="S24" s="6">
        <ns0:f>SUM(S19,S20,S21,S22,S23)</ns0:f>
        <ns0:v/>
      </ns0:c>
      <ns0:c r="V24" s="6">
        <ns0:f>SUM(V19,V20,V21,V22,V23)</ns0:f>
        <ns0:v/>
      </ns0:c>
      <ns0:c r="Y24" s="6">
        <ns0:f>SUM(Y19,Y20,Y21,Y22,Y23)</ns0:f>
        <ns0:v/>
      </ns0:c>
      <ns0:c r="AB24" s="6">
        <ns0:f>SUM(AB19,AB20,AB21,AB22,AB23)</ns0:f>
        <ns0:v/>
      </ns0:c>
      <ns0:c r="AE24" s="6">
        <ns0:f>SUM(AE19,AE20,AE21,AE22,AE23)</ns0:f>
        <ns0:v/>
      </ns0:c>
    </ns0:row>
    <ns0:row r="25" ht="26.25" customHeight="1">
      <ns0:c r="B25" s="6" t="n">
        <ns0:v>1</ns0:v>
      </ns0:c>
      <ns0:c r="D25" s="6" t="inlineStr">
        <ns0:is>
          <ns0:t>Night shift</ns0:t>
        </ns0:is>
      </ns0:c>
      <ns0:c r="E25" s="6" t="inlineStr">
        <ns0:is>
          <ns0:t>#1</ns0:t>
        </ns0:is>
      </ns0:c>
      <ns0:c r="F25" s="6" t="n">
        <ns0:v>100</ns0:v>
      </ns0:c>
      <ns0:c r="G25" s="6">
        <ns0:f>+F25-H25</ns0:f>
        <ns0:v/>
      </ns0:c>
      <ns0:c r="H25" s="6">
        <ns0:f>SUM(J25:AG25)</ns0:f>
        <ns0:v/>
      </ns0:c>
      <ns0:c r="I25" s="6">
        <ns0:f>+H25/F25</ns0:f>
        <ns0:v/>
      </ns0:c>
      <ns0:c r="J25" s="6" t="n">
        <ns0:v>0</ns0:v>
      </ns0:c>
      <ns0:c r="M25" s="6" t="n">
        <ns0:v>0</ns0:v>
      </ns0:c>
      <ns0:c r="P25" s="6" t="n">
        <ns0:v>0</ns0:v>
      </ns0:c>
      <ns0:c r="S25" s="6" t="n">
        <ns0:v>0</ns0:v>
      </ns0:c>
      <ns0:c r="V25" s="6" t="n">
        <ns0:v>0</ns0:v>
      </ns0:c>
      <ns0:c r="Y25" s="6" t="n">
        <ns0:v>0</ns0:v>
      </ns0:c>
      <ns0:c r="AB25" s="6" t="n">
        <ns0:v>0</ns0:v>
      </ns0:c>
      <ns0:c r="AE25" s="6" t="n">
        <ns0:v>0</ns0:v>
      </ns0:c>
    </ns0:row>
    <ns0:row r="26" ht="26.25" customHeight="1">
      <ns0:c r="B26" s="6" t="n">
        <ns0:v>2</ns0:v>
      </ns0:c>
      <ns0:c r="E26" s="6" t="inlineStr">
        <ns0:is>
          <ns0:t>#2</ns0:t>
        </ns0:is>
      </ns0:c>
      <ns0:c r="F26" s="6" t="n">
        <ns0:v>100</ns0:v>
      </ns0:c>
      <ns0:c r="G26" s="6">
        <ns0:f>+F26-H26</ns0:f>
        <ns0:v/>
      </ns0:c>
      <ns0:c r="H26" s="6">
        <ns0:f>SUM(J26:AG26)</ns0:f>
        <ns0:v/>
      </ns0:c>
      <ns0:c r="I26" s="6">
        <ns0:f>+H26/F26</ns0:f>
        <ns0:v/>
      </ns0:c>
      <ns0:c r="J26" s="6" t="n">
        <ns0:v>0</ns0:v>
      </ns0:c>
      <ns0:c r="M26" s="6" t="n">
        <ns0:v>0</ns0:v>
      </ns0:c>
      <ns0:c r="P26" s="6" t="n">
        <ns0:v>0</ns0:v>
      </ns0:c>
      <ns0:c r="S26" s="6" t="n">
        <ns0:v>0</ns0:v>
      </ns0:c>
      <ns0:c r="V26" s="6" t="n">
        <ns0:v>0</ns0:v>
      </ns0:c>
      <ns0:c r="Y26" s="6" t="n">
        <ns0:v>0</ns0:v>
      </ns0:c>
      <ns0:c r="AB26" s="6" t="n">
        <ns0:v>0</ns0:v>
      </ns0:c>
      <ns0:c r="AE26" s="6" t="n">
        <ns0:v>0</ns0:v>
      </ns0:c>
    </ns0:row>
    <ns0:row r="27" ht="26.25" customHeight="1">
      <ns0:c r="B27" s="6" t="n">
        <ns0:v>3</ns0:v>
      </ns0:c>
      <ns0:c r="E27" s="6" t="inlineStr">
        <ns0:is>
          <ns0:t>#3</ns0:t>
        </ns0:is>
      </ns0:c>
      <ns0:c r="F27" s="6" t="n">
        <ns0:v>100</ns0:v>
      </ns0:c>
      <ns0:c r="G27" s="6">
        <ns0:f>+F27-H27</ns0:f>
        <ns0:v/>
      </ns0:c>
      <ns0:c r="H27" s="6">
        <ns0:f>SUM(J27:AG27)</ns0:f>
        <ns0:v/>
      </ns0:c>
      <ns0:c r="I27" s="6">
        <ns0:f>+H27/F27</ns0:f>
        <ns0:v/>
      </ns0:c>
      <ns0:c r="J27" s="6" t="n">
        <ns0:v>0</ns0:v>
      </ns0:c>
      <ns0:c r="M27" s="6" t="n">
        <ns0:v>0</ns0:v>
      </ns0:c>
      <ns0:c r="P27" s="6" t="n">
        <ns0:v>0</ns0:v>
      </ns0:c>
      <ns0:c r="S27" s="6" t="n">
        <ns0:v>0</ns0:v>
      </ns0:c>
      <ns0:c r="V27" s="6" t="n">
        <ns0:v>0</ns0:v>
      </ns0:c>
      <ns0:c r="Y27" s="6" t="n">
        <ns0:v>0</ns0:v>
      </ns0:c>
      <ns0:c r="AB27" s="6" t="n">
        <ns0:v>0</ns0:v>
      </ns0:c>
      <ns0:c r="AE27" s="6" t="n">
        <ns0:v>0</ns0:v>
      </ns0:c>
    </ns0:row>
    <ns0:row r="28" ht="26.25" customHeight="1">
      <ns0:c r="B28" s="6" t="n">
        <ns0:v>4</ns0:v>
      </ns0:c>
      <ns0:c r="E28" s="6" t="inlineStr">
        <ns0:is>
          <ns0:t>#4</ns0:t>
        </ns0:is>
      </ns0:c>
      <ns0:c r="F28" s="6" t="n">
        <ns0:v>100</ns0:v>
      </ns0:c>
      <ns0:c r="G28" s="6">
        <ns0:f>+F28-H28</ns0:f>
        <ns0:v/>
      </ns0:c>
      <ns0:c r="H28" s="6">
        <ns0:f>SUM(J28:AG28)</ns0:f>
        <ns0:v/>
      </ns0:c>
      <ns0:c r="I28" s="6">
        <ns0:f>+H28/F28</ns0:f>
        <ns0:v/>
      </ns0:c>
      <ns0:c r="J28" s="6" t="n">
        <ns0:v>0</ns0:v>
      </ns0:c>
      <ns0:c r="M28" s="6" t="n">
        <ns0:v>1</ns0:v>
      </ns0:c>
      <ns0:c r="P28" s="6" t="n">
        <ns0:v>0</ns0:v>
      </ns0:c>
      <ns0:c r="S28" s="6" t="n">
        <ns0:v>0</ns0:v>
      </ns0:c>
      <ns0:c r="V28" s="6" t="n">
        <ns0:v>0</ns0:v>
      </ns0:c>
      <ns0:c r="Y28" s="6" t="n">
        <ns0:v>0</ns0:v>
      </ns0:c>
      <ns0:c r="AB28" s="6" t="n">
        <ns0:v>0</ns0:v>
      </ns0:c>
      <ns0:c r="AE28" s="6" t="n">
        <ns0:v>0</ns0:v>
      </ns0:c>
    </ns0:row>
    <ns0:row r="29" ht="26.25" customHeight="1">
      <ns0:c r="B29" s="6" t="n">
        <ns0:v>5</ns0:v>
      </ns0:c>
      <ns0:c r="E29" s="6" t="inlineStr">
        <ns0:is>
          <ns0:t>#5</ns0:t>
        </ns0:is>
      </ns0:c>
      <ns0:c r="F29" s="6" t="n">
        <ns0:v>100</ns0:v>
      </ns0:c>
      <ns0:c r="G29" s="6">
        <ns0:f>+F29-H29</ns0:f>
        <ns0:v/>
      </ns0:c>
      <ns0:c r="H29" s="6">
        <ns0:f>SUM(J29:AG29)</ns0:f>
        <ns0:v/>
      </ns0:c>
      <ns0:c r="I29" s="6">
        <ns0:f>+H29/F29</ns0:f>
        <ns0:v/>
      </ns0:c>
      <ns0:c r="J29" s="6" t="n">
        <ns0:v>0</ns0:v>
      </ns0:c>
      <ns0:c r="M29" s="6" t="n">
        <ns0:v>0</ns0:v>
      </ns0:c>
      <ns0:c r="P29" s="6" t="n">
        <ns0:v>0</ns0:v>
      </ns0:c>
      <ns0:c r="S29" s="6" t="n">
        <ns0:v>2</ns0:v>
      </ns0:c>
      <ns0:c r="V29" s="6" t="n">
        <ns0:v>0</ns0:v>
      </ns0:c>
      <ns0:c r="Y29" s="6" t="n">
        <ns0:v>0</ns0:v>
      </ns0:c>
      <ns0:c r="AB29" s="6" t="n">
        <ns0:v>0</ns0:v>
      </ns0:c>
      <ns0:c r="AE29" s="6" t="n">
        <ns0:v>0</ns0:v>
      </ns0:c>
    </ns0:row>
    <ns0:row r="30" ht="26.25" customHeight="1">
      <ns0:c r="B30" s="6" t="n">
        <ns0:v>6</ns0:v>
      </ns0:c>
      <ns0:c r="E30" s="6" t="inlineStr">
        <ns0:is>
          <ns0:t>Total</ns0:t>
        </ns0:is>
      </ns0:c>
      <ns0:c r="F30" s="6">
        <ns0:f>SUM(F25:F29)</ns0:f>
        <ns0:v/>
      </ns0:c>
      <ns0:c r="G30" s="6">
        <ns0:f>+F30-H30</ns0:f>
        <ns0:v/>
      </ns0:c>
      <ns0:c r="H30" s="6">
        <ns0:f>H25+H26+H27+H28+H29</ns0:f>
        <ns0:v/>
      </ns0:c>
      <ns0:c r="I30" s="6">
        <ns0:f>+H30/F30</ns0:f>
        <ns0:v/>
      </ns0:c>
      <ns0:c r="J30" s="6">
        <ns0:f>SUM(J25,J26,J27,J28,J29)</ns0:f>
        <ns0:v/>
      </ns0:c>
      <ns0:c r="M30" s="6">
        <ns0:f>M25+M26+M27+M28+M29</ns0:f>
        <ns0:v/>
      </ns0:c>
      <ns0:c r="P30" s="6">
        <ns0:f>SUM(P25,P26,P27,P28,P29)</ns0:f>
        <ns0:v/>
      </ns0:c>
      <ns0:c r="S30" s="6">
        <ns0:f>SUM(S25,S26,S27,S28,S29)</ns0:f>
        <ns0:v/>
      </ns0:c>
      <ns0:c r="V30" s="6">
        <ns0:f>SUM(V25,V26,V27,V28,V29)</ns0:f>
        <ns0:v/>
      </ns0:c>
      <ns0:c r="Y30" s="6">
        <ns0:f>SUM(Y25,Y26,Y27,Y28,Y29)</ns0:f>
        <ns0:v/>
      </ns0:c>
      <ns0:c r="AB30" s="6">
        <ns0:f>SUM(AB25,AB26,AB27,AB28,AB29)</ns0:f>
        <ns0:v/>
      </ns0:c>
      <ns0:c r="AE30" s="6">
        <ns0:f>SUM(AE25,AE26,AE27,AE28,AE29)</ns0:f>
        <ns0:v/>
      </ns0:c>
    </ns0:row>
    <ns0:row r="31" ht="26.25" customHeight="1">
      <ns0:c r="B31" s="6" t="n">
        <ns0:v>1</ns0:v>
      </ns0:c>
      <ns0:c r="C31" s="7" t="n">
        <ns0:v>45810</ns0:v>
      </ns0:c>
      <ns0:c r="D31" s="6" t="inlineStr">
        <ns0:is>
          <ns0:t>Day shift</ns0:t>
        </ns0:is>
      </ns0:c>
      <ns0:c r="E31" s="6" t="inlineStr">
        <ns0:is>
          <ns0:t>#1</ns0:t>
        </ns0:is>
      </ns0:c>
      <ns0:c r="F31" s="6" t="n">
        <ns0:v>100</ns0:v>
      </ns0:c>
      <ns0:c r="G31" s="6">
        <ns0:f>+F31-H31</ns0:f>
        <ns0:v/>
      </ns0:c>
      <ns0:c r="H31" s="6">
        <ns0:f>SUM(J31:AG31)</ns0:f>
        <ns0:v/>
      </ns0:c>
      <ns0:c r="I31" s="6">
        <ns0:f>+H31/F31</ns0:f>
        <ns0:v/>
      </ns0:c>
      <ns0:c r="J31" s="6" t="n">
        <ns0:v>0</ns0:v>
      </ns0:c>
      <ns0:c r="M31" s="6" t="n">
        <ns0:v>0</ns0:v>
      </ns0:c>
      <ns0:c r="P31" s="6" t="n">
        <ns0:v>0</ns0:v>
      </ns0:c>
      <ns0:c r="S31" s="6" t="n">
        <ns0:v>1</ns0:v>
      </ns0:c>
      <ns0:c r="V31" s="6" t="n">
        <ns0:v>0</ns0:v>
      </ns0:c>
      <ns0:c r="Y31" s="6" t="n">
        <ns0:v>0</ns0:v>
      </ns0:c>
      <ns0:c r="AB31" s="6" t="n">
        <ns0:v>0</ns0:v>
      </ns0:c>
      <ns0:c r="AE31" s="6" t="n">
        <ns0:v>0</ns0:v>
      </ns0:c>
    </ns0:row>
    <ns0:row r="32" ht="26.25" customHeight="1">
      <ns0:c r="B32" s="6" t="n">
        <ns0:v>2</ns0:v>
      </ns0:c>
      <ns0:c r="E32" s="6" t="inlineStr">
        <ns0:is>
          <ns0:t>#2</ns0:t>
        </ns0:is>
      </ns0:c>
      <ns0:c r="F32" s="6" t="n">
        <ns0:v>100</ns0:v>
      </ns0:c>
      <ns0:c r="G32" s="6">
        <ns0:f>+F32-H32</ns0:f>
        <ns0:v/>
      </ns0:c>
      <ns0:c r="H32" s="6">
        <ns0:f>SUM(J32:AG32)</ns0:f>
        <ns0:v/>
      </ns0:c>
      <ns0:c r="I32" s="6">
        <ns0:f>+H32/F32</ns0:f>
        <ns0:v/>
      </ns0:c>
      <ns0:c r="J32" s="6" t="n">
        <ns0:v>0</ns0:v>
      </ns0:c>
      <ns0:c r="M32" s="6" t="n">
        <ns0:v>0</ns0:v>
      </ns0:c>
      <ns0:c r="P32" s="6" t="n">
        <ns0:v>0</ns0:v>
      </ns0:c>
      <ns0:c r="S32" s="6" t="n">
        <ns0:v>0</ns0:v>
      </ns0:c>
      <ns0:c r="V32" s="6" t="n">
        <ns0:v>0</ns0:v>
      </ns0:c>
      <ns0:c r="Y32" s="6" t="n">
        <ns0:v>0</ns0:v>
      </ns0:c>
      <ns0:c r="AB32" s="6" t="n">
        <ns0:v>0</ns0:v>
      </ns0:c>
      <ns0:c r="AE32" s="6" t="n">
        <ns0:v>0</ns0:v>
      </ns0:c>
    </ns0:row>
    <ns0:row r="33" ht="26.25" customHeight="1">
      <ns0:c r="B33" s="6" t="n">
        <ns0:v>3</ns0:v>
      </ns0:c>
      <ns0:c r="E33" s="6" t="inlineStr">
        <ns0:is>
          <ns0:t>#3</ns0:t>
        </ns0:is>
      </ns0:c>
      <ns0:c r="F33" s="6" t="n">
        <ns0:v>100</ns0:v>
      </ns0:c>
      <ns0:c r="G33" s="6">
        <ns0:f>+F33-H33</ns0:f>
        <ns0:v/>
      </ns0:c>
      <ns0:c r="H33" s="6">
        <ns0:f>SUM(J33:AG33)</ns0:f>
        <ns0:v/>
      </ns0:c>
      <ns0:c r="I33" s="6">
        <ns0:f>+H33/F33</ns0:f>
        <ns0:v/>
      </ns0:c>
      <ns0:c r="J33" s="6" t="n">
        <ns0:v>0</ns0:v>
      </ns0:c>
      <ns0:c r="M33" s="6" t="n">
        <ns0:v>0</ns0:v>
      </ns0:c>
      <ns0:c r="P33" s="6" t="n">
        <ns0:v>0</ns0:v>
      </ns0:c>
      <ns0:c r="S33" s="6" t="n">
        <ns0:v>0</ns0:v>
      </ns0:c>
      <ns0:c r="V33" s="6" t="n">
        <ns0:v>1</ns0:v>
      </ns0:c>
      <ns0:c r="Y33" s="6" t="n">
        <ns0:v>0</ns0:v>
      </ns0:c>
      <ns0:c r="AB33" s="6" t="n">
        <ns0:v>0</ns0:v>
      </ns0:c>
      <ns0:c r="AE33" s="6" t="n">
        <ns0:v>0</ns0:v>
      </ns0:c>
    </ns0:row>
    <ns0:row r="34" ht="26.25" customHeight="1">
      <ns0:c r="B34" s="6" t="n">
        <ns0:v>4</ns0:v>
      </ns0:c>
      <ns0:c r="E34" s="6" t="inlineStr">
        <ns0:is>
          <ns0:t>#4</ns0:t>
        </ns0:is>
      </ns0:c>
      <ns0:c r="F34" s="6" t="n">
        <ns0:v>100</ns0:v>
      </ns0:c>
      <ns0:c r="G34" s="6">
        <ns0:f>+F34-H34</ns0:f>
        <ns0:v/>
      </ns0:c>
      <ns0:c r="H34" s="6">
        <ns0:f>SUM(J34:AG34)</ns0:f>
        <ns0:v/>
      </ns0:c>
      <ns0:c r="I34" s="6">
        <ns0:f>+H34/F34</ns0:f>
        <ns0:v/>
      </ns0:c>
      <ns0:c r="J34" s="6" t="n">
        <ns0:v>0</ns0:v>
      </ns0:c>
      <ns0:c r="M34" s="6" t="n">
        <ns0:v>0</ns0:v>
      </ns0:c>
      <ns0:c r="P34" s="6" t="n">
        <ns0:v>0</ns0:v>
      </ns0:c>
      <ns0:c r="S34" s="6" t="n">
        <ns0:v>0</ns0:v>
      </ns0:c>
      <ns0:c r="V34" s="6" t="n">
        <ns0:v>0</ns0:v>
      </ns0:c>
      <ns0:c r="Y34" s="6" t="n">
        <ns0:v>0</ns0:v>
      </ns0:c>
      <ns0:c r="AB34" s="6" t="n">
        <ns0:v>0</ns0:v>
      </ns0:c>
      <ns0:c r="AE34" s="6" t="n">
        <ns0:v>1</ns0:v>
      </ns0:c>
    </ns0:row>
    <ns0:row r="35" ht="26.25" customHeight="1">
      <ns0:c r="B35" s="6" t="n">
        <ns0:v>5</ns0:v>
      </ns0:c>
      <ns0:c r="E35" s="6" t="inlineStr">
        <ns0:is>
          <ns0:t>#5</ns0:t>
        </ns0:is>
      </ns0:c>
      <ns0:c r="F35" s="6" t="n">
        <ns0:v>100</ns0:v>
      </ns0:c>
      <ns0:c r="G35" s="6">
        <ns0:f>+F35-H35</ns0:f>
        <ns0:v/>
      </ns0:c>
      <ns0:c r="H35" s="6">
        <ns0:f>SUM(J35:AG35)</ns0:f>
        <ns0:v/>
      </ns0:c>
      <ns0:c r="I35" s="6">
        <ns0:f>+H35/F35</ns0:f>
        <ns0:v/>
      </ns0:c>
      <ns0:c r="J35" s="6" t="n">
        <ns0:v>0</ns0:v>
      </ns0:c>
      <ns0:c r="M35" s="6" t="n">
        <ns0:v>0</ns0:v>
      </ns0:c>
      <ns0:c r="P35" s="6" t="n">
        <ns0:v>0</ns0:v>
      </ns0:c>
      <ns0:c r="S35" s="6" t="n">
        <ns0:v>0</ns0:v>
      </ns0:c>
      <ns0:c r="V35" s="6" t="n">
        <ns0:v>10</ns0:v>
      </ns0:c>
      <ns0:c r="Y35" s="6" t="n">
        <ns0:v>0</ns0:v>
      </ns0:c>
      <ns0:c r="AB35" s="6" t="n">
        <ns0:v>0</ns0:v>
      </ns0:c>
      <ns0:c r="AE35" s="6" t="n">
        <ns0:v>0</ns0:v>
      </ns0:c>
    </ns0:row>
    <ns0:row r="36" ht="26.25" customHeight="1">
      <ns0:c r="B36" s="6" t="n">
        <ns0:v>6</ns0:v>
      </ns0:c>
      <ns0:c r="E36" s="6" t="inlineStr">
        <ns0:is>
          <ns0:t>Total</ns0:t>
        </ns0:is>
      </ns0:c>
      <ns0:c r="F36" s="6">
        <ns0:f>SUM(F31:F35)</ns0:f>
        <ns0:v/>
      </ns0:c>
      <ns0:c r="G36" s="6">
        <ns0:f>+F36-H36</ns0:f>
        <ns0:v/>
      </ns0:c>
      <ns0:c r="H36" s="6">
        <ns0:f>SUM(J36:AG36)</ns0:f>
        <ns0:v/>
      </ns0:c>
      <ns0:c r="I36" s="6">
        <ns0:f>+H36/F36</ns0:f>
        <ns0:v/>
      </ns0:c>
      <ns0:c r="J36" s="6">
        <ns0:f>SUM(J31,J32,J33,J34,J35)</ns0:f>
        <ns0:v/>
      </ns0:c>
      <ns0:c r="M36" s="6">
        <ns0:f>M31+M32+M33+M34+M35</ns0:f>
        <ns0:v/>
      </ns0:c>
      <ns0:c r="P36" s="6">
        <ns0:f>SUM(P31,P32,P33,P34,P35)</ns0:f>
        <ns0:v/>
      </ns0:c>
      <ns0:c r="S36" s="6">
        <ns0:f>SUM(S31,S32,S33,S34,S35)</ns0:f>
        <ns0:v/>
      </ns0:c>
      <ns0:c r="V36" s="6">
        <ns0:f>SUM(V31,V32,V33,V34,V35)</ns0:f>
        <ns0:v/>
      </ns0:c>
      <ns0:c r="Y36" s="6">
        <ns0:f>SUM(Y31,Y32,Y33,Y34,Y35)</ns0:f>
        <ns0:v/>
      </ns0:c>
      <ns0:c r="AB36" s="6">
        <ns0:f>SUM(AB31,AB32,AB33,AB34,AB35)</ns0:f>
        <ns0:v/>
      </ns0:c>
      <ns0:c r="AE36" s="6">
        <ns0:f>SUM(AE31,AE32,AE33,AE34,AE35)</ns0:f>
        <ns0:v/>
      </ns0:c>
    </ns0:row>
    <ns0:row r="37" ht="26.25" customHeight="1">
      <ns0:c r="B37" s="6" t="n">
        <ns0:v>1</ns0:v>
      </ns0:c>
      <ns0:c r="D37" s="6" t="inlineStr">
        <ns0:is>
          <ns0:t>Night shift</ns0:t>
        </ns0:is>
      </ns0:c>
      <ns0:c r="E37" s="6" t="inlineStr">
        <ns0:is>
          <ns0:t>#1</ns0:t>
        </ns0:is>
      </ns0:c>
      <ns0:c r="F37" s="6" t="n">
        <ns0:v>100</ns0:v>
      </ns0:c>
      <ns0:c r="G37" s="6">
        <ns0:f>+F37-H37</ns0:f>
        <ns0:v/>
      </ns0:c>
      <ns0:c r="H37" s="6">
        <ns0:f>SUM(J37:AG37)</ns0:f>
        <ns0:v/>
      </ns0:c>
      <ns0:c r="I37" s="6">
        <ns0:f>+H37/F37</ns0:f>
        <ns0:v/>
      </ns0:c>
      <ns0:c r="J37" s="6" t="n">
        <ns0:v>0</ns0:v>
      </ns0:c>
      <ns0:c r="M37" s="6" t="n">
        <ns0:v>0</ns0:v>
      </ns0:c>
      <ns0:c r="P37" s="6" t="n">
        <ns0:v>0</ns0:v>
      </ns0:c>
      <ns0:c r="S37" s="6" t="n">
        <ns0:v>0</ns0:v>
      </ns0:c>
      <ns0:c r="V37" s="6" t="n">
        <ns0:v>0</ns0:v>
      </ns0:c>
      <ns0:c r="Y37" s="6" t="n">
        <ns0:v>0</ns0:v>
      </ns0:c>
      <ns0:c r="AB37" s="6" t="n">
        <ns0:v>0</ns0:v>
      </ns0:c>
      <ns0:c r="AE37" s="6" t="n">
        <ns0:v>0</ns0:v>
      </ns0:c>
    </ns0:row>
    <ns0:row r="38" ht="26.25" customHeight="1">
      <ns0:c r="B38" s="6" t="n">
        <ns0:v>2</ns0:v>
      </ns0:c>
      <ns0:c r="E38" s="6" t="inlineStr">
        <ns0:is>
          <ns0:t>#2</ns0:t>
        </ns0:is>
      </ns0:c>
      <ns0:c r="F38" s="6" t="n">
        <ns0:v>100</ns0:v>
      </ns0:c>
      <ns0:c r="G38" s="6">
        <ns0:f>+F38-H38</ns0:f>
        <ns0:v/>
      </ns0:c>
      <ns0:c r="H38" s="6">
        <ns0:f>SUM(J38:AG38)</ns0:f>
        <ns0:v/>
      </ns0:c>
      <ns0:c r="I38" s="6">
        <ns0:f>+H38/F38</ns0:f>
        <ns0:v/>
      </ns0:c>
      <ns0:c r="J38" s="6" t="n">
        <ns0:v>0</ns0:v>
      </ns0:c>
      <ns0:c r="M38" s="6" t="n">
        <ns0:v>0</ns0:v>
      </ns0:c>
      <ns0:c r="P38" s="6" t="n">
        <ns0:v>0</ns0:v>
      </ns0:c>
      <ns0:c r="S38" s="6" t="n">
        <ns0:v>0</ns0:v>
      </ns0:c>
      <ns0:c r="V38" s="6" t="n">
        <ns0:v>0</ns0:v>
      </ns0:c>
      <ns0:c r="Y38" s="6" t="n">
        <ns0:v>0</ns0:v>
      </ns0:c>
      <ns0:c r="AB38" s="6" t="n">
        <ns0:v>0</ns0:v>
      </ns0:c>
      <ns0:c r="AE38" s="6" t="n">
        <ns0:v>0</ns0:v>
      </ns0:c>
    </ns0:row>
    <ns0:row r="39" ht="26.25" customHeight="1">
      <ns0:c r="B39" s="6" t="n">
        <ns0:v>3</ns0:v>
      </ns0:c>
      <ns0:c r="E39" s="6" t="inlineStr">
        <ns0:is>
          <ns0:t>#3</ns0:t>
        </ns0:is>
      </ns0:c>
      <ns0:c r="F39" s="6" t="n">
        <ns0:v>100</ns0:v>
      </ns0:c>
      <ns0:c r="G39" s="6">
        <ns0:f>+F39-H39</ns0:f>
        <ns0:v/>
      </ns0:c>
      <ns0:c r="H39" s="6">
        <ns0:f>SUM(J39:AG39)</ns0:f>
        <ns0:v/>
      </ns0:c>
      <ns0:c r="I39" s="6">
        <ns0:f>+H39/F39</ns0:f>
        <ns0:v/>
      </ns0:c>
      <ns0:c r="J39" s="6" t="n">
        <ns0:v>0</ns0:v>
      </ns0:c>
      <ns0:c r="M39" s="6" t="n">
        <ns0:v>0</ns0:v>
      </ns0:c>
      <ns0:c r="P39" s="6" t="n">
        <ns0:v>0</ns0:v>
      </ns0:c>
      <ns0:c r="S39" s="6" t="n">
        <ns0:v>0</ns0:v>
      </ns0:c>
      <ns0:c r="V39" s="6" t="n">
        <ns0:v>0</ns0:v>
      </ns0:c>
      <ns0:c r="Y39" s="6" t="n">
        <ns0:v>0</ns0:v>
      </ns0:c>
      <ns0:c r="AB39" s="6" t="n">
        <ns0:v>0</ns0:v>
      </ns0:c>
      <ns0:c r="AE39" s="6" t="n">
        <ns0:v>0</ns0:v>
      </ns0:c>
    </ns0:row>
    <ns0:row r="40" ht="26.25" customHeight="1">
      <ns0:c r="B40" s="6" t="n">
        <ns0:v>4</ns0:v>
      </ns0:c>
      <ns0:c r="E40" s="6" t="inlineStr">
        <ns0:is>
          <ns0:t>#4</ns0:t>
        </ns0:is>
      </ns0:c>
      <ns0:c r="F40" s="6" t="n">
        <ns0:v>100</ns0:v>
      </ns0:c>
      <ns0:c r="G40" s="6">
        <ns0:f>+F40-H40</ns0:f>
        <ns0:v/>
      </ns0:c>
      <ns0:c r="H40" s="6">
        <ns0:f>SUM(J40:AG40)</ns0:f>
        <ns0:v/>
      </ns0:c>
      <ns0:c r="I40" s="6">
        <ns0:f>+H40/F40</ns0:f>
        <ns0:v/>
      </ns0:c>
      <ns0:c r="J40" s="6" t="n">
        <ns0:v>0</ns0:v>
      </ns0:c>
      <ns0:c r="M40" s="6" t="n">
        <ns0:v>0</ns0:v>
      </ns0:c>
      <ns0:c r="P40" s="6" t="n">
        <ns0:v>0</ns0:v>
      </ns0:c>
      <ns0:c r="S40" s="6" t="n">
        <ns0:v>0</ns0:v>
      </ns0:c>
      <ns0:c r="V40" s="6" t="n">
        <ns0:v>0</ns0:v>
      </ns0:c>
      <ns0:c r="Y40" s="6" t="n">
        <ns0:v>0</ns0:v>
      </ns0:c>
      <ns0:c r="AB40" s="6" t="n">
        <ns0:v>0</ns0:v>
      </ns0:c>
      <ns0:c r="AE40" s="6" t="n">
        <ns0:v>0</ns0:v>
      </ns0:c>
    </ns0:row>
    <ns0:row r="41" ht="26.25" customHeight="1">
      <ns0:c r="B41" s="6" t="n">
        <ns0:v>5</ns0:v>
      </ns0:c>
      <ns0:c r="E41" s="6" t="inlineStr">
        <ns0:is>
          <ns0:t>#5</ns0:t>
        </ns0:is>
      </ns0:c>
      <ns0:c r="F41" s="6" t="n">
        <ns0:v>100</ns0:v>
      </ns0:c>
      <ns0:c r="G41" s="6">
        <ns0:f>+F41-H41</ns0:f>
        <ns0:v/>
      </ns0:c>
      <ns0:c r="H41" s="6">
        <ns0:f>SUM(J41:AG41)</ns0:f>
        <ns0:v/>
      </ns0:c>
      <ns0:c r="I41" s="6">
        <ns0:f>+H41/F41</ns0:f>
        <ns0:v/>
      </ns0:c>
      <ns0:c r="J41" s="6" t="n">
        <ns0:v>0</ns0:v>
      </ns0:c>
      <ns0:c r="M41" s="6" t="n">
        <ns0:v>0</ns0:v>
      </ns0:c>
      <ns0:c r="P41" s="6" t="n">
        <ns0:v>0</ns0:v>
      </ns0:c>
      <ns0:c r="S41" s="6" t="n">
        <ns0:v>0</ns0:v>
      </ns0:c>
      <ns0:c r="V41" s="6" t="n">
        <ns0:v>0</ns0:v>
      </ns0:c>
      <ns0:c r="Y41" s="6" t="n">
        <ns0:v>0</ns0:v>
      </ns0:c>
      <ns0:c r="AB41" s="6" t="n">
        <ns0:v>0</ns0:v>
      </ns0:c>
      <ns0:c r="AE41" s="6" t="n">
        <ns0:v>0</ns0:v>
      </ns0:c>
    </ns0:row>
    <ns0:row r="42" ht="26.25" customHeight="1">
      <ns0:c r="B42" s="6" t="n">
        <ns0:v>6</ns0:v>
      </ns0:c>
      <ns0:c r="E42" s="6" t="inlineStr">
        <ns0:is>
          <ns0:t>Total</ns0:t>
        </ns0:is>
      </ns0:c>
      <ns0:c r="F42" s="6">
        <ns0:f>SUM(F37:F41)</ns0:f>
        <ns0:v/>
      </ns0:c>
      <ns0:c r="G42" s="6">
        <ns0:f>+F42-H42</ns0:f>
        <ns0:v/>
      </ns0:c>
      <ns0:c r="H42" s="6">
        <ns0:f>H37+H38+H39+H40+H41</ns0:f>
        <ns0:v/>
      </ns0:c>
      <ns0:c r="I42" s="6">
        <ns0:f>+H42/F42</ns0:f>
        <ns0:v/>
      </ns0:c>
      <ns0:c r="J42" s="6">
        <ns0:f>SUM(J37,J38,J39,J40,J41)</ns0:f>
        <ns0:v/>
      </ns0:c>
      <ns0:c r="M42" s="6">
        <ns0:f>M37+M38+M39+M40+M41</ns0:f>
        <ns0:v/>
      </ns0:c>
      <ns0:c r="P42" s="6">
        <ns0:f>SUM(P37,P38,P39,P40,P41)</ns0:f>
        <ns0:v/>
      </ns0:c>
      <ns0:c r="S42" s="6">
        <ns0:f>SUM(S37,S38,S39,S40,S41)</ns0:f>
        <ns0:v/>
      </ns0:c>
      <ns0:c r="V42" s="6">
        <ns0:f>SUM(V37,V38,V39,V40,V41)</ns0:f>
        <ns0:v/>
      </ns0:c>
      <ns0:c r="Y42" s="6">
        <ns0:f>SUM(Y37,Y38,Y39,Y40,Y41)</ns0:f>
        <ns0:v/>
      </ns0:c>
      <ns0:c r="AB42" s="6">
        <ns0:f>SUM(AB37,AB38,AB39,AB40,AB41)</ns0:f>
        <ns0:v/>
      </ns0:c>
      <ns0:c r="AE42" s="6">
        <ns0:f>SUM(AE37,AE38,AE39,AE40,AE41)</ns0:f>
        <ns0:v/>
      </ns0:c>
    </ns0:row>
    <ns0:row r="43" ht="26.25" customHeight="1">
      <ns0:c r="B43" s="6" t="n">
        <ns0:v>1</ns0:v>
      </ns0:c>
      <ns0:c r="C43" s="7" t="n">
        <ns0:v>45811</ns0:v>
      </ns0:c>
      <ns0:c r="D43" s="6" t="inlineStr">
        <ns0:is>
          <ns0:t>Day shift</ns0:t>
        </ns0:is>
      </ns0:c>
      <ns0:c r="E43" s="6" t="inlineStr">
        <ns0:is>
          <ns0:t>#1</ns0:t>
        </ns0:is>
      </ns0:c>
      <ns0:c r="F43" s="6" t="n">
        <ns0:v>100</ns0:v>
      </ns0:c>
      <ns0:c r="G43" s="6">
        <ns0:f>+F43-H43</ns0:f>
        <ns0:v/>
      </ns0:c>
      <ns0:c r="H43" s="6">
        <ns0:f>SUM(J43:AG43)</ns0:f>
        <ns0:v/>
      </ns0:c>
      <ns0:c r="I43" s="6">
        <ns0:f>+H43/F43</ns0:f>
        <ns0:v/>
      </ns0:c>
      <ns0:c r="J43" s="6" t="n">
        <ns0:v>2</ns0:v>
      </ns0:c>
      <ns0:c r="M43" s="6" t="n">
        <ns0:v>0</ns0:v>
      </ns0:c>
      <ns0:c r="P43" s="6" t="n">
        <ns0:v>0</ns0:v>
      </ns0:c>
      <ns0:c r="S43" s="6" t="n">
        <ns0:v>0</ns0:v>
      </ns0:c>
      <ns0:c r="V43" s="6" t="n">
        <ns0:v>0</ns0:v>
      </ns0:c>
      <ns0:c r="Y43" s="6" t="n">
        <ns0:v>0</ns0:v>
      </ns0:c>
      <ns0:c r="AB43" s="6" t="n">
        <ns0:v>0</ns0:v>
      </ns0:c>
      <ns0:c r="AE43" s="6" t="n">
        <ns0:v>0</ns0:v>
      </ns0:c>
    </ns0:row>
    <ns0:row r="44" ht="26.25" customHeight="1">
      <ns0:c r="B44" s="6" t="n">
        <ns0:v>2</ns0:v>
      </ns0:c>
      <ns0:c r="E44" s="6" t="inlineStr">
        <ns0:is>
          <ns0:t>#2</ns0:t>
        </ns0:is>
      </ns0:c>
      <ns0:c r="F44" s="6" t="n">
        <ns0:v>100</ns0:v>
      </ns0:c>
      <ns0:c r="G44" s="6">
        <ns0:f>+F44-H44</ns0:f>
        <ns0:v/>
      </ns0:c>
      <ns0:c r="H44" s="6">
        <ns0:f>SUM(J44:AG44)</ns0:f>
        <ns0:v/>
      </ns0:c>
      <ns0:c r="I44" s="6">
        <ns0:f>+H44/F44</ns0:f>
        <ns0:v/>
      </ns0:c>
      <ns0:c r="J44" s="6" t="n">
        <ns0:v>0</ns0:v>
      </ns0:c>
      <ns0:c r="M44" s="6" t="n">
        <ns0:v>0</ns0:v>
      </ns0:c>
      <ns0:c r="P44" s="6" t="n">
        <ns0:v>0</ns0:v>
      </ns0:c>
      <ns0:c r="S44" s="6" t="n">
        <ns0:v>0</ns0:v>
      </ns0:c>
      <ns0:c r="V44" s="6" t="n">
        <ns0:v>0</ns0:v>
      </ns0:c>
      <ns0:c r="Y44" s="6" t="n">
        <ns0:v>0</ns0:v>
      </ns0:c>
      <ns0:c r="AB44" s="6" t="n">
        <ns0:v>0</ns0:v>
      </ns0:c>
      <ns0:c r="AE44" s="6" t="n">
        <ns0:v>1</ns0:v>
      </ns0:c>
    </ns0:row>
    <ns0:row r="45" ht="26.25" customHeight="1">
      <ns0:c r="B45" s="6" t="n">
        <ns0:v>3</ns0:v>
      </ns0:c>
      <ns0:c r="E45" s="6" t="inlineStr">
        <ns0:is>
          <ns0:t>#3</ns0:t>
        </ns0:is>
      </ns0:c>
      <ns0:c r="F45" s="6" t="n">
        <ns0:v>100</ns0:v>
      </ns0:c>
      <ns0:c r="G45" s="6">
        <ns0:f>+F45-H45</ns0:f>
        <ns0:v/>
      </ns0:c>
      <ns0:c r="H45" s="6">
        <ns0:f>SUM(J45:AG45)</ns0:f>
        <ns0:v/>
      </ns0:c>
      <ns0:c r="I45" s="6">
        <ns0:f>+H45/F45</ns0:f>
        <ns0:v/>
      </ns0:c>
      <ns0:c r="J45" s="6" t="n">
        <ns0:v>0</ns0:v>
      </ns0:c>
      <ns0:c r="M45" s="6" t="n">
        <ns0:v>0</ns0:v>
      </ns0:c>
      <ns0:c r="P45" s="6" t="n">
        <ns0:v>0</ns0:v>
      </ns0:c>
      <ns0:c r="S45" s="6" t="n">
        <ns0:v>0</ns0:v>
      </ns0:c>
      <ns0:c r="V45" s="6" t="n">
        <ns0:v>0</ns0:v>
      </ns0:c>
      <ns0:c r="Y45" s="6" t="n">
        <ns0:v>1</ns0:v>
      </ns0:c>
      <ns0:c r="AB45" s="6" t="n">
        <ns0:v>0</ns0:v>
      </ns0:c>
      <ns0:c r="AE45" s="6" t="n">
        <ns0:v>0</ns0:v>
      </ns0:c>
    </ns0:row>
    <ns0:row r="46" ht="26.25" customHeight="1">
      <ns0:c r="B46" s="6" t="n">
        <ns0:v>4</ns0:v>
      </ns0:c>
      <ns0:c r="E46" s="6" t="inlineStr">
        <ns0:is>
          <ns0:t>#4</ns0:t>
        </ns0:is>
      </ns0:c>
      <ns0:c r="F46" s="6" t="n">
        <ns0:v>100</ns0:v>
      </ns0:c>
      <ns0:c r="G46" s="6">
        <ns0:f>+F46-H46</ns0:f>
        <ns0:v/>
      </ns0:c>
      <ns0:c r="H46" s="6">
        <ns0:f>SUM(J46:AG46)</ns0:f>
        <ns0:v/>
      </ns0:c>
      <ns0:c r="I46" s="6">
        <ns0:f>+H46/F46</ns0:f>
        <ns0:v/>
      </ns0:c>
      <ns0:c r="J46" s="6" t="n">
        <ns0:v>0</ns0:v>
      </ns0:c>
      <ns0:c r="M46" s="6" t="n">
        <ns0:v>0</ns0:v>
      </ns0:c>
      <ns0:c r="P46" s="6" t="n">
        <ns0:v>0</ns0:v>
      </ns0:c>
      <ns0:c r="S46" s="6" t="n">
        <ns0:v>0</ns0:v>
      </ns0:c>
      <ns0:c r="V46" s="6" t="n">
        <ns0:v>0</ns0:v>
      </ns0:c>
      <ns0:c r="Y46" s="6" t="n">
        <ns0:v>0</ns0:v>
      </ns0:c>
      <ns0:c r="AB46" s="6" t="n">
        <ns0:v>0</ns0:v>
      </ns0:c>
      <ns0:c r="AE46" s="6" t="n">
        <ns0:v>0</ns0:v>
      </ns0:c>
    </ns0:row>
    <ns0:row r="47" ht="26.25" customHeight="1">
      <ns0:c r="B47" s="6" t="n">
        <ns0:v>5</ns0:v>
      </ns0:c>
      <ns0:c r="E47" s="6" t="inlineStr">
        <ns0:is>
          <ns0:t>#5</ns0:t>
        </ns0:is>
      </ns0:c>
      <ns0:c r="F47" s="6" t="n">
        <ns0:v>100</ns0:v>
      </ns0:c>
      <ns0:c r="G47" s="6">
        <ns0:f>+F47-H47</ns0:f>
        <ns0:v/>
      </ns0:c>
      <ns0:c r="H47" s="6">
        <ns0:f>SUM(J47:AG47)</ns0:f>
        <ns0:v/>
      </ns0:c>
      <ns0:c r="I47" s="6">
        <ns0:f>+H47/F47</ns0:f>
        <ns0:v/>
      </ns0:c>
      <ns0:c r="J47" s="6" t="n">
        <ns0:v>0</ns0:v>
      </ns0:c>
      <ns0:c r="M47" s="6" t="n">
        <ns0:v>0</ns0:v>
      </ns0:c>
      <ns0:c r="P47" s="6" t="n">
        <ns0:v>0</ns0:v>
      </ns0:c>
      <ns0:c r="S47" s="6" t="n">
        <ns0:v>2</ns0:v>
      </ns0:c>
      <ns0:c r="V47" s="6" t="n">
        <ns0:v>0</ns0:v>
      </ns0:c>
      <ns0:c r="Y47" s="6" t="n">
        <ns0:v>0</ns0:v>
      </ns0:c>
      <ns0:c r="AB47" s="6" t="n">
        <ns0:v>0</ns0:v>
      </ns0:c>
      <ns0:c r="AE47" s="6" t="n">
        <ns0:v>0</ns0:v>
      </ns0:c>
    </ns0:row>
    <ns0:row r="48" ht="26.25" customHeight="1">
      <ns0:c r="B48" s="6" t="n">
        <ns0:v>6</ns0:v>
      </ns0:c>
      <ns0:c r="E48" s="6" t="inlineStr">
        <ns0:is>
          <ns0:t>Total</ns0:t>
        </ns0:is>
      </ns0:c>
      <ns0:c r="F48" s="6">
        <ns0:f>SUM(F43:F47)</ns0:f>
        <ns0:v/>
      </ns0:c>
      <ns0:c r="G48" s="6">
        <ns0:f>+F48-H48</ns0:f>
        <ns0:v/>
      </ns0:c>
      <ns0:c r="H48" s="6">
        <ns0:f>SUM(J48:AG48)</ns0:f>
        <ns0:v/>
      </ns0:c>
      <ns0:c r="I48" s="6">
        <ns0:f>+H48/F48</ns0:f>
        <ns0:v/>
      </ns0:c>
      <ns0:c r="J48" s="6">
        <ns0:f>SUM(J43,J44,J45,J46,J47)</ns0:f>
        <ns0:v/>
      </ns0:c>
      <ns0:c r="M48" s="6">
        <ns0:f>M43+M44+M45+M46+M47</ns0:f>
        <ns0:v/>
      </ns0:c>
      <ns0:c r="P48" s="6">
        <ns0:f>SUM(P43,P44,P45,P46,P47)</ns0:f>
        <ns0:v/>
      </ns0:c>
      <ns0:c r="S48" s="6">
        <ns0:f>SUM(S43,S44,S45,S46,S47)</ns0:f>
        <ns0:v/>
      </ns0:c>
      <ns0:c r="V48" s="6">
        <ns0:f>SUM(V43,V44,V45,V46,V47)</ns0:f>
        <ns0:v/>
      </ns0:c>
      <ns0:c r="Y48" s="6">
        <ns0:f>SUM(Y43,Y44,Y45,Y46,Y47)</ns0:f>
        <ns0:v/>
      </ns0:c>
      <ns0:c r="AB48" s="6">
        <ns0:f>SUM(AB43,AB44,AB45,AB46,AB47)</ns0:f>
        <ns0:v/>
      </ns0:c>
      <ns0:c r="AE48" s="6">
        <ns0:f>SUM(AE43,AE44,AE45,AE46,AE47)</ns0:f>
        <ns0:v/>
      </ns0:c>
    </ns0:row>
    <ns0:row r="49" ht="26.25" customHeight="1">
      <ns0:c r="B49" s="6" t="n">
        <ns0:v>1</ns0:v>
      </ns0:c>
      <ns0:c r="D49" s="6" t="inlineStr">
        <ns0:is>
          <ns0:t>Night shift</ns0:t>
        </ns0:is>
      </ns0:c>
      <ns0:c r="E49" s="6" t="inlineStr">
        <ns0:is>
          <ns0:t>#1</ns0:t>
        </ns0:is>
      </ns0:c>
      <ns0:c r="F49" s="6" t="n">
        <ns0:v>100</ns0:v>
      </ns0:c>
      <ns0:c r="G49" s="6">
        <ns0:f>+F49-H49</ns0:f>
        <ns0:v/>
      </ns0:c>
      <ns0:c r="H49" s="6">
        <ns0:f>SUM(J49:AG49)</ns0:f>
        <ns0:v/>
      </ns0:c>
      <ns0:c r="I49" s="6">
        <ns0:f>+H49/F49</ns0:f>
        <ns0:v/>
      </ns0:c>
      <ns0:c r="J49" s="6" t="n">
        <ns0:v>0</ns0:v>
      </ns0:c>
      <ns0:c r="M49" s="6" t="n">
        <ns0:v>0</ns0:v>
      </ns0:c>
      <ns0:c r="P49" s="6" t="n">
        <ns0:v>1</ns0:v>
      </ns0:c>
      <ns0:c r="S49" s="6" t="n">
        <ns0:v>0</ns0:v>
      </ns0:c>
      <ns0:c r="V49" s="6" t="n">
        <ns0:v>0</ns0:v>
      </ns0:c>
      <ns0:c r="Y49" s="6" t="n">
        <ns0:v>0</ns0:v>
      </ns0:c>
      <ns0:c r="AB49" s="6" t="n">
        <ns0:v>0</ns0:v>
      </ns0:c>
      <ns0:c r="AE49" s="6" t="n">
        <ns0:v>0</ns0:v>
      </ns0:c>
    </ns0:row>
    <ns0:row r="50" ht="26.25" customHeight="1">
      <ns0:c r="B50" s="6" t="n">
        <ns0:v>2</ns0:v>
      </ns0:c>
      <ns0:c r="E50" s="6" t="inlineStr">
        <ns0:is>
          <ns0:t>#2</ns0:t>
        </ns0:is>
      </ns0:c>
      <ns0:c r="F50" s="6" t="n">
        <ns0:v>100</ns0:v>
      </ns0:c>
      <ns0:c r="G50" s="6">
        <ns0:f>+F50-H50</ns0:f>
        <ns0:v/>
      </ns0:c>
      <ns0:c r="H50" s="6">
        <ns0:f>SUM(J50:AG50)</ns0:f>
        <ns0:v/>
      </ns0:c>
      <ns0:c r="I50" s="6">
        <ns0:f>+H50/F50</ns0:f>
        <ns0:v/>
      </ns0:c>
      <ns0:c r="J50" s="6" t="n">
        <ns0:v>0</ns0:v>
      </ns0:c>
      <ns0:c r="M50" s="6" t="n">
        <ns0:v>2</ns0:v>
      </ns0:c>
      <ns0:c r="P50" s="6" t="n">
        <ns0:v>0</ns0:v>
      </ns0:c>
      <ns0:c r="S50" s="6" t="n">
        <ns0:v>0</ns0:v>
      </ns0:c>
      <ns0:c r="V50" s="6" t="n">
        <ns0:v>0</ns0:v>
      </ns0:c>
      <ns0:c r="Y50" s="6" t="n">
        <ns0:v>0</ns0:v>
      </ns0:c>
      <ns0:c r="AB50" s="6" t="n">
        <ns0:v>0</ns0:v>
      </ns0:c>
      <ns0:c r="AE50" s="6" t="n">
        <ns0:v>0</ns0:v>
      </ns0:c>
    </ns0:row>
    <ns0:row r="51" ht="26.25" customHeight="1">
      <ns0:c r="B51" s="6" t="n">
        <ns0:v>3</ns0:v>
      </ns0:c>
      <ns0:c r="E51" s="6" t="inlineStr">
        <ns0:is>
          <ns0:t>#3</ns0:t>
        </ns0:is>
      </ns0:c>
      <ns0:c r="F51" s="6" t="n">
        <ns0:v>100</ns0:v>
      </ns0:c>
      <ns0:c r="G51" s="6">
        <ns0:f>+F51-H51</ns0:f>
        <ns0:v/>
      </ns0:c>
      <ns0:c r="H51" s="6">
        <ns0:f>SUM(J51:AG51)</ns0:f>
        <ns0:v/>
      </ns0:c>
      <ns0:c r="I51" s="6">
        <ns0:f>+H51/F51</ns0:f>
        <ns0:v/>
      </ns0:c>
      <ns0:c r="J51" s="6" t="n">
        <ns0:v>0</ns0:v>
      </ns0:c>
      <ns0:c r="M51" s="6" t="n">
        <ns0:v>0</ns0:v>
      </ns0:c>
      <ns0:c r="P51" s="6" t="n">
        <ns0:v>0</ns0:v>
      </ns0:c>
      <ns0:c r="S51" s="6" t="n">
        <ns0:v>0</ns0:v>
      </ns0:c>
      <ns0:c r="V51" s="6" t="n">
        <ns0:v>0</ns0:v>
      </ns0:c>
      <ns0:c r="Y51" s="6" t="n">
        <ns0:v>0</ns0:v>
      </ns0:c>
      <ns0:c r="AB51" s="6" t="n">
        <ns0:v>0</ns0:v>
      </ns0:c>
      <ns0:c r="AE51" s="6" t="n">
        <ns0:v>0</ns0:v>
      </ns0:c>
    </ns0:row>
    <ns0:row r="52" ht="26.25" customHeight="1">
      <ns0:c r="B52" s="6" t="n">
        <ns0:v>4</ns0:v>
      </ns0:c>
      <ns0:c r="E52" s="6" t="inlineStr">
        <ns0:is>
          <ns0:t>#4</ns0:t>
        </ns0:is>
      </ns0:c>
      <ns0:c r="F52" s="6" t="n">
        <ns0:v>100</ns0:v>
      </ns0:c>
      <ns0:c r="G52" s="6">
        <ns0:f>+F52-H52</ns0:f>
        <ns0:v/>
      </ns0:c>
      <ns0:c r="H52" s="6">
        <ns0:f>SUM(J52:AG52)</ns0:f>
        <ns0:v/>
      </ns0:c>
      <ns0:c r="I52" s="6">
        <ns0:f>+H52/F52</ns0:f>
        <ns0:v/>
      </ns0:c>
      <ns0:c r="J52" s="6" t="n">
        <ns0:v>0</ns0:v>
      </ns0:c>
      <ns0:c r="M52" s="6" t="n">
        <ns0:v>0</ns0:v>
      </ns0:c>
      <ns0:c r="P52" s="6" t="n">
        <ns0:v>0</ns0:v>
      </ns0:c>
      <ns0:c r="S52" s="6" t="n">
        <ns0:v>0</ns0:v>
      </ns0:c>
      <ns0:c r="V52" s="6" t="n">
        <ns0:v>0</ns0:v>
      </ns0:c>
      <ns0:c r="Y52" s="6" t="n">
        <ns0:v>0</ns0:v>
      </ns0:c>
      <ns0:c r="AB52" s="6" t="n">
        <ns0:v>0</ns0:v>
      </ns0:c>
      <ns0:c r="AE52" s="6" t="n">
        <ns0:v>0</ns0:v>
      </ns0:c>
    </ns0:row>
    <ns0:row r="53" ht="26.25" customHeight="1">
      <ns0:c r="B53" s="6" t="n">
        <ns0:v>5</ns0:v>
      </ns0:c>
      <ns0:c r="E53" s="6" t="inlineStr">
        <ns0:is>
          <ns0:t>#5</ns0:t>
        </ns0:is>
      </ns0:c>
      <ns0:c r="F53" s="6" t="n">
        <ns0:v>100</ns0:v>
      </ns0:c>
      <ns0:c r="G53" s="6">
        <ns0:f>+F53-H53</ns0:f>
        <ns0:v/>
      </ns0:c>
      <ns0:c r="H53" s="6">
        <ns0:f>SUM(J53:AG53)</ns0:f>
        <ns0:v/>
      </ns0:c>
      <ns0:c r="I53" s="6">
        <ns0:f>+H53/F53</ns0:f>
        <ns0:v/>
      </ns0:c>
      <ns0:c r="J53" s="6" t="n">
        <ns0:v>0</ns0:v>
      </ns0:c>
      <ns0:c r="M53" s="6" t="n">
        <ns0:v>0</ns0:v>
      </ns0:c>
      <ns0:c r="P53" s="6" t="n">
        <ns0:v>0</ns0:v>
      </ns0:c>
      <ns0:c r="S53" s="6" t="n">
        <ns0:v>0</ns0:v>
      </ns0:c>
      <ns0:c r="V53" s="6" t="n">
        <ns0:v>0</ns0:v>
      </ns0:c>
      <ns0:c r="Y53" s="6" t="n">
        <ns0:v>0</ns0:v>
      </ns0:c>
      <ns0:c r="AB53" s="6" t="n">
        <ns0:v>0</ns0:v>
      </ns0:c>
      <ns0:c r="AE53" s="6" t="n">
        <ns0:v>0</ns0:v>
      </ns0:c>
    </ns0:row>
    <ns0:row r="54" ht="26.25" customHeight="1">
      <ns0:c r="B54" s="6" t="n">
        <ns0:v>6</ns0:v>
      </ns0:c>
      <ns0:c r="E54" s="6" t="inlineStr">
        <ns0:is>
          <ns0:t>Total</ns0:t>
        </ns0:is>
      </ns0:c>
      <ns0:c r="F54" s="6">
        <ns0:f>SUM(F49:F53)</ns0:f>
        <ns0:v/>
      </ns0:c>
      <ns0:c r="G54" s="6">
        <ns0:f>+F54-H54</ns0:f>
        <ns0:v/>
      </ns0:c>
      <ns0:c r="H54" s="6">
        <ns0:f>H49+H50+H51+H52+H53</ns0:f>
        <ns0:v/>
      </ns0:c>
      <ns0:c r="I54" s="6">
        <ns0:f>+H54/F54</ns0:f>
        <ns0:v/>
      </ns0:c>
      <ns0:c r="J54" s="6">
        <ns0:f>SUM(J49,J50,J51,J52,J53)</ns0:f>
        <ns0:v/>
      </ns0:c>
      <ns0:c r="M54" s="6">
        <ns0:f>M49+M50+M51+M52+M53</ns0:f>
        <ns0:v/>
      </ns0:c>
      <ns0:c r="P54" s="6">
        <ns0:f>SUM(P49,P50,P51,P52,P53)</ns0:f>
        <ns0:v/>
      </ns0:c>
      <ns0:c r="S54" s="6">
        <ns0:f>SUM(S49,S50,S51,S52,S53)</ns0:f>
        <ns0:v/>
      </ns0:c>
      <ns0:c r="V54" s="6">
        <ns0:f>SUM(V49,V50,V51,V52,V53)</ns0:f>
        <ns0:v/>
      </ns0:c>
      <ns0:c r="Y54" s="6">
        <ns0:f>SUM(Y49,Y50,Y51,Y52,Y53)</ns0:f>
        <ns0:v/>
      </ns0:c>
      <ns0:c r="AB54" s="6">
        <ns0:f>SUM(AB49,AB50,AB51,AB52,AB53)</ns0:f>
        <ns0:v/>
      </ns0:c>
      <ns0:c r="AE54" s="6">
        <ns0:f>SUM(AE49,AE50,AE51,AE52,AE53)</ns0:f>
        <ns0:v/>
      </ns0:c>
    </ns0:row>
    <ns0:row r="55" ht="26.25" customHeight="1">
      <ns0:c r="B55" s="6" t="n">
        <ns0:v>1</ns0:v>
      </ns0:c>
      <ns0:c r="C55" s="7" t="n">
        <ns0:v>45812</ns0:v>
      </ns0:c>
      <ns0:c r="D55" s="6" t="inlineStr">
        <ns0:is>
          <ns0:t>Day shift</ns0:t>
        </ns0:is>
      </ns0:c>
      <ns0:c r="E55" s="6" t="inlineStr">
        <ns0:is>
          <ns0:t>#1</ns0:t>
        </ns0:is>
      </ns0:c>
      <ns0:c r="F55" s="6" t="n">
        <ns0:v>100</ns0:v>
      </ns0:c>
      <ns0:c r="G55" s="6">
        <ns0:f>+F55-H55</ns0:f>
        <ns0:v/>
      </ns0:c>
      <ns0:c r="H55" s="6">
        <ns0:f>SUM(J55:AG55)</ns0:f>
        <ns0:v/>
      </ns0:c>
      <ns0:c r="I55" s="6">
        <ns0:f>+H55/F55</ns0:f>
        <ns0:v/>
      </ns0:c>
      <ns0:c r="J55" s="6" t="n">
        <ns0:v>5</ns0:v>
      </ns0:c>
      <ns0:c r="M55" s="6" t="n">
        <ns0:v>0</ns0:v>
      </ns0:c>
      <ns0:c r="P55" s="6" t="n">
        <ns0:v>1</ns0:v>
      </ns0:c>
      <ns0:c r="S55" s="6" t="n">
        <ns0:v>0</ns0:v>
      </ns0:c>
      <ns0:c r="V55" s="6" t="n">
        <ns0:v>0</ns0:v>
      </ns0:c>
      <ns0:c r="Y55" s="6" t="n">
        <ns0:v>0</ns0:v>
      </ns0:c>
      <ns0:c r="AB55" s="6" t="n">
        <ns0:v>0</ns0:v>
      </ns0:c>
      <ns0:c r="AE55" s="6" t="n">
        <ns0:v>0</ns0:v>
      </ns0:c>
    </ns0:row>
    <ns0:row r="56" ht="26.25" customHeight="1">
      <ns0:c r="B56" s="6" t="n">
        <ns0:v>2</ns0:v>
      </ns0:c>
      <ns0:c r="E56" s="6" t="inlineStr">
        <ns0:is>
          <ns0:t>#2</ns0:t>
        </ns0:is>
      </ns0:c>
      <ns0:c r="F56" s="6" t="n">
        <ns0:v>100</ns0:v>
      </ns0:c>
      <ns0:c r="G56" s="6">
        <ns0:f>+F56-H56</ns0:f>
        <ns0:v/>
      </ns0:c>
      <ns0:c r="H56" s="6">
        <ns0:f>SUM(J56:AG56)</ns0:f>
        <ns0:v/>
      </ns0:c>
      <ns0:c r="I56" s="6">
        <ns0:f>+H56/F56</ns0:f>
        <ns0:v/>
      </ns0:c>
      <ns0:c r="J56" s="6" t="n">
        <ns0:v>0</ns0:v>
      </ns0:c>
      <ns0:c r="M56" s="6" t="n">
        <ns0:v>0</ns0:v>
      </ns0:c>
      <ns0:c r="P56" s="6" t="n">
        <ns0:v>0</ns0:v>
      </ns0:c>
      <ns0:c r="S56" s="6" t="n">
        <ns0:v>0</ns0:v>
      </ns0:c>
      <ns0:c r="V56" s="6" t="n">
        <ns0:v>0</ns0:v>
      </ns0:c>
      <ns0:c r="Y56" s="6" t="n">
        <ns0:v>0</ns0:v>
      </ns0:c>
      <ns0:c r="AB56" s="6" t="n">
        <ns0:v>0</ns0:v>
      </ns0:c>
      <ns0:c r="AE56" s="6" t="n">
        <ns0:v>0</ns0:v>
      </ns0:c>
    </ns0:row>
    <ns0:row r="57" ht="26.25" customHeight="1">
      <ns0:c r="B57" s="6" t="n">
        <ns0:v>3</ns0:v>
      </ns0:c>
      <ns0:c r="E57" s="6" t="inlineStr">
        <ns0:is>
          <ns0:t>#3</ns0:t>
        </ns0:is>
      </ns0:c>
      <ns0:c r="F57" s="6" t="n">
        <ns0:v>100</ns0:v>
      </ns0:c>
      <ns0:c r="G57" s="6">
        <ns0:f>+F57-H57</ns0:f>
        <ns0:v/>
      </ns0:c>
      <ns0:c r="H57" s="6">
        <ns0:f>SUM(J57:AG57)</ns0:f>
        <ns0:v/>
      </ns0:c>
      <ns0:c r="I57" s="6">
        <ns0:f>+H57/F57</ns0:f>
        <ns0:v/>
      </ns0:c>
      <ns0:c r="J57" s="6" t="n">
        <ns0:v>0</ns0:v>
      </ns0:c>
      <ns0:c r="M57" s="6" t="n">
        <ns0:v>0</ns0:v>
      </ns0:c>
      <ns0:c r="P57" s="6" t="n">
        <ns0:v>0</ns0:v>
      </ns0:c>
      <ns0:c r="S57" s="6" t="n">
        <ns0:v>0</ns0:v>
      </ns0:c>
      <ns0:c r="V57" s="6" t="n">
        <ns0:v>0</ns0:v>
      </ns0:c>
      <ns0:c r="Y57" s="6" t="n">
        <ns0:v>0</ns0:v>
      </ns0:c>
      <ns0:c r="AB57" s="6" t="n">
        <ns0:v>0</ns0:v>
      </ns0:c>
      <ns0:c r="AE57" s="6" t="n">
        <ns0:v>0</ns0:v>
      </ns0:c>
    </ns0:row>
    <ns0:row r="58" ht="26.25" customHeight="1">
      <ns0:c r="B58" s="6" t="n">
        <ns0:v>4</ns0:v>
      </ns0:c>
      <ns0:c r="E58" s="6" t="inlineStr">
        <ns0:is>
          <ns0:t>#4</ns0:t>
        </ns0:is>
      </ns0:c>
      <ns0:c r="F58" s="6" t="n">
        <ns0:v>100</ns0:v>
      </ns0:c>
      <ns0:c r="G58" s="6">
        <ns0:f>+F58-H58</ns0:f>
        <ns0:v/>
      </ns0:c>
      <ns0:c r="H58" s="6">
        <ns0:f>SUM(J58:AG58)</ns0:f>
        <ns0:v/>
      </ns0:c>
      <ns0:c r="I58" s="6">
        <ns0:f>+H58/F58</ns0:f>
        <ns0:v/>
      </ns0:c>
      <ns0:c r="J58" s="6" t="n">
        <ns0:v>0</ns0:v>
      </ns0:c>
      <ns0:c r="M58" s="6" t="n">
        <ns0:v>0</ns0:v>
      </ns0:c>
      <ns0:c r="P58" s="6" t="n">
        <ns0:v>0</ns0:v>
      </ns0:c>
      <ns0:c r="S58" s="6" t="n">
        <ns0:v>0</ns0:v>
      </ns0:c>
      <ns0:c r="V58" s="6" t="n">
        <ns0:v>0</ns0:v>
      </ns0:c>
      <ns0:c r="Y58" s="6" t="n">
        <ns0:v>0</ns0:v>
      </ns0:c>
      <ns0:c r="AB58" s="6" t="n">
        <ns0:v>0</ns0:v>
      </ns0:c>
      <ns0:c r="AE58" s="6" t="n">
        <ns0:v>0</ns0:v>
      </ns0:c>
    </ns0:row>
    <ns0:row r="59" ht="26.25" customHeight="1">
      <ns0:c r="B59" s="6" t="n">
        <ns0:v>5</ns0:v>
      </ns0:c>
      <ns0:c r="E59" s="6" t="inlineStr">
        <ns0:is>
          <ns0:t>#5</ns0:t>
        </ns0:is>
      </ns0:c>
      <ns0:c r="F59" s="6" t="n">
        <ns0:v>100</ns0:v>
      </ns0:c>
      <ns0:c r="G59" s="6">
        <ns0:f>+F59-H59</ns0:f>
        <ns0:v/>
      </ns0:c>
      <ns0:c r="H59" s="6">
        <ns0:f>SUM(J59:AG59)</ns0:f>
        <ns0:v/>
      </ns0:c>
      <ns0:c r="I59" s="6">
        <ns0:f>+H59/F59</ns0:f>
        <ns0:v/>
      </ns0:c>
      <ns0:c r="J59" s="6" t="n">
        <ns0:v>0</ns0:v>
      </ns0:c>
      <ns0:c r="M59" s="6" t="n">
        <ns0:v>0</ns0:v>
      </ns0:c>
      <ns0:c r="P59" s="6" t="n">
        <ns0:v>0</ns0:v>
      </ns0:c>
      <ns0:c r="S59" s="6" t="n">
        <ns0:v>0</ns0:v>
      </ns0:c>
      <ns0:c r="V59" s="6" t="n">
        <ns0:v>0</ns0:v>
      </ns0:c>
      <ns0:c r="Y59" s="6" t="n">
        <ns0:v>0</ns0:v>
      </ns0:c>
      <ns0:c r="AB59" s="6" t="n">
        <ns0:v>0</ns0:v>
      </ns0:c>
      <ns0:c r="AE59" s="6" t="n">
        <ns0:v>0</ns0:v>
      </ns0:c>
    </ns0:row>
    <ns0:row r="60" ht="26.25" customHeight="1">
      <ns0:c r="B60" s="6" t="n">
        <ns0:v>6</ns0:v>
      </ns0:c>
      <ns0:c r="E60" s="6" t="inlineStr">
        <ns0:is>
          <ns0:t>Total</ns0:t>
        </ns0:is>
      </ns0:c>
      <ns0:c r="F60" s="6">
        <ns0:f>SUM(F55:F59)</ns0:f>
        <ns0:v/>
      </ns0:c>
      <ns0:c r="G60" s="6">
        <ns0:f>+F60-H60</ns0:f>
        <ns0:v/>
      </ns0:c>
      <ns0:c r="H60" s="6">
        <ns0:f>SUM(J60:AG60)</ns0:f>
        <ns0:v/>
      </ns0:c>
      <ns0:c r="I60" s="6">
        <ns0:f>+H60/F60</ns0:f>
        <ns0:v/>
      </ns0:c>
      <ns0:c r="J60" s="6">
        <ns0:f>SUM(J55,J56,J57,J58,J59)</ns0:f>
        <ns0:v/>
      </ns0:c>
      <ns0:c r="M60" s="6">
        <ns0:f>M55+M56+M57+M58+M59</ns0:f>
        <ns0:v/>
      </ns0:c>
      <ns0:c r="P60" s="6">
        <ns0:f>SUM(P55,P56,P57,P58,P59)</ns0:f>
        <ns0:v/>
      </ns0:c>
      <ns0:c r="S60" s="6">
        <ns0:f>SUM(S55,S56,S57,S58,S59)</ns0:f>
        <ns0:v/>
      </ns0:c>
      <ns0:c r="V60" s="6">
        <ns0:f>SUM(V55,V56,V57,V58,V59)</ns0:f>
        <ns0:v/>
      </ns0:c>
      <ns0:c r="Y60" s="6">
        <ns0:f>SUM(Y55,Y56,Y57,Y58,Y59)</ns0:f>
        <ns0:v/>
      </ns0:c>
      <ns0:c r="AB60" s="6">
        <ns0:f>SUM(AB55,AB56,AB57,AB58,AB59)</ns0:f>
        <ns0:v/>
      </ns0:c>
      <ns0:c r="AE60" s="6">
        <ns0:f>SUM(AE55,AE56,AE57,AE58,AE59)</ns0:f>
        <ns0:v/>
      </ns0:c>
    </ns0:row>
    <ns0:row r="61" ht="26.25" customHeight="1">
      <ns0:c r="B61" s="6" t="n">
        <ns0:v>1</ns0:v>
      </ns0:c>
      <ns0:c r="D61" s="6" t="inlineStr">
        <ns0:is>
          <ns0:t>Night shift</ns0:t>
        </ns0:is>
      </ns0:c>
      <ns0:c r="E61" s="6" t="inlineStr">
        <ns0:is>
          <ns0:t>#1</ns0:t>
        </ns0:is>
      </ns0:c>
      <ns0:c r="F61" s="6" t="n">
        <ns0:v>100</ns0:v>
      </ns0:c>
      <ns0:c r="G61" s="6">
        <ns0:f>+F61-H61</ns0:f>
        <ns0:v/>
      </ns0:c>
      <ns0:c r="H61" s="6">
        <ns0:f>SUM(J61:AG61)</ns0:f>
        <ns0:v/>
      </ns0:c>
      <ns0:c r="I61" s="6">
        <ns0:f>+H61/F61</ns0:f>
        <ns0:v/>
      </ns0:c>
      <ns0:c r="J61" s="6" t="n">
        <ns0:v>0</ns0:v>
      </ns0:c>
      <ns0:c r="M61" s="6" t="n">
        <ns0:v>0</ns0:v>
      </ns0:c>
      <ns0:c r="P61" s="6" t="n">
        <ns0:v>0</ns0:v>
      </ns0:c>
      <ns0:c r="S61" s="6" t="n">
        <ns0:v>0</ns0:v>
      </ns0:c>
      <ns0:c r="V61" s="6" t="n">
        <ns0:v>0</ns0:v>
      </ns0:c>
      <ns0:c r="Y61" s="6" t="n">
        <ns0:v>0</ns0:v>
      </ns0:c>
      <ns0:c r="AB61" s="6" t="n">
        <ns0:v>0</ns0:v>
      </ns0:c>
      <ns0:c r="AE61" s="6" t="n">
        <ns0:v>0</ns0:v>
      </ns0:c>
    </ns0:row>
    <ns0:row r="62" ht="26.25" customHeight="1">
      <ns0:c r="B62" s="6" t="n">
        <ns0:v>2</ns0:v>
      </ns0:c>
      <ns0:c r="E62" s="6" t="inlineStr">
        <ns0:is>
          <ns0:t>#2</ns0:t>
        </ns0:is>
      </ns0:c>
      <ns0:c r="F62" s="6" t="n">
        <ns0:v>100</ns0:v>
      </ns0:c>
      <ns0:c r="G62" s="6">
        <ns0:f>+F62-H62</ns0:f>
        <ns0:v/>
      </ns0:c>
      <ns0:c r="H62" s="6">
        <ns0:f>SUM(J62:AG62)</ns0:f>
        <ns0:v/>
      </ns0:c>
      <ns0:c r="I62" s="6">
        <ns0:f>+H62/F62</ns0:f>
        <ns0:v/>
      </ns0:c>
      <ns0:c r="J62" s="6" t="n">
        <ns0:v>2</ns0:v>
      </ns0:c>
      <ns0:c r="M62" s="6" t="n">
        <ns0:v>0</ns0:v>
      </ns0:c>
      <ns0:c r="P62" s="6" t="n">
        <ns0:v>0</ns0:v>
      </ns0:c>
      <ns0:c r="S62" s="6" t="n">
        <ns0:v>0</ns0:v>
      </ns0:c>
      <ns0:c r="V62" s="6" t="n">
        <ns0:v>1</ns0:v>
      </ns0:c>
      <ns0:c r="Y62" s="6" t="n">
        <ns0:v>0</ns0:v>
      </ns0:c>
      <ns0:c r="AB62" s="6" t="n">
        <ns0:v>0</ns0:v>
      </ns0:c>
      <ns0:c r="AE62" s="6" t="n">
        <ns0:v>0</ns0:v>
      </ns0:c>
    </ns0:row>
    <ns0:row r="63" ht="26.25" customHeight="1">
      <ns0:c r="B63" s="6" t="n">
        <ns0:v>3</ns0:v>
      </ns0:c>
      <ns0:c r="E63" s="6" t="inlineStr">
        <ns0:is>
          <ns0:t>#3</ns0:t>
        </ns0:is>
      </ns0:c>
      <ns0:c r="F63" s="6" t="n">
        <ns0:v>100</ns0:v>
      </ns0:c>
      <ns0:c r="G63" s="6">
        <ns0:f>+F63-H63</ns0:f>
        <ns0:v/>
      </ns0:c>
      <ns0:c r="H63" s="6">
        <ns0:f>SUM(J63:AG63)</ns0:f>
        <ns0:v/>
      </ns0:c>
      <ns0:c r="I63" s="6">
        <ns0:f>+H63/F63</ns0:f>
        <ns0:v/>
      </ns0:c>
      <ns0:c r="J63" s="6" t="n">
        <ns0:v>0</ns0:v>
      </ns0:c>
      <ns0:c r="M63" s="6" t="n">
        <ns0:v>0</ns0:v>
      </ns0:c>
      <ns0:c r="P63" s="6" t="n">
        <ns0:v>0</ns0:v>
      </ns0:c>
      <ns0:c r="S63" s="6" t="n">
        <ns0:v>0</ns0:v>
      </ns0:c>
      <ns0:c r="V63" s="6" t="n">
        <ns0:v>0</ns0:v>
      </ns0:c>
      <ns0:c r="Y63" s="6" t="n">
        <ns0:v>0</ns0:v>
      </ns0:c>
      <ns0:c r="AB63" s="6" t="n">
        <ns0:v>0</ns0:v>
      </ns0:c>
      <ns0:c r="AE63" s="6" t="n">
        <ns0:v>0</ns0:v>
      </ns0:c>
    </ns0:row>
    <ns0:row r="64" ht="26.25" customHeight="1">
      <ns0:c r="B64" s="6" t="n">
        <ns0:v>4</ns0:v>
      </ns0:c>
      <ns0:c r="E64" s="6" t="inlineStr">
        <ns0:is>
          <ns0:t>#4</ns0:t>
        </ns0:is>
      </ns0:c>
      <ns0:c r="F64" s="6" t="n">
        <ns0:v>100</ns0:v>
      </ns0:c>
      <ns0:c r="G64" s="6">
        <ns0:f>+F64-H64</ns0:f>
        <ns0:v/>
      </ns0:c>
      <ns0:c r="H64" s="6">
        <ns0:f>SUM(J64:AG64)</ns0:f>
        <ns0:v/>
      </ns0:c>
      <ns0:c r="I64" s="6">
        <ns0:f>+H64/F64</ns0:f>
        <ns0:v/>
      </ns0:c>
      <ns0:c r="J64" s="6" t="n">
        <ns0:v>0</ns0:v>
      </ns0:c>
      <ns0:c r="M64" s="6" t="n">
        <ns0:v>0</ns0:v>
      </ns0:c>
      <ns0:c r="P64" s="6" t="n">
        <ns0:v>0</ns0:v>
      </ns0:c>
      <ns0:c r="S64" s="6" t="n">
        <ns0:v>0</ns0:v>
      </ns0:c>
      <ns0:c r="V64" s="6" t="n">
        <ns0:v>0</ns0:v>
      </ns0:c>
      <ns0:c r="Y64" s="6" t="n">
        <ns0:v>0</ns0:v>
      </ns0:c>
      <ns0:c r="AB64" s="6" t="n">
        <ns0:v>0</ns0:v>
      </ns0:c>
      <ns0:c r="AE64" s="6" t="n">
        <ns0:v>0</ns0:v>
      </ns0:c>
    </ns0:row>
    <ns0:row r="65" ht="26.25" customHeight="1">
      <ns0:c r="B65" s="6" t="n">
        <ns0:v>5</ns0:v>
      </ns0:c>
      <ns0:c r="E65" s="6" t="inlineStr">
        <ns0:is>
          <ns0:t>#5</ns0:t>
        </ns0:is>
      </ns0:c>
      <ns0:c r="F65" s="6" t="n">
        <ns0:v>100</ns0:v>
      </ns0:c>
      <ns0:c r="G65" s="6">
        <ns0:f>+F65-H65</ns0:f>
        <ns0:v/>
      </ns0:c>
      <ns0:c r="H65" s="6">
        <ns0:f>SUM(J65:AG65)</ns0:f>
        <ns0:v/>
      </ns0:c>
      <ns0:c r="I65" s="6">
        <ns0:f>+H65/F65</ns0:f>
        <ns0:v/>
      </ns0:c>
      <ns0:c r="J65" s="6" t="n">
        <ns0:v>0</ns0:v>
      </ns0:c>
      <ns0:c r="M65" s="6" t="n">
        <ns0:v>0</ns0:v>
      </ns0:c>
      <ns0:c r="P65" s="6" t="n">
        <ns0:v>0</ns0:v>
      </ns0:c>
      <ns0:c r="S65" s="6" t="n">
        <ns0:v>0</ns0:v>
      </ns0:c>
      <ns0:c r="V65" s="6" t="n">
        <ns0:v>0</ns0:v>
      </ns0:c>
      <ns0:c r="Y65" s="6" t="n">
        <ns0:v>0</ns0:v>
      </ns0:c>
      <ns0:c r="AB65" s="6" t="n">
        <ns0:v>0</ns0:v>
      </ns0:c>
      <ns0:c r="AE65" s="6" t="n">
        <ns0:v>0</ns0:v>
      </ns0:c>
    </ns0:row>
    <ns0:row r="66" ht="26.25" customHeight="1">
      <ns0:c r="B66" s="6" t="n">
        <ns0:v>6</ns0:v>
      </ns0:c>
      <ns0:c r="E66" s="6" t="inlineStr">
        <ns0:is>
          <ns0:t>Total</ns0:t>
        </ns0:is>
      </ns0:c>
      <ns0:c r="F66" s="6">
        <ns0:f>SUM(F61:F65)</ns0:f>
        <ns0:v/>
      </ns0:c>
      <ns0:c r="G66" s="6">
        <ns0:f>+F66-H66</ns0:f>
        <ns0:v/>
      </ns0:c>
      <ns0:c r="H66" s="6">
        <ns0:f>H61+H62+H63+H64+H65</ns0:f>
        <ns0:v/>
      </ns0:c>
      <ns0:c r="I66" s="6">
        <ns0:f>+H66/F66</ns0:f>
        <ns0:v/>
      </ns0:c>
      <ns0:c r="J66" s="6">
        <ns0:f>SUM(J61,J62,J63,J64,J65)</ns0:f>
        <ns0:v/>
      </ns0:c>
      <ns0:c r="M66" s="6">
        <ns0:f>M61+M62+M63+M64+M65</ns0:f>
        <ns0:v/>
      </ns0:c>
      <ns0:c r="P66" s="6">
        <ns0:f>SUM(P61,P62,P63,P64,P65)</ns0:f>
        <ns0:v/>
      </ns0:c>
      <ns0:c r="S66" s="6">
        <ns0:f>SUM(S61,S62,S63,S64,S65)</ns0:f>
        <ns0:v/>
      </ns0:c>
      <ns0:c r="V66" s="6">
        <ns0:f>SUM(V61,V62,V63,V64,V65)</ns0:f>
        <ns0:v/>
      </ns0:c>
      <ns0:c r="Y66" s="6">
        <ns0:f>SUM(Y61,Y62,Y63,Y64,Y65)</ns0:f>
        <ns0:v/>
      </ns0:c>
      <ns0:c r="AB66" s="6">
        <ns0:f>SUM(AB61,AB62,AB63,AB64,AB65)</ns0:f>
        <ns0:v/>
      </ns0:c>
      <ns0:c r="AE66" s="6">
        <ns0:f>SUM(AE61,AE62,AE63,AE64,AE65)</ns0:f>
        <ns0:v/>
      </ns0:c>
    </ns0:row>
    <ns0:row r="67" ht="26.25" customHeight="1">
      <ns0:c r="B67" s="6" t="n">
        <ns0:v>1</ns0:v>
      </ns0:c>
      <ns0:c r="C67" s="6" t="inlineStr">
        <ns0:is>
          <ns0:t>Total check</ns0:t>
        </ns0:is>
      </ns0:c>
      <ns0:c r="E67" s="6" t="inlineStr">
        <ns0:is>
          <ns0:t>#1</ns0:t>
        </ns0:is>
      </ns0:c>
      <ns0:c r="F67" s="6">
        <ns0:f>+F13+F19+F25+F31+F37+F43+F49+F55+F61</ns0:f>
        <ns0:v/>
      </ns0:c>
      <ns0:c r="G67" s="6">
        <ns0:f>+F67-H67</ns0:f>
        <ns0:v/>
      </ns0:c>
      <ns0:c r="H67" s="6">
        <ns0:f>SUM(J67:AG67)</ns0:f>
        <ns0:v/>
      </ns0:c>
      <ns0:c r="I67" s="6">
        <ns0:f>+H67/F67</ns0:f>
        <ns0:v/>
      </ns0:c>
      <ns0:c r="J67" s="6">
        <ns0:f>+J13+J19+J25+J31+J37+J42+J49+J55+J61</ns0:f>
        <ns0:v/>
      </ns0:c>
      <ns0:c r="M67" s="6">
        <ns0:f>+M13+M19+M25+M31+M37+M42+M49+M55+M61</ns0:f>
        <ns0:v/>
      </ns0:c>
      <ns0:c r="P67" s="6">
        <ns0:f>+P13+P19+P25+P31+P37+P42+P49+P55+P61</ns0:f>
        <ns0:v/>
      </ns0:c>
      <ns0:c r="S67" s="6">
        <ns0:f>+S13+S19+S25+S31+S37+S42+S49+S55+S61</ns0:f>
        <ns0:v/>
      </ns0:c>
      <ns0:c r="V67" s="6">
        <ns0:f>+V13+V19+V25+V31+V37+V42+V49+V55+V61</ns0:f>
        <ns0:v/>
      </ns0:c>
      <ns0:c r="Y67" s="6">
        <ns0:f>+Y13+Y19+Y25+Y31+Y37+Y42+Y49+Y55+Y61</ns0:f>
        <ns0:v/>
      </ns0:c>
      <ns0:c r="AB67" s="6">
        <ns0:f>+AB13+AB19+AB25+AB31+AB37+AB42+AB49+AB55+AB61</ns0:f>
        <ns0:v/>
      </ns0:c>
      <ns0:c r="AE67" s="6">
        <ns0:f>+AE13+AE19+AE25+AE31+AE37+AE42+AE49+AE55+AE61</ns0:f>
        <ns0:v/>
      </ns0:c>
    </ns0:row>
    <ns0:row r="68" ht="26.25" customHeight="1">
      <ns0:c r="B68" s="6" t="n">
        <ns0:v>2</ns0:v>
      </ns0:c>
      <ns0:c r="E68" s="6" t="inlineStr">
        <ns0:is>
          <ns0:t>#2</ns0:t>
        </ns0:is>
      </ns0:c>
      <ns0:c r="F68" s="6">
        <ns0:f>+F14+F20+F26+F32+F38+F44+F50+F56+F62</ns0:f>
        <ns0:v/>
      </ns0:c>
      <ns0:c r="G68" s="6">
        <ns0:f>+F68-H68</ns0:f>
        <ns0:v/>
      </ns0:c>
      <ns0:c r="H68" s="6">
        <ns0:f>SUM(J68:AG68)</ns0:f>
        <ns0:v/>
      </ns0:c>
      <ns0:c r="I68" s="6">
        <ns0:f>+H68/F68</ns0:f>
        <ns0:v/>
      </ns0:c>
      <ns0:c r="J68" s="6">
        <ns0:f>+J14+J20+J26+J32+J38+J43+J50+J56+J62</ns0:f>
        <ns0:v/>
      </ns0:c>
      <ns0:c r="M68" s="6">
        <ns0:f>+M14+M20+M26+M32+M38+M43+M50+M56+M62</ns0:f>
        <ns0:v/>
      </ns0:c>
      <ns0:c r="P68" s="6">
        <ns0:f>+P14+P20+P26+P32+P38+P43+P50+P56+P62</ns0:f>
        <ns0:v/>
      </ns0:c>
      <ns0:c r="S68" s="6">
        <ns0:f>+S14+S20+S26+S32+S38+S43+S50+S56+S62</ns0:f>
        <ns0:v/>
      </ns0:c>
      <ns0:c r="V68" s="6">
        <ns0:f>+V14+V20+V26+V32+V38+V43+V50+V56+V62</ns0:f>
        <ns0:v/>
      </ns0:c>
      <ns0:c r="Y68" s="6">
        <ns0:f>+Y14+Y20+Y26+Y32+Y38+Y43+Y50+Y56+Y62</ns0:f>
        <ns0:v/>
      </ns0:c>
      <ns0:c r="AB68" s="6">
        <ns0:f>+AB14+AB20+AB26+AB32+AB38+AB43+AB50+AB56+AB62</ns0:f>
        <ns0:v/>
      </ns0:c>
      <ns0:c r="AE68" s="6">
        <ns0:f>+AE14+AE20+AE26+AE32+AE38+AE43+AE50+AE56+AE62</ns0:f>
        <ns0:v/>
      </ns0:c>
    </ns0:row>
    <ns0:row r="69" ht="26.25" customHeight="1">
      <ns0:c r="B69" s="6" t="n">
        <ns0:v>3</ns0:v>
      </ns0:c>
      <ns0:c r="E69" s="6" t="inlineStr">
        <ns0:is>
          <ns0:t>#3</ns0:t>
        </ns0:is>
      </ns0:c>
      <ns0:c r="F69" s="6">
        <ns0:f>+F15+F21+F27+F33+F39+F45+F51+F57+F63</ns0:f>
        <ns0:v/>
      </ns0:c>
      <ns0:c r="G69" s="6">
        <ns0:f>+F69-H69</ns0:f>
        <ns0:v/>
      </ns0:c>
      <ns0:c r="H69" s="6">
        <ns0:f>SUM(J69:AG69)</ns0:f>
        <ns0:v/>
      </ns0:c>
      <ns0:c r="I69" s="6">
        <ns0:f>+H69/F69</ns0:f>
        <ns0:v/>
      </ns0:c>
      <ns0:c r="J69" s="6">
        <ns0:f>+J15+J21+J27+J33+J39+J44+J51+J57+J63</ns0:f>
        <ns0:v/>
      </ns0:c>
      <ns0:c r="M69" s="6">
        <ns0:f>+M15+M21+M27+M33+M39+M44+M51+M57+M63</ns0:f>
        <ns0:v/>
      </ns0:c>
      <ns0:c r="P69" s="6">
        <ns0:f>+P15+P21+P27+P33+P39+P44+P51+P57+P63</ns0:f>
        <ns0:v/>
      </ns0:c>
      <ns0:c r="S69" s="6">
        <ns0:f>+S15+S21+S27+S33+S39+S44+S51+S57+S63</ns0:f>
        <ns0:v/>
      </ns0:c>
      <ns0:c r="V69" s="6">
        <ns0:f>+V15+V21+V27+V33+V39+V44+V51+V57+V63</ns0:f>
        <ns0:v/>
      </ns0:c>
      <ns0:c r="Y69" s="6">
        <ns0:f>+Y15+Y21+Y27+Y33+Y39+Y44+Y51+Y57+Y63</ns0:f>
        <ns0:v/>
      </ns0:c>
      <ns0:c r="AB69" s="6">
        <ns0:f>+AB15+AB21+AB27+AB33+AB39+AB44+AB51+AB57+AB63</ns0:f>
        <ns0:v/>
      </ns0:c>
      <ns0:c r="AE69" s="6">
        <ns0:f>+AE15+AE21+AE27+AE33+AE39+AE44+AE51+AE57+AE63</ns0:f>
        <ns0:v/>
      </ns0:c>
    </ns0:row>
    <ns0:row r="70" ht="26.25" customHeight="1">
      <ns0:c r="B70" s="6" t="n">
        <ns0:v>4</ns0:v>
      </ns0:c>
      <ns0:c r="E70" s="6" t="inlineStr">
        <ns0:is>
          <ns0:t>#4</ns0:t>
        </ns0:is>
      </ns0:c>
      <ns0:c r="F70" s="6">
        <ns0:f>+F16+F22+F28+F34+F40+F46+F52+F58+F64</ns0:f>
        <ns0:v/>
      </ns0:c>
      <ns0:c r="G70" s="6">
        <ns0:f>+F70-H70</ns0:f>
        <ns0:v/>
      </ns0:c>
      <ns0:c r="H70" s="6">
        <ns0:f>SUM(J70:AG70)</ns0:f>
        <ns0:v/>
      </ns0:c>
      <ns0:c r="I70" s="6">
        <ns0:f>+H70/F70</ns0:f>
        <ns0:v/>
      </ns0:c>
      <ns0:c r="J70" s="6">
        <ns0:f>+J16+J22+J28+J34+J40+J45+J52+J58+J64</ns0:f>
        <ns0:v/>
      </ns0:c>
      <ns0:c r="M70" s="6">
        <ns0:f>+M16+M22+M28+M34+M40+M45+M52+M58+M64</ns0:f>
        <ns0:v/>
      </ns0:c>
      <ns0:c r="P70" s="6">
        <ns0:f>+P16+P22+P28+P34+P40+P45+P52+P58+P64</ns0:f>
        <ns0:v/>
      </ns0:c>
      <ns0:c r="S70" s="6">
        <ns0:f>+S16+S22+S28+S34+S40+S45+S52+S58+S64</ns0:f>
        <ns0:v/>
      </ns0:c>
      <ns0:c r="V70" s="6">
        <ns0:f>+V16+V22+V28+V34+V40+V45+V52+V58+V64</ns0:f>
        <ns0:v/>
      </ns0:c>
      <ns0:c r="Y70" s="6">
        <ns0:f>+Y16+Y22+Y28+Y34+Y40+Y45+Y52+Y58+Y64</ns0:f>
        <ns0:v/>
      </ns0:c>
      <ns0:c r="AB70" s="6">
        <ns0:f>+AB16+AB22+AB28+AB34+AB40+AB45+AB52+AB58+AB64</ns0:f>
        <ns0:v/>
      </ns0:c>
      <ns0:c r="AE70" s="6">
        <ns0:f>+AE16+AE22+AE28+AE34+AE40+AE45+AE52+AE58+AE64</ns0:f>
        <ns0:v/>
      </ns0:c>
    </ns0:row>
    <ns0:row r="71" ht="26.25" customHeight="1">
      <ns0:c r="B71" s="6" t="n">
        <ns0:v>5</ns0:v>
      </ns0:c>
      <ns0:c r="E71" s="6" t="inlineStr">
        <ns0:is>
          <ns0:t>#5</ns0:t>
        </ns0:is>
      </ns0:c>
      <ns0:c r="F71" s="6">
        <ns0:f>+F17+F23+F29+F35+F41+F47+F53+F59+F65</ns0:f>
        <ns0:v/>
      </ns0:c>
      <ns0:c r="G71" s="6">
        <ns0:f>+F71-H71</ns0:f>
        <ns0:v/>
      </ns0:c>
      <ns0:c r="H71" s="6">
        <ns0:f>SUM(J71:AG71)</ns0:f>
        <ns0:v/>
      </ns0:c>
      <ns0:c r="I71" s="6">
        <ns0:f>+H71/F71</ns0:f>
        <ns0:v/>
      </ns0:c>
      <ns0:c r="J71" s="6">
        <ns0:f>+J17+J23+J29+J35+J41+J46+J53+J59+J65</ns0:f>
        <ns0:v/>
      </ns0:c>
      <ns0:c r="M71" s="6">
        <ns0:f>+M17+M23+M29+M35+M41+M46+M53+M59+M65</ns0:f>
        <ns0:v/>
      </ns0:c>
      <ns0:c r="P71" s="6">
        <ns0:f>+P17+P23+P29+P35+P41+P46+P53+P59+P65</ns0:f>
        <ns0:v/>
      </ns0:c>
      <ns0:c r="S71" s="6">
        <ns0:f>+S17+S23+S29+S35+S41+S46+S53+S59+S65</ns0:f>
        <ns0:v/>
      </ns0:c>
      <ns0:c r="V71" s="6">
        <ns0:f>+V17+V23+V29+V35+V41+V46+V53+V59+V65</ns0:f>
        <ns0:v/>
      </ns0:c>
      <ns0:c r="Y71" s="6">
        <ns0:f>+Y17+Y23+Y29+Y35+Y41+Y46+Y53+Y59+Y65</ns0:f>
        <ns0:v/>
      </ns0:c>
      <ns0:c r="AB71" s="6">
        <ns0:f>+AB17+AB23+AB29+AB35+AB41+AB46+AB53+AB59+AB65</ns0:f>
        <ns0:v/>
      </ns0:c>
      <ns0:c r="AE71" s="6">
        <ns0:f>+AE17+AE23+AE29+AE35+AE41+AE46+AE53+AE59+AE65</ns0:f>
        <ns0:v/>
      </ns0:c>
    </ns0:row>
    <ns0:row r="72" ht="26.25" customHeight="1">
      <ns0:c r="B72" s="6" t="n">
        <ns0:v>6</ns0:v>
      </ns0:c>
      <ns0:c r="E72" s="6" t="inlineStr">
        <ns0:is>
          <ns0:t>Total</ns0:t>
        </ns0:is>
      </ns0:c>
      <ns0:c r="F72" s="6">
        <ns0:f>SUM(F67:F71)</ns0:f>
        <ns0:v/>
      </ns0:c>
      <ns0:c r="G72" s="6">
        <ns0:f>+F72-H72</ns0:f>
        <ns0:v/>
      </ns0:c>
      <ns0:c r="H72" s="6">
        <ns0:f>H67+H68+H69+H70+H71</ns0:f>
        <ns0:v/>
      </ns0:c>
      <ns0:c r="I72" s="6">
        <ns0:f>+H72/F72</ns0:f>
        <ns0:v/>
      </ns0:c>
      <ns0:c r="J72" s="6">
        <ns0:f>SUM(J67,J68,J69,J70,J71)</ns0:f>
        <ns0:v/>
      </ns0:c>
      <ns0:c r="M72" s="6">
        <ns0:f>M67+M68+M69+M70+M71</ns0:f>
        <ns0:v/>
      </ns0:c>
      <ns0:c r="P72" s="6">
        <ns0:f>SUM(P67,P68,P69,P70,P71)</ns0:f>
        <ns0:v/>
      </ns0:c>
      <ns0:c r="S72" s="6">
        <ns0:f>SUM(S67,S68,S69,S70,S71)</ns0:f>
        <ns0:v/>
      </ns0:c>
      <ns0:c r="V72" s="6">
        <ns0:f>SUM(V67,V68,V69,V70,V71)</ns0:f>
        <ns0:v/>
      </ns0:c>
      <ns0:c r="Y72" s="6">
        <ns0:f>SUM(Y67,Y68,Y69,Y70,Y71)</ns0:f>
        <ns0:v/>
      </ns0:c>
      <ns0:c r="AB72" s="6">
        <ns0:f>SUM(AB67,AB68,AB69,AB70,AB71)</ns0:f>
        <ns0:v/>
      </ns0:c>
      <ns0:c r="AE72" s="6">
        <ns0:f>SUM(AE67,AE68,AE69,AE70,AE71)</ns0:f>
        <ns0:v/>
      </ns0:c>
    </ns0:row>
  </ns0:sheetData>
  <ns0:mergeCells count="2">
    <ns0:mergeCell ref="AE71:AG71"/>
    <ns0:mergeCell ref="AE37:AG37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C3:S15"/>
  <ns0:sheetViews>
    <ns0:sheetView workbookViewId="0">
      <ns0:selection activeCell="A1" sqref="A1"/>
    </ns0:sheetView>
  </ns0:sheetViews>
  <ns0:sheetFormatPr baseColWidth="8" defaultRowHeight="15"/>
  <ns0:cols>
    <ns0:col width="12.5" customWidth="1" min="3" max="3"/>
    <ns0:col width="12.5" customWidth="1" min="4" max="4"/>
    <ns0:col width="12.5" customWidth="1" min="5" max="5"/>
    <ns0:col width="12.5" customWidth="1" min="6" max="6"/>
    <ns0:col width="12.5" customWidth="1" min="7" max="7"/>
    <ns0:col width="12.5" customWidth="1" min="8" max="8"/>
    <ns0:col width="21" customWidth="1" min="9" max="9"/>
    <ns0:col width="21" customWidth="1" min="10" max="10"/>
    <ns0:col width="21" customWidth="1" min="11" max="11"/>
    <ns0:col width="12.5" customWidth="1" min="12" max="12"/>
    <ns0:col width="12.5" customWidth="1" min="13" max="13"/>
    <ns0:col width="12.5" customWidth="1" min="14" max="14"/>
    <ns0:col width="12.5" customWidth="1" min="15" max="15"/>
    <ns0:col width="12.5" customWidth="1" min="16" max="16"/>
    <ns0:col width="12.5" customWidth="1" min="17" max="17"/>
    <ns0:col width="12.5" customWidth="1" min="18" max="18"/>
    <ns0:col width="12.5" customWidth="1" min="19" max="19"/>
  </ns0:cols>
  <ns0:sheetData>
    <ns0:row r="3" ht="36" customHeight="1">
      <ns0:c r="C3" s="8" t="inlineStr">
        <ns0:is>
          <ns0:t xml:space="preserve">RESULT CHECK MACHINE ASS'Y FRAME+YOKE </ns0:t>
        </ns0:is>
      </ns0:c>
    </ns0:row>
    <ns0:row r="4" ht="39.75" customHeight="1">
      <ns0:c r="C4" s="8" t="inlineStr">
        <ns0:is>
          <ns0:t>Date</ns0:t>
        </ns0:is>
      </ns0:c>
      <ns0:c r="D4" s="8" t="inlineStr">
        <ns0:is>
          <ns0:t>Line</ns0:t>
        </ns0:is>
      </ns0:c>
      <ns0:c r="E4" s="8" t="inlineStr">
        <ns0:is>
          <ns0:t>Total Input</ns0:t>
        </ns0:is>
      </ns0:c>
      <ns0:c r="F4" s="8" t="inlineStr">
        <ns0:is>
          <ns0:t>Head 1</ns0:t>
        </ns0:is>
      </ns0:c>
      <ns0:c r="I4" s="8" t="inlineStr">
        <ns0:is>
          <ns0:t>Head 1</ns0:t>
        </ns0:is>
      </ns0:c>
      <ns0:c r="L4" s="8" t="inlineStr">
        <ns0:is>
          <ns0:t>Head 3</ns0:t>
        </ns0:is>
      </ns0:c>
      <ns0:c r="O4" s="8" t="inlineStr">
        <ns0:is>
          <ns0:t>Head 4</ns0:t>
        </ns0:is>
      </ns0:c>
      <ns0:c r="R4" s="8" t="inlineStr">
        <ns0:is>
          <ns0:t>Total NG</ns0:t>
        </ns0:is>
      </ns0:c>
      <ns0:c r="S4" s="8" t="inlineStr">
        <ns0:is>
          <ns0:t>Total NG rate</ns0:t>
        </ns0:is>
      </ns0:c>
    </ns0:row>
    <ns0:row r="5" ht="39.75" customHeight="1">
      <ns0:c r="F5" s="8" t="inlineStr">
        <ns0:is>
          <ns0:t>Input</ns0:t>
        </ns0:is>
      </ns0:c>
      <ns0:c r="G5" s="8" t="inlineStr">
        <ns0:is>
          <ns0:t>NG</ns0:t>
        </ns0:is>
      </ns0:c>
      <ns0:c r="H5" s="8" t="inlineStr">
        <ns0:is>
          <ns0:t>NG rate</ns0:t>
        </ns0:is>
      </ns0:c>
      <ns0:c r="I5" s="8" t="inlineStr">
        <ns0:is>
          <ns0:t>Input</ns0:t>
        </ns0:is>
      </ns0:c>
      <ns0:c r="J5" s="8" t="inlineStr">
        <ns0:is>
          <ns0:t>NG</ns0:t>
        </ns0:is>
      </ns0:c>
      <ns0:c r="K5" s="8" t="inlineStr">
        <ns0:is>
          <ns0:t>NG rate</ns0:t>
        </ns0:is>
      </ns0:c>
      <ns0:c r="L5" s="8" t="inlineStr">
        <ns0:is>
          <ns0:t>Input</ns0:t>
        </ns0:is>
      </ns0:c>
      <ns0:c r="M5" s="8" t="inlineStr">
        <ns0:is>
          <ns0:t>NG</ns0:t>
        </ns0:is>
      </ns0:c>
      <ns0:c r="N5" s="8" t="inlineStr">
        <ns0:is>
          <ns0:t>NG rate</ns0:t>
        </ns0:is>
      </ns0:c>
      <ns0:c r="O5" s="8" t="inlineStr">
        <ns0:is>
          <ns0:t>Input</ns0:t>
        </ns0:is>
      </ns0:c>
      <ns0:c r="P5" s="8" t="inlineStr">
        <ns0:is>
          <ns0:t>NG</ns0:t>
        </ns0:is>
      </ns0:c>
      <ns0:c r="Q5" s="8" t="inlineStr">
        <ns0:is>
          <ns0:t>NG rate</ns0:t>
        </ns0:is>
      </ns0:c>
    </ns0:row>
    <ns0:row r="6" ht="31.5" customHeight="1">
      <ns0:c r="C6" s="9" t="n">
        <ns0:v>45817</ns0:v>
      </ns0:c>
      <ns0:c r="D6" s="8" t="inlineStr">
        <ns0:is>
          <ns0:t>E2-3A</ns0:t>
        </ns0:is>
      </ns0:c>
      <ns0:c r="E6" s="8" t="n">
        <ns0:v>400</ns0:v>
      </ns0:c>
      <ns0:c r="F6" s="8" t="n">
        <ns0:v>100</ns0:v>
      </ns0:c>
      <ns0:c r="G6" s="8" t="n">
        <ns0:v>0</ns0:v>
      </ns0:c>
      <ns0:c r="H6" s="8">
        <ns0:f>G6/F6</ns0:f>
        <ns0:v/>
      </ns0:c>
      <ns0:c r="I6" s="8" t="n">
        <ns0:v>100</ns0:v>
      </ns0:c>
      <ns0:c r="J6" s="8" t="n">
        <ns0:v>0</ns0:v>
      </ns0:c>
      <ns0:c r="K6" s="8">
        <ns0:f>J6/I6</ns0:f>
        <ns0:v/>
      </ns0:c>
      <ns0:c r="L6" s="8" t="n">
        <ns0:v>100</ns0:v>
      </ns0:c>
      <ns0:c r="M6" s="8" t="n">
        <ns0:v>0</ns0:v>
      </ns0:c>
      <ns0:c r="N6" s="8">
        <ns0:f>M6/L6</ns0:f>
        <ns0:v/>
      </ns0:c>
      <ns0:c r="O6" s="8" t="n">
        <ns0:v>100</ns0:v>
      </ns0:c>
      <ns0:c r="P6" s="8" t="n">
        <ns0:v>0</ns0:v>
      </ns0:c>
      <ns0:c r="Q6" s="8">
        <ns0:f>P6/O6</ns0:f>
        <ns0:v/>
      </ns0:c>
      <ns0:c r="R6" s="8">
        <ns0:f>+G6+J6+M6+P6</ns0:f>
        <ns0:v/>
      </ns0:c>
      <ns0:c r="S6" s="8">
        <ns0:f>R6/E6</ns0:f>
        <ns0:v/>
      </ns0:c>
    </ns0:row>
    <ns0:row r="7" ht="20.25" customHeight="1"/>
    <ns0:row r="8" ht="27.75" customHeight="1">
      <ns0:c r="C8" s="8" t="inlineStr">
        <ns0:is>
          <ns0:t>RESULT CHECK BEFORE AND AFTER MOVE SPK FROM TRAY TO JIG</ns0:t>
        </ns0:is>
      </ns0:c>
    </ns0:row>
    <ns0:row r="9" ht="37.5" customHeight="1">
      <ns0:c r="C9" s="8" t="inlineStr">
        <ns0:is>
          <ns0:t>Date</ns0:t>
        </ns0:is>
      </ns0:c>
      <ns0:c r="D9" s="8" t="inlineStr">
        <ns0:is>
          <ns0:t>Line</ns0:t>
        </ns0:is>
      </ns0:c>
      <ns0:c r="E9" s="8" t="inlineStr">
        <ns0:is>
          <ns0:t>Input</ns0:t>
        </ns0:is>
      </ns0:c>
      <ns0:c r="F9" s="8" t="inlineStr">
        <ns0:is>
          <ns0:t>OK</ns0:t>
        </ns0:is>
      </ns0:c>
      <ns0:c r="G9" s="8" t="inlineStr">
        <ns0:is>
          <ns0:t>NG</ns0:t>
        </ns0:is>
      </ns0:c>
      <ns0:c r="H9" s="8" t="inlineStr">
        <ns0:is>
          <ns0:t>NG rate</ns0:t>
        </ns0:is>
      </ns0:c>
      <ns0:c r="I9" s="8" t="inlineStr">
        <ns0:is>
          <ns0:t>Note</ns0:t>
        </ns0:is>
      </ns0:c>
    </ns0:row>
    <ns0:row r="10" ht="44.25" customHeight="1">
      <ns0:c r="C10" s="9" t="n">
        <ns0:v>45817</ns0:v>
      </ns0:c>
      <ns0:c r="D10" s="8" t="inlineStr">
        <ns0:is>
          <ns0:t>E2-3A</ns0:t>
        </ns0:is>
      </ns0:c>
      <ns0:c r="E10" s="8" t="n">
        <ns0:v>480</ns0:v>
      </ns0:c>
      <ns0:c r="F10" s="8">
        <ns0:f>E10-G10</ns0:f>
        <ns0:v/>
      </ns0:c>
      <ns0:c r="G10" s="8" t="n">
        <ns0:v>3</ns0:v>
      </ns0:c>
      <ns0:c r="H10" s="8">
        <ns0:f>G10/E10</ns0:f>
        <ns0:v/>
      </ns0:c>
      <ns0:c r="I10" s="8" t="inlineStr">
        <ns0:is>
          <ns0:t>SPK load tray have some position keep SPK =&gt; After pickup make frame+yoke offset</ns0:t>
        </ns0:is>
      </ns0:c>
    </ns0:row>
    <ns0:row r="11" ht="44.25" customHeight="1">
      <ns0:c r="C11" s="9" t="n">
        <ns0:v>45817</ns0:v>
      </ns0:c>
      <ns0:c r="D11" s="8" t="inlineStr">
        <ns0:is>
          <ns0:t>E2-3A</ns0:t>
        </ns0:is>
      </ns0:c>
      <ns0:c r="E11" s="8" t="n">
        <ns0:v>480</ns0:v>
      </ns0:c>
      <ns0:c r="F11" s="8">
        <ns0:f>E11-G11</ns0:f>
        <ns0:v/>
      </ns0:c>
      <ns0:c r="G11" s="8" t="n">
        <ns0:v>0</ns0:v>
      </ns0:c>
      <ns0:c r="H11" s="8">
        <ns0:f>G11/E11</ns0:f>
        <ns0:v/>
      </ns0:c>
      <ns0:c r="I11" s="8" t="inlineStr">
        <ns0:is>
          <ns0:t>After remove JIG SPK load tray NG</ns0:t>
        </ns0:is>
      </ns0:c>
    </ns0:row>
    <ns0:row r="12" ht="20.25" customHeight="1"/>
    <ns0:row r="13" ht="20.25" customHeight="1">
      <ns0:c r="C13" s="8" t="inlineStr">
        <ns0:is>
          <ns0:t>RESULT CHECK JIG SPK LOAD TRAY</ns0:t>
        </ns0:is>
      </ns0:c>
    </ns0:row>
    <ns0:row r="14" ht="38.25" customHeight="1">
      <ns0:c r="C14" s="8" t="inlineStr">
        <ns0:is>
          <ns0:t>Date</ns0:t>
        </ns0:is>
      </ns0:c>
      <ns0:c r="D14" s="8" t="inlineStr">
        <ns0:is>
          <ns0:t>Line</ns0:t>
        </ns0:is>
      </ns0:c>
      <ns0:c r="E14" s="8" t="inlineStr">
        <ns0:is>
          <ns0:t>Input</ns0:t>
        </ns0:is>
      </ns0:c>
      <ns0:c r="F14" s="8" t="inlineStr">
        <ns0:is>
          <ns0:t>OK</ns0:t>
        </ns0:is>
      </ns0:c>
      <ns0:c r="G14" s="8" t="inlineStr">
        <ns0:is>
          <ns0:t>NG</ns0:t>
        </ns0:is>
      </ns0:c>
      <ns0:c r="H14" s="8" t="inlineStr">
        <ns0:is>
          <ns0:t>NG rate</ns0:t>
        </ns0:is>
      </ns0:c>
      <ns0:c r="I14" s="8" t="inlineStr">
        <ns0:is>
          <ns0:t>Note</ns0:t>
        </ns0:is>
      </ns0:c>
    </ns0:row>
    <ns0:row r="15" ht="38.25" customHeight="1">
      <ns0:c r="C15" s="9" t="n">
        <ns0:v>45817</ns0:v>
      </ns0:c>
      <ns0:c r="D15" s="8" t="inlineStr">
        <ns0:is>
          <ns0:t>E2-3A</ns0:t>
        </ns0:is>
      </ns0:c>
      <ns0:c r="E15" s="8" t="n">
        <ns0:v>20</ns0:v>
      </ns0:c>
      <ns0:c r="F15" s="8">
        <ns0:f>E15-G15</ns0:f>
        <ns0:v/>
      </ns0:c>
      <ns0:c r="G15" s="8" t="n">
        <ns0:v>3</ns0:v>
      </ns0:c>
      <ns0:c r="H15" s="8">
        <ns0:f>G15/E15</ns0:f>
        <ns0:v/>
      </ns0:c>
      <ns0:c r="I15" s="8" t="inlineStr">
        <ns0:is>
          <ns0:t>Move JIG room repair</ns0:t>
        </ns0:is>
      </ns0:c>
    </ns0:row>
  </ns0:sheetData>
  <ns0:mergeCells count="1">
    <ns0:mergeCell ref="I15:K15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C3:J25"/>
  <ns0:sheetViews>
    <ns0:sheetView workbookViewId="0">
      <ns0:selection activeCell="A1" sqref="A1"/>
    </ns0:sheetView>
  </ns0:sheetViews>
  <ns0:sheetFormatPr baseColWidth="8" defaultRowHeight="15"/>
  <ns0:cols>
    <ns0:col width="15.13" customWidth="1" min="3" max="3"/>
    <ns0:col width="20" customWidth="1" min="4" max="4"/>
    <ns0:col width="15.13" customWidth="1" min="5" max="5"/>
    <ns0:col width="15.13" customWidth="1" min="6" max="6"/>
    <ns0:col width="15.25" customWidth="1" min="7" max="7"/>
    <ns0:col width="15.25" customWidth="1" min="8" max="8"/>
    <ns0:col width="15.25" customWidth="1" min="9" max="9"/>
    <ns0:col width="21.13" customWidth="1" min="10" max="10"/>
  </ns0:cols>
  <ns0:sheetData>
    <ns0:row r="3" ht="36" customHeight="1">
      <ns0:c r="C3" s="8" t="inlineStr">
        <ns0:is>
          <ns0:t>RESULT CHECK YOKE BY CLASS JIG</ns0:t>
        </ns0:is>
      </ns0:c>
    </ns0:row>
    <ns0:row r="4" ht="39.75" customHeight="1">
      <ns0:c r="C4" s="8" t="inlineStr">
        <ns0:is>
          <ns0:t>Date</ns0:t>
        </ns0:is>
      </ns0:c>
      <ns0:c r="D4" s="8" t="inlineStr">
        <ns0:is>
          <ns0:t>Line</ns0:t>
        </ns0:is>
      </ns0:c>
      <ns0:c r="E4" s="8" t="inlineStr">
        <ns0:is>
          <ns0:t>Input</ns0:t>
        </ns0:is>
      </ns0:c>
      <ns0:c r="F4" s="8" t="inlineStr">
        <ns0:is>
          <ns0:t>Class1</ns0:t>
        </ns0:is>
      </ns0:c>
      <ns0:c r="G4" s="8" t="inlineStr">
        <ns0:is>
          <ns0:t>Class 2</ns0:t>
        </ns0:is>
      </ns0:c>
      <ns0:c r="H4" s="8" t="inlineStr">
        <ns0:is>
          <ns0:t>Class 3</ns0:t>
        </ns0:is>
      </ns0:c>
      <ns0:c r="I4" s="8" t="inlineStr">
        <ns0:is>
          <ns0:t>NG class 3</ns0:t>
        </ns0:is>
      </ns0:c>
      <ns0:c r="J4" s="8" t="inlineStr">
        <ns0:is>
          <ns0:t>Note</ns0:t>
        </ns0:is>
      </ns0:c>
    </ns0:row>
    <ns0:row r="5" ht="31.5" customHeight="1">
      <ns0:c r="C5" s="9" t="n">
        <ns0:v>45807</ns0:v>
      </ns0:c>
      <ns0:c r="D5" s="8" t="inlineStr">
        <ns0:is>
          <ns0:t>C2-5B</ns0:t>
        </ns0:is>
      </ns0:c>
      <ns0:c r="E5" s="8">
        <ns0:f>SUM(F5:I5)</ns0:f>
        <ns0:v/>
      </ns0:c>
      <ns0:c r="F5" s="8" t="n">
        <ns0:v>263</ns0:v>
      </ns0:c>
      <ns0:c r="G5" s="8" t="n">
        <ns0:v>71</ns0:v>
      </ns0:c>
      <ns0:c r="H5" s="8" t="n">
        <ns0:v>24</ns0:v>
      </ns0:c>
      <ns0:c r="I5" s="8" t="n">
        <ns0:v>10</ns0:v>
      </ns0:c>
      <ns0:c r="J5" s="8" t="inlineStr">
        <ns0:is>
          <ns0:t>Before remove JIG NG</ns0:t>
        </ns0:is>
      </ns0:c>
    </ns0:row>
    <ns0:row r="6" ht="31.5" customHeight="1">
      <ns0:c r="F6" s="8">
        <ns0:f>F5/E5</ns0:f>
        <ns0:v/>
      </ns0:c>
      <ns0:c r="G6" s="8">
        <ns0:f>G5/E5</ns0:f>
        <ns0:v/>
      </ns0:c>
      <ns0:c r="H6" s="8">
        <ns0:f>H5/E5</ns0:f>
        <ns0:v/>
      </ns0:c>
      <ns0:c r="I6" s="8">
        <ns0:f>I5/E5</ns0:f>
        <ns0:v/>
      </ns0:c>
    </ns0:row>
    <ns0:row r="7" ht="31.5" customHeight="1">
      <ns0:c r="C7" s="9" t="n">
        <ns0:v>45808</ns0:v>
      </ns0:c>
      <ns0:c r="D7" s="8" t="inlineStr">
        <ns0:is>
          <ns0:t>C2-5B</ns0:t>
        </ns0:is>
      </ns0:c>
      <ns0:c r="E7" s="8">
        <ns0:f>SUM(F7:I7)</ns0:f>
        <ns0:v/>
      </ns0:c>
      <ns0:c r="F7" s="8" t="n">
        <ns0:v>271</ns0:v>
      </ns0:c>
      <ns0:c r="G7" s="8" t="n">
        <ns0:v>65</ns0:v>
      </ns0:c>
      <ns0:c r="H7" s="8" t="n">
        <ns0:v>65</ns0:v>
      </ns0:c>
      <ns0:c r="I7" s="8" t="n">
        <ns0:v>18</ns0:v>
      </ns0:c>
    </ns0:row>
    <ns0:row r="8" ht="31.5" customHeight="1">
      <ns0:c r="F8" s="8">
        <ns0:f>F7/E7</ns0:f>
        <ns0:v/>
      </ns0:c>
      <ns0:c r="G8" s="8">
        <ns0:f>G7/E7</ns0:f>
        <ns0:v/>
      </ns0:c>
      <ns0:c r="H8" s="8">
        <ns0:f>H7/E7</ns0:f>
        <ns0:v/>
      </ns0:c>
      <ns0:c r="I8" s="8">
        <ns0:f>I7/E7</ns0:f>
        <ns0:v/>
      </ns0:c>
    </ns0:row>
    <ns0:row r="9" ht="31.5" customHeight="1">
      <ns0:c r="C9" s="9" t="n">
        <ns0:v>45810</ns0:v>
      </ns0:c>
      <ns0:c r="D9" s="8" t="inlineStr">
        <ns0:is>
          <ns0:t>C2-5B</ns0:t>
        </ns0:is>
      </ns0:c>
      <ns0:c r="E9" s="8">
        <ns0:f>SUM(F9:I9)</ns0:f>
        <ns0:v/>
      </ns0:c>
      <ns0:c r="F9" s="8" t="n">
        <ns0:v>289</ns0:v>
      </ns0:c>
      <ns0:c r="G9" s="8" t="n">
        <ns0:v>47</ns0:v>
      </ns0:c>
      <ns0:c r="H9" s="8" t="n">
        <ns0:v>32</ns0:v>
      </ns0:c>
      <ns0:c r="I9" s="8" t="n">
        <ns0:v>0</ns0:v>
      </ns0:c>
      <ns0:c r="J9" s="8" t="inlineStr">
        <ns0:is>
          <ns0:t>After Remove JIG have NG class 3</ns0:t>
        </ns0:is>
      </ns0:c>
    </ns0:row>
    <ns0:row r="10" ht="31.5" customHeight="1">
      <ns0:c r="F10" s="8">
        <ns0:f>F9/E9</ns0:f>
        <ns0:v/>
      </ns0:c>
      <ns0:c r="G10" s="8">
        <ns0:f>G9/E9</ns0:f>
        <ns0:v/>
      </ns0:c>
      <ns0:c r="H10" s="8">
        <ns0:f>H9/E9</ns0:f>
        <ns0:v/>
      </ns0:c>
      <ns0:c r="I10" s="8">
        <ns0:f>I9/E9</ns0:f>
        <ns0:v/>
      </ns0:c>
    </ns0:row>
    <ns0:row r="11" ht="31.5" customHeight="1">
      <ns0:c r="C11" s="9" t="n">
        <ns0:v>45811</ns0:v>
      </ns0:c>
      <ns0:c r="D11" s="8" t="inlineStr">
        <ns0:is>
          <ns0:t>C2-5B</ns0:t>
        </ns0:is>
      </ns0:c>
      <ns0:c r="E11" s="8">
        <ns0:f>SUM(F11:I11)</ns0:f>
        <ns0:v/>
      </ns0:c>
      <ns0:c r="F11" s="8" t="n">
        <ns0:v>279</ns0:v>
      </ns0:c>
      <ns0:c r="G11" s="8" t="n">
        <ns0:v>52</ns0:v>
      </ns0:c>
      <ns0:c r="H11" s="8" t="n">
        <ns0:v>28</ns0:v>
      </ns0:c>
      <ns0:c r="I11" s="8" t="n">
        <ns0:v>1</ns0:v>
      </ns0:c>
    </ns0:row>
    <ns0:row r="12" ht="31.5" customHeight="1">
      <ns0:c r="F12" s="8">
        <ns0:f>F11/E11</ns0:f>
        <ns0:v/>
      </ns0:c>
      <ns0:c r="G12" s="8">
        <ns0:f>G11/E11</ns0:f>
        <ns0:v/>
      </ns0:c>
      <ns0:c r="H12" s="8">
        <ns0:f>H11/E11</ns0:f>
        <ns0:v/>
      </ns0:c>
      <ns0:c r="I12" s="8">
        <ns0:f>I11/E11</ns0:f>
        <ns0:v/>
      </ns0:c>
    </ns0:row>
    <ns0:row r="13" ht="20.25" customHeight="1"/>
    <ns0:row r="14" ht="27.75" customHeight="1">
      <ns0:c r="C14" s="8" t="inlineStr">
        <ns0:is>
          <ns0:t>RESULT CHECK JIG YOKE ASS'Y AT SUB 2</ns0:t>
        </ns0:is>
      </ns0:c>
    </ns0:row>
    <ns0:row r="15" ht="41.25" customHeight="1">
      <ns0:c r="C15" s="8" t="inlineStr">
        <ns0:is>
          <ns0:t>Date</ns0:t>
        </ns0:is>
      </ns0:c>
      <ns0:c r="D15" s="8" t="inlineStr">
        <ns0:is>
          <ns0:t>Line</ns0:t>
        </ns0:is>
      </ns0:c>
      <ns0:c r="E15" s="8" t="inlineStr">
        <ns0:is>
          <ns0:t>Q'ty JIG check</ns0:t>
        </ns0:is>
      </ns0:c>
      <ns0:c r="F15" s="8" t="inlineStr">
        <ns0:is>
          <ns0:t>OK</ns0:t>
        </ns0:is>
      </ns0:c>
      <ns0:c r="G15" s="8" t="inlineStr">
        <ns0:is>
          <ns0:t>NG</ns0:t>
        </ns0:is>
      </ns0:c>
      <ns0:c r="H15" s="8" t="inlineStr">
        <ns0:is>
          <ns0:t>Rate</ns0:t>
        </ns0:is>
      </ns0:c>
      <ns0:c r="I15" s="8" t="inlineStr">
        <ns0:is>
          <ns0:t>Note</ns0:t>
        </ns0:is>
      </ns0:c>
    </ns0:row>
    <ns0:row r="16" ht="42.75" customHeight="1">
      <ns0:c r="C16" s="9" t="n">
        <ns0:v>45808</ns0:v>
      </ns0:c>
      <ns0:c r="D16" s="8" t="inlineStr">
        <ns0:is>
          <ns0:t>C2-5B</ns0:t>
        </ns0:is>
      </ns0:c>
      <ns0:c r="E16" s="8" t="n">
        <ns0:v>41</ns0:v>
      </ns0:c>
      <ns0:c r="F16" s="8" t="n">
        <ns0:v>38</ns0:v>
      </ns0:c>
      <ns0:c r="G16" s="8" t="n">
        <ns0:v>3</ns0:v>
      </ns0:c>
      <ns0:c r="H16" s="8">
        <ns0:f>G16/E16</ns0:f>
        <ns0:v/>
      </ns0:c>
      <ns0:c r="I16" s="8" t="inlineStr">
        <ns0:is>
          <ns0:t>JIG have Yoke NG class 3 =&gt; Move JIG room repair</ns0:t>
        </ns0:is>
      </ns0:c>
    </ns0:row>
    <ns0:row r="17" ht="20.25" customHeight="1"/>
    <ns0:row r="18" ht="31.5" customHeight="1">
      <ns0:c r="C18" s="8" t="inlineStr">
        <ns0:is>
          <ns0:t>TEST COMPARE JIG ASS'Y YOKE WHEN MAKE COOLING AND NORMAL</ns0:t>
        </ns0:is>
      </ns0:c>
    </ns0:row>
    <ns0:row r="19" ht="33" customHeight="1">
      <ns0:c r="C19" s="8" t="inlineStr">
        <ns0:is>
          <ns0:t>Date</ns0:t>
        </ns0:is>
      </ns0:c>
      <ns0:c r="D19" s="8" t="inlineStr">
        <ns0:is>
          <ns0:t>Type</ns0:t>
        </ns0:is>
      </ns0:c>
      <ns0:c r="E19" s="8" t="inlineStr">
        <ns0:is>
          <ns0:t>Input</ns0:t>
        </ns0:is>
      </ns0:c>
      <ns0:c r="F19" s="8" t="inlineStr">
        <ns0:is>
          <ns0:t>Class1</ns0:t>
        </ns0:is>
      </ns0:c>
      <ns0:c r="G19" s="8" t="inlineStr">
        <ns0:is>
          <ns0:t>Class 2</ns0:t>
        </ns0:is>
      </ns0:c>
      <ns0:c r="H19" s="8" t="inlineStr">
        <ns0:is>
          <ns0:t>Class 3</ns0:t>
        </ns0:is>
      </ns0:c>
      <ns0:c r="I19" s="8" t="inlineStr">
        <ns0:is>
          <ns0:t>NG class 3</ns0:t>
        </ns0:is>
      </ns0:c>
      <ns0:c r="J19" s="8" t="inlineStr">
        <ns0:is>
          <ns0:t>Note</ns0:t>
        </ns0:is>
      </ns0:c>
    </ns0:row>
    <ns0:row r="20" ht="40.5" customHeight="1">
      <ns0:c r="C20" s="9" t="n">
        <ns0:v>45808</ns0:v>
      </ns0:c>
      <ns0:c r="D20" s="8" t="inlineStr">
        <ns0:is>
          <ns0:t>Test JIG make cooling before ass'y CM+Yk</ns0:t>
        </ns0:is>
      </ns0:c>
      <ns0:c r="E20" s="8">
        <ns0:f>SUM(F20:I20)</ns0:f>
        <ns0:v/>
      </ns0:c>
      <ns0:c r="F20" s="8" t="n">
        <ns0:v>147</ns0:v>
      </ns0:c>
      <ns0:c r="G20" s="8" t="n">
        <ns0:v>28</ns0:v>
      </ns0:c>
      <ns0:c r="H20" s="8" t="n">
        <ns0:v>18</ns0:v>
      </ns0:c>
      <ns0:c r="I20" s="8" t="n">
        <ns0:v>7</ns0:v>
      </ns0:c>
      <ns0:c r="J20" s="8" t="inlineStr">
        <ns0:is>
          <ns0:t>When using JIG make cooling =&gt; NG class 3 same normal</ns0:t>
        </ns0:is>
      </ns0:c>
    </ns0:row>
    <ns0:row r="21" ht="40.5" customHeight="1">
      <ns0:c r="F21" s="8">
        <ns0:f>F20/E20</ns0:f>
        <ns0:v/>
      </ns0:c>
      <ns0:c r="G21" s="8">
        <ns0:f>G20/E20</ns0:f>
        <ns0:v/>
      </ns0:c>
      <ns0:c r="H21" s="8">
        <ns0:f>H20/E20</ns0:f>
        <ns0:v/>
      </ns0:c>
      <ns0:c r="I21" s="8">
        <ns0:f>I20/E20</ns0:f>
        <ns0:v/>
      </ns0:c>
    </ns0:row>
    <ns0:row r="22" ht="38.25" customHeight="1">
      <ns0:c r="D22" s="8" t="inlineStr">
        <ns0:is>
          <ns0:t>Normal (JIG hot)</ns0:t>
        </ns0:is>
      </ns0:c>
      <ns0:c r="E22" s="8">
        <ns0:f>SUM(F22:I22)</ns0:f>
        <ns0:v/>
      </ns0:c>
      <ns0:c r="F22" s="8" t="n">
        <ns0:v>142</ns0:v>
      </ns0:c>
      <ns0:c r="G22" s="8" t="n">
        <ns0:v>31</ns0:v>
      </ns0:c>
      <ns0:c r="H22" s="8" t="n">
        <ns0:v>19</ns0:v>
      </ns0:c>
      <ns0:c r="I22" s="8" t="n">
        <ns0:v>8</ns0:v>
      </ns0:c>
    </ns0:row>
    <ns0:row r="23" ht="38.25" customHeight="1">
      <ns0:c r="F23" s="8">
        <ns0:f>F22/E22</ns0:f>
        <ns0:v/>
      </ns0:c>
      <ns0:c r="G23" s="8">
        <ns0:f>G22/E22</ns0:f>
        <ns0:v/>
      </ns0:c>
      <ns0:c r="H23" s="8">
        <ns0:f>H22/E22</ns0:f>
        <ns0:v/>
      </ns0:c>
      <ns0:c r="I23" s="8">
        <ns0:f>I22/E22</ns0:f>
        <ns0:v/>
      </ns0:c>
    </ns0:row>
    <ns0:row r="24" ht="36" customHeight="1">
      <ns0:c r="D24" s="8" t="inlineStr">
        <ns0:is>
          <ns0:t>New JIG</ns0:t>
        </ns0:is>
      </ns0:c>
      <ns0:c r="E24" s="8">
        <ns0:f>SUM(F24:I24)</ns0:f>
        <ns0:v/>
      </ns0:c>
      <ns0:c r="F24" s="8" t="n">
        <ns0:v>218</ns0:v>
      </ns0:c>
      <ns0:c r="G24" s="8" t="n">
        <ns0:v>22</ns0:v>
      </ns0:c>
      <ns0:c r="H24" s="8" t="n">
        <ns0:v>0</ns0:v>
      </ns0:c>
      <ns0:c r="I24" s="10" t="n">
        <ns0:v>0</ns0:v>
      </ns0:c>
      <ns0:c r="J24" s="8" t="inlineStr">
        <ns0:is>
          <ns0:t>New JIG OK</ns0:t>
        </ns0:is>
      </ns0:c>
    </ns0:row>
    <ns0:row r="25" ht="36" customHeight="1">
      <ns0:c r="F25" s="8">
        <ns0:f>F24/E24</ns0:f>
        <ns0:v/>
      </ns0:c>
      <ns0:c r="G25" s="8">
        <ns0:f>G24/E24</ns0:f>
        <ns0:v/>
      </ns0:c>
      <ns0:c r="H25" s="8">
        <ns0:f>H24/E24</ns0:f>
        <ns0:v/>
      </ns0:c>
      <ns0:c r="I25" s="8">
        <ns0:f>I24/E24</ns0:f>
        <ns0:v/>
      </ns0:c>
    </ns0:row>
  </ns0:sheetData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cols>
    <ns0:col width="8.380000000000001" customWidth="1" min="1" max="1"/>
  </ns0:cols>
  <ns0:sheetData>
    <ns0:row r="1" ht="16.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2026-05-12T08:10:46Z</dcterms:created>
  <dcterms:modified xsi:type="dcterms:W3CDTF">2026-05-12T08:14:14Z</dcterms:modified>
</cp:coreProperties>
</file>