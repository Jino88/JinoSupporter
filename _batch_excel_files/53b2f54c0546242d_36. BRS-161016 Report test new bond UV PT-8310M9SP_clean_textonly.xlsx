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R48"/>
  <ns0:sheetViews>
    <ns0:sheetView workbookViewId="0">
      <ns0:selection activeCell="A1" sqref="A1"/>
    </ns0:sheetView>
  </ns0:sheetViews>
  <ns0:sheetFormatPr baseColWidth="8" defaultRowHeight="15"/>
  <ns0:cols>
    <ns0:col width="7.5" customWidth="1" min="2" max="2"/>
    <ns0:col width="15" customWidth="1" min="3" max="3"/>
    <ns0:col width="11.63" customWidth="1" min="4" max="4"/>
    <ns0:col width="14.75" customWidth="1" min="5" max="5"/>
    <ns0:col width="16.38" customWidth="1" min="6" max="6"/>
    <ns0:col width="15.5" customWidth="1" min="7" max="7"/>
    <ns0:col width="15.5" customWidth="1" min="8" max="8"/>
    <ns0:col width="15.5" customWidth="1" min="9" max="9"/>
    <ns0:col width="15.5" customWidth="1" min="10" max="10"/>
    <ns0:col width="15.5" customWidth="1" min="11" max="11"/>
    <ns0:col width="15.5" customWidth="1" min="12" max="12"/>
    <ns0:col width="15.5" customWidth="1" min="13" max="13"/>
    <ns0:col width="15.5" customWidth="1" min="14" max="14"/>
    <ns0:col width="16.38" customWidth="1" min="15" max="15"/>
    <ns0:col width="16.38" customWidth="1" min="16" max="16"/>
    <ns0:col width="16" customWidth="1" min="17" max="17"/>
    <ns0:col width="13.75" customWidth="1" min="18" max="18"/>
  </ns0:cols>
  <ns0:sheetData>
    <ns0:row r="1" ht="19.5" customHeight="1"/>
    <ns0:row r="2" ht="27" customHeight="1">
      <ns0:c r="B2" s="1" t="inlineStr">
        <ns0:is>
          <ns0:t>TITLE</ns0:t>
        </ns0:is>
      </ns0:c>
      <ns0:c r="D2" s="1" t="inlineStr">
        <ns0:is>
          <ns0:t>REPORT TEST NEW BOND UV PT-8310M9SP
BRS-161016</ns0:t>
        </ns0:is>
      </ns0:c>
      <ns0:c r="Q2" s="1" t="inlineStr">
        <ns0:is>
          <ns0:t>Dept</ns0:t>
        </ns0:is>
      </ns0:c>
      <ns0:c r="R2" s="1" t="inlineStr">
        <ns0:is>
          <ns0:t>ME</ns0:t>
        </ns0:is>
      </ns0:c>
    </ns0:row>
    <ns0:row r="3" ht="27" customHeight="1">
      <ns0:c r="Q3" s="1" t="inlineStr">
        <ns0:is>
          <ns0:t>Date</ns0:t>
        </ns0:is>
      </ns0:c>
      <ns0:c r="R3" s="2" t="n">
        <ns0:v>45419</ns0:v>
      </ns0:c>
    </ns0:row>
    <ns0:row r="4" ht="27" customHeight="1">
      <ns0:c r="Q4" s="1" t="inlineStr">
        <ns0:is>
          <ns0:t>Maker</ns0:t>
        </ns0:is>
      </ns0:c>
      <ns0:c r="R4" s="1" t="inlineStr">
        <ns0:is>
          <ns0:t>Thuy</ns0:t>
        </ns0:is>
      </ns0:c>
    </ns0:row>
    <ns0:row r="5" ht="27" customHeight="1">
      <ns0:c r="B5" s="1" t="inlineStr">
        <ns0:is>
          <ns0:t>1. Purpose test</ns0:t>
        </ns0:is>
      </ns0:c>
    </ns0:row>
    <ns0:row r="6" ht="27" customHeight="1">
      <ns0:c r="B6" s="1" t="inlineStr">
        <ns0:is>
          <ns0:t xml:space="preserve"> - Test new Bond UV PT-8310M9SP can or can not use ( For use auto machine, now line is manual so don’t use bond UV)</ns0:t>
        </ns0:is>
      </ns0:c>
    </ns0:row>
    <ns0:row r="7" ht="27" customHeight="1"/>
    <ns0:row r="8" ht="27" customHeight="1"/>
    <ns0:row r="9" ht="27" customHeight="1"/>
    <ns0:row r="10" ht="27" customHeight="1"/>
    <ns0:row r="11" ht="27" customHeight="1"/>
    <ns0:row r="12" ht="27" customHeight="1"/>
    <ns0:row r="13" ht="27" customHeight="1"/>
    <ns0:row r="14" ht="27" customHeight="1"/>
    <ns0:row r="15" ht="27" customHeight="1"/>
    <ns0:row r="16" ht="27" customHeight="1">
      <ns0:c r="B16" s="1" t="inlineStr">
        <ns0:is>
          <ns0:t>2. Content of testing</ns0:t>
        </ns0:is>
      </ns0:c>
    </ns0:row>
    <ns0:row r="17" ht="27.75" customHeight="1">
      <ns0:c r="B17" s="1" t="inlineStr">
        <ns0:is>
          <ns0:t xml:space="preserve"> - Use new Bond make sample and checking</ns0:t>
        </ns0:is>
      </ns0:c>
    </ns0:row>
    <ns0:row r="18" ht="27.75" customHeight="1">
      <ns0:c r="B18" s="1" t="inlineStr">
        <ns0:is>
          <ns0:t xml:space="preserve"> ++ The 1st test: Tension test Frame+SP</ns0:t>
        </ns0:is>
      </ns0:c>
    </ns0:row>
    <ns0:row r="19" ht="27.75" customHeight="1">
      <ns0:c r="B19" s="1" t="inlineStr">
        <ns0:is>
          <ns0:t xml:space="preserve"> ++ The 2nd test: Make final and checking NG rate SUB 3, checking function and compare normal bond</ns0:t>
        </ns0:is>
      </ns0:c>
    </ns0:row>
    <ns0:row r="20" ht="26.25" customHeight="1">
      <ns0:c r="B20" s="1" t="inlineStr">
        <ns0:is>
          <ns0:t>3.Result test</ns0:t>
        </ns0:is>
      </ns0:c>
    </ns0:row>
    <ns0:row r="21" ht="27" customHeight="1">
      <ns0:c r="C21" s="1" t="inlineStr">
        <ns0:is>
          <ns0:t>1.RESULT TENSION TEST CMG ( SPEC 0.2kgf trở lên)</ns0:t>
        </ns0:is>
      </ns0:c>
    </ns0:row>
    <ns0:row r="22" ht="27" customHeight="1">
      <ns0:c r="C22" s="1" t="inlineStr">
        <ns0:is>
          <ns0:t>Date</ns0:t>
        </ns0:is>
      </ns0:c>
      <ns0:c r="D22" s="1" t="inlineStr">
        <ns0:is>
          <ns0:t>Type</ns0:t>
        </ns0:is>
      </ns0:c>
      <ns0:c r="G22" s="1" t="inlineStr">
        <ns0:is>
          <ns0:t>No.1</ns0:t>
        </ns0:is>
      </ns0:c>
      <ns0:c r="H22" s="1" t="inlineStr">
        <ns0:is>
          <ns0:t>No.2</ns0:t>
        </ns0:is>
      </ns0:c>
      <ns0:c r="I22" s="1" t="inlineStr">
        <ns0:is>
          <ns0:t>No.3</ns0:t>
        </ns0:is>
      </ns0:c>
      <ns0:c r="J22" s="1" t="inlineStr">
        <ns0:is>
          <ns0:t>No.4</ns0:t>
        </ns0:is>
      </ns0:c>
      <ns0:c r="K22" s="1" t="inlineStr">
        <ns0:is>
          <ns0:t>No.5</ns0:t>
        </ns0:is>
      </ns0:c>
      <ns0:c r="L22" s="1" t="inlineStr">
        <ns0:is>
          <ns0:t>No.6</ns0:t>
        </ns0:is>
      </ns0:c>
      <ns0:c r="M22" s="1" t="inlineStr">
        <ns0:is>
          <ns0:t>No.7</ns0:t>
        </ns0:is>
      </ns0:c>
      <ns0:c r="N22" s="1" t="inlineStr">
        <ns0:is>
          <ns0:t>No.8</ns0:t>
        </ns0:is>
      </ns0:c>
      <ns0:c r="O22" s="1" t="inlineStr">
        <ns0:is>
          <ns0:t>Max</ns0:t>
        </ns0:is>
      </ns0:c>
      <ns0:c r="P22" s="1" t="inlineStr">
        <ns0:is>
          <ns0:t>Min</ns0:t>
        </ns0:is>
      </ns0:c>
      <ns0:c r="Q22" s="1" t="inlineStr">
        <ns0:is>
          <ns0:t>Avg</ns0:t>
        </ns0:is>
      </ns0:c>
    </ns0:row>
    <ns0:row r="23" ht="27" customHeight="1">
      <ns0:c r="C23" s="2" t="n">
        <ns0:v>45418</ns0:v>
      </ns0:c>
      <ns0:c r="D23" s="1" t="inlineStr">
        <ns0:is>
          <ns0:t>Test new bond UV PT-8310M9SP</ns0:t>
        </ns0:is>
      </ns0:c>
      <ns0:c r="F23" s="1" t="inlineStr">
        <ns0:is>
          <ns0:t>Suspension C</ns0:t>
        </ns0:is>
      </ns0:c>
      <ns0:c r="G23" s="1" t="n">
        <ns0:v>0.505</ns0:v>
      </ns0:c>
      <ns0:c r="H23" s="1" t="n">
        <ns0:v>0.5610000000000001</ns0:v>
      </ns0:c>
      <ns0:c r="I23" s="1" t="n">
        <ns0:v>0.548</ns0:v>
      </ns0:c>
      <ns0:c r="J23" s="1" t="n">
        <ns0:v>0.44</ns0:v>
      </ns0:c>
      <ns0:c r="K23" s="1" t="n">
        <ns0:v>0.5669999999999999</ns0:v>
      </ns0:c>
      <ns0:c r="L23" s="1" t="n">
        <ns0:v>0.591</ns0:v>
      </ns0:c>
      <ns0:c r="M23" s="1" t="n">
        <ns0:v>0.639</ns0:v>
      </ns0:c>
      <ns0:c r="N23" s="1" t="n">
        <ns0:v>0.428</ns0:v>
      </ns0:c>
      <ns0:c r="O23" s="1">
        <ns0:f>MAX(G23:N23)</ns0:f>
        <ns0:v/>
      </ns0:c>
      <ns0:c r="P23" s="1">
        <ns0:f>MIN(G23:N23)</ns0:f>
        <ns0:v/>
      </ns0:c>
      <ns0:c r="Q23" s="1">
        <ns0:f>AVERAGE(G23:N23)</ns0:f>
        <ns0:v/>
      </ns0:c>
    </ns0:row>
    <ns0:row r="24" ht="27" customHeight="1">
      <ns0:c r="F24" s="1" t="inlineStr">
        <ns0:is>
          <ns0:t>SuspensionD</ns0:t>
        </ns0:is>
      </ns0:c>
      <ns0:c r="G24" s="1" t="n">
        <ns0:v>0.5629999999999999</ns0:v>
      </ns0:c>
      <ns0:c r="H24" s="1" t="n">
        <ns0:v>0.37</ns0:v>
      </ns0:c>
      <ns0:c r="I24" s="1" t="n">
        <ns0:v>0.495</ns0:v>
      </ns0:c>
      <ns0:c r="J24" s="1" t="n">
        <ns0:v>0.467</ns0:v>
      </ns0:c>
      <ns0:c r="K24" s="1" t="n">
        <ns0:v>0.678</ns0:v>
      </ns0:c>
      <ns0:c r="L24" s="1" t="n">
        <ns0:v>0.572</ns0:v>
      </ns0:c>
      <ns0:c r="M24" s="1" t="n">
        <ns0:v>0.586</ns0:v>
      </ns0:c>
      <ns0:c r="N24" s="1" t="n">
        <ns0:v>0.405</ns0:v>
      </ns0:c>
      <ns0:c r="O24" s="1">
        <ns0:f>MAX(G24:N24)</ns0:f>
        <ns0:v/>
      </ns0:c>
      <ns0:c r="P24" s="1">
        <ns0:f>MIN(G24:N24)</ns0:f>
        <ns0:v/>
      </ns0:c>
      <ns0:c r="Q24" s="1">
        <ns0:f>AVERAGE(G24:N24)</ns0:f>
        <ns0:v/>
      </ns0:c>
    </ns0:row>
    <ns0:row r="25" ht="27" customHeight="1">
      <ns0:c r="D25" s="1" t="inlineStr">
        <ns0:is>
          <ns0:t>Normal bond 
PT-8310M9S</ns0:t>
        </ns0:is>
      </ns0:c>
      <ns0:c r="F25" s="1" t="inlineStr">
        <ns0:is>
          <ns0:t>Suspension C</ns0:t>
        </ns0:is>
      </ns0:c>
      <ns0:c r="G25" s="1" t="n">
        <ns0:v>0.644</ns0:v>
      </ns0:c>
      <ns0:c r="H25" s="1" t="n">
        <ns0:v>0.46</ns0:v>
      </ns0:c>
      <ns0:c r="I25" s="1" t="n">
        <ns0:v>0.5629999999999999</ns0:v>
      </ns0:c>
      <ns0:c r="J25" s="1" t="n">
        <ns0:v>0.421</ns0:v>
      </ns0:c>
      <ns0:c r="K25" s="1" t="n">
        <ns0:v>0.516</ns0:v>
      </ns0:c>
      <ns0:c r="O25" s="1">
        <ns0:f>MAX(G25:N25)</ns0:f>
        <ns0:v/>
      </ns0:c>
      <ns0:c r="P25" s="1">
        <ns0:f>MIN(G25:N25)</ns0:f>
        <ns0:v/>
      </ns0:c>
      <ns0:c r="Q25" s="1">
        <ns0:f>AVERAGE(G25:K25)</ns0:f>
        <ns0:v/>
      </ns0:c>
    </ns0:row>
    <ns0:row r="26" ht="27" customHeight="1">
      <ns0:c r="F26" s="1" t="inlineStr">
        <ns0:is>
          <ns0:t>SuspensionD</ns0:t>
        </ns0:is>
      </ns0:c>
      <ns0:c r="G26" s="1" t="n">
        <ns0:v>0.543</ns0:v>
      </ns0:c>
      <ns0:c r="H26" s="1" t="n">
        <ns0:v>0.463</ns0:v>
      </ns0:c>
      <ns0:c r="I26" s="1" t="n">
        <ns0:v>0.431</ns0:v>
      </ns0:c>
      <ns0:c r="J26" s="1" t="n">
        <ns0:v>0.507</ns0:v>
      </ns0:c>
      <ns0:c r="K26" s="1" t="n">
        <ns0:v>0.356</ns0:v>
      </ns0:c>
      <ns0:c r="O26" s="1">
        <ns0:f>MAX(G26:N26)</ns0:f>
        <ns0:v/>
      </ns0:c>
      <ns0:c r="P26" s="1">
        <ns0:f>MIN(G26:N26)</ns0:f>
        <ns0:v/>
      </ns0:c>
      <ns0:c r="Q26" s="1">
        <ns0:f>AVERAGE(G26:K26)</ns0:f>
        <ns0:v/>
      </ns0:c>
    </ns0:row>
    <ns0:row r="27" ht="27" customHeight="1">
      <ns0:c r="C27" s="2" t="n">
        <ns0:v>45419</ns0:v>
      </ns0:c>
      <ns0:c r="D27" s="1" t="inlineStr">
        <ns0:is>
          <ns0:t>Test new bond UV PT-8310M9SP</ns0:t>
        </ns0:is>
      </ns0:c>
      <ns0:c r="F27" s="1" t="inlineStr">
        <ns0:is>
          <ns0:t>Suspension C</ns0:t>
        </ns0:is>
      </ns0:c>
      <ns0:c r="G27" s="1" t="n">
        <ns0:v>0.492</ns0:v>
      </ns0:c>
      <ns0:c r="H27" s="1" t="n">
        <ns0:v>0.43</ns0:v>
      </ns0:c>
      <ns0:c r="I27" s="1" t="n">
        <ns0:v>0.371</ns0:v>
      </ns0:c>
      <ns0:c r="J27" s="1" t="n">
        <ns0:v>0.417</ns0:v>
      </ns0:c>
      <ns0:c r="K27" s="1" t="n">
        <ns0:v>0.271</ns0:v>
      </ns0:c>
      <ns0:c r="L27" s="1" t="n">
        <ns0:v>0.471</ns0:v>
      </ns0:c>
      <ns0:c r="M27" s="1" t="n">
        <ns0:v>0.451</ns0:v>
      </ns0:c>
      <ns0:c r="N27" s="1" t="n">
        <ns0:v>0.321</ns0:v>
      </ns0:c>
      <ns0:c r="O27" s="1">
        <ns0:f>MAX(G27:N27)</ns0:f>
        <ns0:v/>
      </ns0:c>
      <ns0:c r="P27" s="1">
        <ns0:f>MIN(G27:N27)</ns0:f>
        <ns0:v/>
      </ns0:c>
      <ns0:c r="Q27" s="1">
        <ns0:f>AVERAGE(G27:N27)</ns0:f>
        <ns0:v/>
      </ns0:c>
    </ns0:row>
    <ns0:row r="28" ht="27" customHeight="1">
      <ns0:c r="F28" s="1" t="inlineStr">
        <ns0:is>
          <ns0:t>SuspensionD</ns0:t>
        </ns0:is>
      </ns0:c>
      <ns0:c r="G28" s="1" t="n">
        <ns0:v>0.442</ns0:v>
      </ns0:c>
      <ns0:c r="H28" s="1" t="n">
        <ns0:v>0.352</ns0:v>
      </ns0:c>
      <ns0:c r="I28" s="1" t="n">
        <ns0:v>0.38</ns0:v>
      </ns0:c>
      <ns0:c r="J28" s="1" t="n">
        <ns0:v>0.372</ns0:v>
      </ns0:c>
      <ns0:c r="K28" s="1" t="n">
        <ns0:v>0.392</ns0:v>
      </ns0:c>
      <ns0:c r="L28" s="1" t="n">
        <ns0:v>0.32</ns0:v>
      </ns0:c>
      <ns0:c r="M28" s="1" t="n">
        <ns0:v>0.498</ns0:v>
      </ns0:c>
      <ns0:c r="N28" s="1" t="n">
        <ns0:v>0.367</ns0:v>
      </ns0:c>
      <ns0:c r="O28" s="1">
        <ns0:f>MAX(G28:N28)</ns0:f>
        <ns0:v/>
      </ns0:c>
      <ns0:c r="P28" s="1">
        <ns0:f>MIN(G28:N28)</ns0:f>
        <ns0:v/>
      </ns0:c>
      <ns0:c r="Q28" s="1">
        <ns0:f>AVERAGE(G28:N28)</ns0:f>
        <ns0:v/>
      </ns0:c>
    </ns0:row>
    <ns0:row r="29" ht="27" customHeight="1">
      <ns0:c r="D29" s="1" t="inlineStr">
        <ns0:is>
          <ns0:t>Normal bond 
PT-8310M9S</ns0:t>
        </ns0:is>
      </ns0:c>
      <ns0:c r="F29" s="1" t="inlineStr">
        <ns0:is>
          <ns0:t>Suspension C</ns0:t>
        </ns0:is>
      </ns0:c>
      <ns0:c r="G29" s="1" t="n">
        <ns0:v>0.213</ns0:v>
      </ns0:c>
      <ns0:c r="H29" s="1" t="n">
        <ns0:v>0.398</ns0:v>
      </ns0:c>
      <ns0:c r="I29" s="1" t="n">
        <ns0:v>0.447</ns0:v>
      </ns0:c>
      <ns0:c r="J29" s="1" t="n">
        <ns0:v>0.407</ns0:v>
      </ns0:c>
      <ns0:c r="K29" s="1" t="n">
        <ns0:v>0.432</ns0:v>
      </ns0:c>
      <ns0:c r="O29" s="1">
        <ns0:f>MAX(G29:N29)</ns0:f>
        <ns0:v/>
      </ns0:c>
      <ns0:c r="P29" s="1">
        <ns0:f>MIN(G29:N29)</ns0:f>
        <ns0:v/>
      </ns0:c>
      <ns0:c r="Q29" s="1">
        <ns0:f>AVERAGE(G29:K29)</ns0:f>
        <ns0:v/>
      </ns0:c>
    </ns0:row>
    <ns0:row r="30" ht="27" customHeight="1">
      <ns0:c r="F30" s="1" t="inlineStr">
        <ns0:is>
          <ns0:t>SuspensionD</ns0:t>
        </ns0:is>
      </ns0:c>
      <ns0:c r="G30" s="1" t="n">
        <ns0:v>0.324</ns0:v>
      </ns0:c>
      <ns0:c r="H30" s="1" t="n">
        <ns0:v>0.422</ns0:v>
      </ns0:c>
      <ns0:c r="I30" s="1" t="n">
        <ns0:v>0.411</ns0:v>
      </ns0:c>
      <ns0:c r="J30" s="1" t="n">
        <ns0:v>0.423</ns0:v>
      </ns0:c>
      <ns0:c r="K30" s="1" t="n">
        <ns0:v>0.375</ns0:v>
      </ns0:c>
      <ns0:c r="O30" s="1">
        <ns0:f>MAX(G30:N30)</ns0:f>
        <ns0:v/>
      </ns0:c>
      <ns0:c r="P30" s="1">
        <ns0:f>MIN(G30:N30)</ns0:f>
        <ns0:v/>
      </ns0:c>
      <ns0:c r="Q30" s="1">
        <ns0:f>AVERAGE(G30:K30)</ns0:f>
        <ns0:v/>
      </ns0:c>
    </ns0:row>
    <ns0:row r="31" ht="27" customHeight="1">
      <ns0:c r="C31" s="1" t="inlineStr">
        <ns0:is>
          <ns0:t>2.RESULT CHECKING AT SUB 3</ns0:t>
        </ns0:is>
      </ns0:c>
    </ns0:row>
    <ns0:row r="32" ht="40.5" customHeight="1">
      <ns0:c r="C32" s="1" t="inlineStr">
        <ns0:is>
          <ns0:t>Date</ns0:t>
        </ns0:is>
      </ns0:c>
      <ns0:c r="D32" s="1" t="inlineStr">
        <ns0:is>
          <ns0:t>Type</ns0:t>
        </ns0:is>
      </ns0:c>
      <ns0:c r="G32" s="1" t="inlineStr">
        <ns0:is>
          <ns0:t>Input</ns0:t>
        </ns0:is>
      </ns0:c>
      <ns0:c r="H32" s="1" t="inlineStr">
        <ns0:is>
          <ns0:t>OK</ns0:t>
        </ns0:is>
      </ns0:c>
      <ns0:c r="I32" s="1" t="inlineStr">
        <ns0:is>
          <ns0:t>NG SP damage</ns0:t>
        </ns0:is>
      </ns0:c>
      <ns0:c r="J32" s="1" t="inlineStr">
        <ns0:is>
          <ns0:t>NG ass'y offset</ns0:t>
        </ns0:is>
      </ns0:c>
      <ns0:c r="K32" s="1" t="inlineStr">
        <ns0:is>
          <ns0:t>Total NG</ns0:t>
        </ns0:is>
      </ns0:c>
      <ns0:c r="L32" s="1" t="inlineStr">
        <ns0:is>
          <ns0:t>NG rate</ns0:t>
        </ns0:is>
      </ns0:c>
    </ns0:row>
    <ns0:row r="33" ht="27" customHeight="1">
      <ns0:c r="C33" s="2" t="n">
        <ns0:v>45419</ns0:v>
      </ns0:c>
      <ns0:c r="D33" s="1" t="inlineStr">
        <ns0:is>
          <ns0:t>Test new bond UV PT-8310M9SP</ns0:t>
        </ns0:is>
      </ns0:c>
      <ns0:c r="G33" s="1" t="n">
        <ns0:v>264</ns0:v>
      </ns0:c>
      <ns0:c r="H33" s="1">
        <ns0:f>G33-K33</ns0:f>
        <ns0:v/>
      </ns0:c>
      <ns0:c r="I33" s="1" t="n">
        <ns0:v>1</ns0:v>
      </ns0:c>
      <ns0:c r="J33" s="1" t="n">
        <ns0:v>0</ns0:v>
      </ns0:c>
      <ns0:c r="K33" s="1">
        <ns0:f>SUM(I33:J33)</ns0:f>
        <ns0:v/>
      </ns0:c>
      <ns0:c r="L33" s="1">
        <ns0:f>K33/G33</ns0:f>
        <ns0:v/>
      </ns0:c>
    </ns0:row>
    <ns0:row r="34" ht="27" customHeight="1">
      <ns0:c r="D34" s="1" t="inlineStr">
        <ns0:is>
          <ns0:t>Normal bond 
PT-8310M9S</ns0:t>
        </ns0:is>
      </ns0:c>
      <ns0:c r="G34" s="1" t="n">
        <ns0:v>300</ns0:v>
      </ns0:c>
      <ns0:c r="H34" s="1">
        <ns0:f>G34-K34</ns0:f>
        <ns0:v/>
      </ns0:c>
      <ns0:c r="I34" s="1" t="n">
        <ns0:v>0</ns0:v>
      </ns0:c>
      <ns0:c r="J34" s="1" t="n">
        <ns0:v>1</ns0:v>
      </ns0:c>
      <ns0:c r="K34" s="1">
        <ns0:f>SUM(I34:J34)</ns0:f>
        <ns0:v/>
      </ns0:c>
      <ns0:c r="L34" s="1">
        <ns0:f>K34/G34</ns0:f>
        <ns0:v/>
      </ns0:c>
    </ns0:row>
    <ns0:row r="35" ht="27" customHeight="1">
      <ns0:c r="C35" s="1" t="inlineStr">
        <ns0:is>
          <ns0:t>3.RESULT CHECKING FUNCTION</ns0:t>
        </ns0:is>
      </ns0:c>
    </ns0:row>
    <ns0:row r="36" ht="27" customHeight="1">
      <ns0:c r="C36" s="1" t="inlineStr">
        <ns0:is>
          <ns0:t>Date</ns0:t>
        </ns0:is>
      </ns0:c>
      <ns0:c r="D36" s="1" t="inlineStr">
        <ns0:is>
          <ns0:t xml:space="preserve">Line </ns0:t>
        </ns0:is>
      </ns0:c>
      <ns0:c r="E36" s="1" t="inlineStr">
        <ns0:is>
          <ns0:t>Type</ns0:t>
        </ns0:is>
      </ns0:c>
      <ns0:c r="F36" s="1" t="inlineStr">
        <ns0:is>
          <ns0:t xml:space="preserve">Input </ns0:t>
        </ns0:is>
      </ns0:c>
      <ns0:c r="G36" s="1" t="inlineStr">
        <ns0:is>
          <ns0:t xml:space="preserve">OK  </ns0:t>
        </ns0:is>
      </ns0:c>
      <ns0:c r="H36" s="1" t="inlineStr">
        <ns0:is>
          <ns0:t xml:space="preserve">NG Sigma </ns0:t>
        </ns0:is>
      </ns0:c>
      <ns0:c r="L36" s="1" t="inlineStr">
        <ns0:is>
          <ns0:t xml:space="preserve">Ng Hearing </ns0:t>
        </ns0:is>
      </ns0:c>
      <ns0:c r="N36" s="1" t="inlineStr">
        <ns0:is>
          <ns0:t>Total NG</ns0:t>
        </ns0:is>
      </ns0:c>
      <ns0:c r="O36" s="1" t="inlineStr">
        <ns0:is>
          <ns0:t>Total NG rate</ns0:t>
        </ns0:is>
      </ns0:c>
    </ns0:row>
    <ns0:row r="37" ht="27" customHeight="1">
      <ns0:c r="H37" s="1" t="inlineStr">
        <ns0:is>
          <ns0:t xml:space="preserve">SPL </ns0:t>
        </ns0:is>
      </ns0:c>
      <ns0:c r="I37" s="1" t="inlineStr">
        <ns0:is>
          <ns0:t xml:space="preserve">THD </ns0:t>
        </ns0:is>
      </ns0:c>
      <ns0:c r="J37" s="1" t="inlineStr">
        <ns0:is>
          <ns0:t xml:space="preserve">SPL+THD </ns0:t>
        </ns0:is>
      </ns0:c>
      <ns0:c r="K37" s="1" t="inlineStr">
        <ns0:is>
          <ns0:t>SPL+THD+F0</ns0:t>
        </ns0:is>
      </ns0:c>
      <ns0:c r="L37" s="1" t="inlineStr">
        <ns0:is>
          <ns0:t xml:space="preserve">Noise </ns0:t>
        </ns0:is>
      </ns0:c>
      <ns0:c r="M37" s="1" t="inlineStr">
        <ns0:is>
          <ns0:t xml:space="preserve">Touch </ns0:t>
        </ns0:is>
      </ns0:c>
    </ns0:row>
    <ns0:row r="38" ht="27" customHeight="1">
      <ns0:c r="C38" s="2" t="n">
        <ns0:v>45420</ns0:v>
      </ns0:c>
      <ns0:c r="D38" s="1" t="inlineStr">
        <ns0:is>
          <ns0:t>E2-3B</ns0:t>
        </ns0:is>
      </ns0:c>
      <ns0:c r="E38" s="1" t="inlineStr">
        <ns0:is>
          <ns0:t>Test new Bond</ns0:t>
        </ns0:is>
      </ns0:c>
      <ns0:c r="F38" s="1" t="n">
        <ns0:v>242</ns0:v>
      </ns0:c>
      <ns0:c r="G38" s="1">
        <ns0:f>F38-N38</ns0:f>
        <ns0:v/>
      </ns0:c>
      <ns0:c r="H38" s="1" t="n">
        <ns0:v>0</ns0:v>
      </ns0:c>
      <ns0:c r="I38" s="1" t="n">
        <ns0:v>0</ns0:v>
      </ns0:c>
      <ns0:c r="J38" s="1" t="n">
        <ns0:v>0</ns0:v>
      </ns0:c>
      <ns0:c r="K38" s="1" t="n">
        <ns0:v>0</ns0:v>
      </ns0:c>
      <ns0:c r="L38" s="1" t="n">
        <ns0:v>10</ns0:v>
      </ns0:c>
      <ns0:c r="M38" s="1" t="n">
        <ns0:v>0</ns0:v>
      </ns0:c>
      <ns0:c r="N38" s="1">
        <ns0:f>SUM(H38:M38)</ns0:f>
        <ns0:v/>
      </ns0:c>
      <ns0:c r="O38" s="1">
        <ns0:f>N38/F38</ns0:f>
        <ns0:v/>
      </ns0:c>
    </ns0:row>
    <ns0:row r="39" ht="27" customHeight="1">
      <ns0:c r="H39" s="1">
        <ns0:f>H38/F38</ns0:f>
        <ns0:v/>
      </ns0:c>
      <ns0:c r="I39" s="1">
        <ns0:f>I38/F38</ns0:f>
        <ns0:v/>
      </ns0:c>
      <ns0:c r="J39" s="1">
        <ns0:f>J38/F38</ns0:f>
        <ns0:v/>
      </ns0:c>
      <ns0:c r="K39" s="1">
        <ns0:f>K38/F38</ns0:f>
        <ns0:v/>
      </ns0:c>
      <ns0:c r="L39" s="1">
        <ns0:f>L38/F38</ns0:f>
        <ns0:v/>
      </ns0:c>
      <ns0:c r="M39" s="1">
        <ns0:f>M38/F38</ns0:f>
        <ns0:v/>
      </ns0:c>
    </ns0:row>
    <ns0:row r="40" ht="27" customHeight="1">
      <ns0:c r="E40" s="1" t="inlineStr">
        <ns0:is>
          <ns0:t>Normal Bond</ns0:t>
        </ns0:is>
      </ns0:c>
      <ns0:c r="F40" s="1" t="n">
        <ns0:v>415</ns0:v>
      </ns0:c>
      <ns0:c r="G40" s="1">
        <ns0:f>F40-N40</ns0:f>
        <ns0:v/>
      </ns0:c>
      <ns0:c r="H40" s="1" t="n">
        <ns0:v>0</ns0:v>
      </ns0:c>
      <ns0:c r="I40" s="1" t="n">
        <ns0:v>1</ns0:v>
      </ns0:c>
      <ns0:c r="J40" s="1" t="n">
        <ns0:v>0</ns0:v>
      </ns0:c>
      <ns0:c r="K40" s="1" t="n">
        <ns0:v>0</ns0:v>
      </ns0:c>
      <ns0:c r="L40" s="1" t="n">
        <ns0:v>13</ns0:v>
      </ns0:c>
      <ns0:c r="M40" s="1" t="n">
        <ns0:v>0</ns0:v>
      </ns0:c>
      <ns0:c r="N40" s="1">
        <ns0:f>SUM(H40:M40)</ns0:f>
        <ns0:v/>
      </ns0:c>
      <ns0:c r="O40" s="1">
        <ns0:f>N40/F40</ns0:f>
        <ns0:v/>
      </ns0:c>
    </ns0:row>
    <ns0:row r="41" ht="27" customHeight="1">
      <ns0:c r="H41" s="1">
        <ns0:f>H40/F40</ns0:f>
        <ns0:v/>
      </ns0:c>
      <ns0:c r="I41" s="1">
        <ns0:f>I40/F40</ns0:f>
        <ns0:v/>
      </ns0:c>
      <ns0:c r="J41" s="1">
        <ns0:f>J40/F40</ns0:f>
        <ns0:v/>
      </ns0:c>
      <ns0:c r="K41" s="1">
        <ns0:f>K40/F40</ns0:f>
        <ns0:v/>
      </ns0:c>
      <ns0:c r="L41" s="1">
        <ns0:f>L40/F40</ns0:f>
        <ns0:v/>
      </ns0:c>
      <ns0:c r="M41" s="1">
        <ns0:f>M40/F40</ns0:f>
        <ns0:v/>
      </ns0:c>
    </ns0:row>
    <ns0:row r="42" ht="27" customHeight="1">
      <ns0:c r="C42" s="1" t="inlineStr">
        <ns0:is>
          <ns0:t>4.RESULT CHECKING VISUAL FINAL SPK</ns0:t>
        </ns0:is>
      </ns0:c>
    </ns0:row>
    <ns0:row r="43" ht="41.25" customHeight="1">
      <ns0:c r="C43" s="1" t="inlineStr">
        <ns0:is>
          <ns0:t>Date</ns0:t>
        </ns0:is>
      </ns0:c>
      <ns0:c r="D43" s="1" t="inlineStr">
        <ns0:is>
          <ns0:t>Type</ns0:t>
        </ns0:is>
      </ns0:c>
      <ns0:c r="G43" s="1" t="inlineStr">
        <ns0:is>
          <ns0:t>Input</ns0:t>
        </ns0:is>
      </ns0:c>
      <ns0:c r="H43" s="1" t="inlineStr">
        <ns0:is>
          <ns0:t>OK</ns0:t>
        </ns0:is>
      </ns0:c>
      <ns0:c r="I43" s="1" t="inlineStr">
        <ns0:is>
          <ns0:t>NG SP separate</ns0:t>
        </ns0:is>
      </ns0:c>
      <ns0:c r="J43" s="1" t="inlineStr">
        <ns0:is>
          <ns0:t>NG rate</ns0:t>
        </ns0:is>
      </ns0:c>
    </ns0:row>
    <ns0:row r="44" ht="27" customHeight="1">
      <ns0:c r="C44" s="2" t="n">
        <ns0:v>45420</ns0:v>
      </ns0:c>
      <ns0:c r="D44" s="1" t="inlineStr">
        <ns0:is>
          <ns0:t>Test new bond UV PT-8310M9SP</ns0:t>
        </ns0:is>
      </ns0:c>
      <ns0:c r="G44" s="1" t="n">
        <ns0:v>232</ns0:v>
      </ns0:c>
      <ns0:c r="H44" s="1">
        <ns0:f>G44-K44</ns0:f>
        <ns0:v/>
      </ns0:c>
      <ns0:c r="I44" s="1" t="n">
        <ns0:v>0</ns0:v>
      </ns0:c>
      <ns0:c r="J44" s="1">
        <ns0:f>I44/G44</ns0:f>
        <ns0:v/>
      </ns0:c>
    </ns0:row>
    <ns0:row r="45" ht="27" customHeight="1">
      <ns0:c r="D45" s="1" t="inlineStr">
        <ns0:is>
          <ns0:t>Normal bond 
PT-8310M9S</ns0:t>
        </ns0:is>
      </ns0:c>
      <ns0:c r="G45" s="1" t="n">
        <ns0:v>300</ns0:v>
      </ns0:c>
      <ns0:c r="H45" s="1">
        <ns0:f>G45-K45</ns0:f>
        <ns0:v/>
      </ns0:c>
      <ns0:c r="I45" s="1" t="n">
        <ns0:v>0</ns0:v>
      </ns0:c>
      <ns0:c r="J45" s="1">
        <ns0:f>I45/G45</ns0:f>
        <ns0:v/>
      </ns0:c>
    </ns0:row>
    <ns0:row r="46" ht="27" customHeight="1"/>
    <ns0:row r="47" ht="27" customHeight="1">
      <ns0:c r="B47" s="1" t="inlineStr">
        <ns0:is>
          <ns0:t>4. Decide</ns0:t>
        </ns0:is>
      </ns0:c>
    </ns0:row>
    <ns0:row r="48" ht="27" customHeight="1">
      <ns0:c r="B48" s="1" t="inlineStr">
        <ns0:is>
          <ns0:t xml:space="preserve"> =&gt; Can use new glue</ns0:t>
        </ns0:is>
      </ns0:c>
    </ns0:row>
    <ns0:row r="49" ht="27" customHeight="1"/>
    <ns0:row r="50" ht="27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2026-05-13T00:33:24Z</dcterms:created>
  <dcterms:modified xsi:type="dcterms:W3CDTF">2026-05-13T00:33:28Z</dcterms:modified>
</cp:coreProperties>
</file>