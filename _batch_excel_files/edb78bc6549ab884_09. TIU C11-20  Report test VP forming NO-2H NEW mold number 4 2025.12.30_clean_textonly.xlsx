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Times New Roman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X53"/>
  <ns0:sheetViews>
    <ns0:sheetView workbookViewId="0">
      <ns0:selection activeCell="A1" sqref="A1"/>
    </ns0:sheetView>
  </ns0:sheetViews>
  <ns0:sheetFormatPr baseColWidth="8" defaultRowHeight="15"/>
  <ns0:cols>
    <ns0:col width="7.13" customWidth="1" min="1" max="1"/>
    <ns0:col width="16" customWidth="1" min="2" max="2"/>
    <ns0:col width="16" customWidth="1" min="3" max="3"/>
    <ns0:col width="16" customWidth="1" min="4" max="4"/>
    <ns0:col width="17.63" customWidth="1" min="5" max="5"/>
    <ns0:col width="17.63" customWidth="1" min="6" max="6"/>
    <ns0:col width="17.63" customWidth="1" min="7" max="7"/>
    <ns0:col width="16.75" customWidth="1" min="8" max="8"/>
    <ns0:col width="16.75" customWidth="1" min="9" max="9"/>
    <ns0:col width="16.75" customWidth="1" min="10" max="10"/>
    <ns0:col width="16.75" customWidth="1" min="11" max="11"/>
    <ns0:col width="16.75" customWidth="1" min="12" max="12"/>
    <ns0:col width="16.75" customWidth="1" min="13" max="13"/>
    <ns0:col width="16.75" customWidth="1" min="14" max="14"/>
    <ns0:col width="16.75" customWidth="1" min="15" max="15"/>
    <ns0:col width="16.75" customWidth="1" min="16" max="16"/>
    <ns0:col width="16.75" customWidth="1" min="17" max="17"/>
    <ns0:col width="14.63" customWidth="1" min="18" max="18"/>
    <ns0:col width="14.63" customWidth="1" min="19" max="19"/>
    <ns0:col width="14.63" customWidth="1" min="20" max="20"/>
    <ns0:col width="14.63" customWidth="1" min="21" max="21"/>
    <ns0:col width="14.63" customWidth="1" min="22" max="22"/>
    <ns0:col width="14.63" customWidth="1" min="23" max="23"/>
    <ns0:col width="14.63" customWidth="1" min="24" max="24"/>
    <ns0:col width="8.630000000000001" customWidth="1" min="25" max="25"/>
    <ns0:col width="8.630000000000001" customWidth="1" min="26" max="26"/>
    <ns0:col width="8.630000000000001" customWidth="1" min="27" max="27"/>
    <ns0:col width="8.630000000000001" customWidth="1" min="28" max="28"/>
    <ns0:col width="8.630000000000001" customWidth="1" min="29" max="29"/>
    <ns0:col width="8.630000000000001" customWidth="1" min="30" max="30"/>
    <ns0:col width="8.630000000000001" customWidth="1" min="31" max="31"/>
    <ns0:col width="8.630000000000001" customWidth="1" min="32" max="32"/>
    <ns0:col width="8.630000000000001" customWidth="1" min="33" max="33"/>
    <ns0:col width="8.630000000000001" customWidth="1" min="34" max="34"/>
    <ns0:col width="8.630000000000001" customWidth="1" min="35" max="35"/>
    <ns0:col width="8.630000000000001" customWidth="1" min="36" max="36"/>
    <ns0:col width="8.630000000000001" customWidth="1" min="37" max="37"/>
    <ns0:col width="8.630000000000001" customWidth="1" min="38" max="38"/>
    <ns0:col width="8.630000000000001" customWidth="1" min="39" max="39"/>
    <ns0:col width="8.630000000000001" customWidth="1" min="40" max="40"/>
    <ns0:col width="8.630000000000001" customWidth="1" min="41" max="41"/>
    <ns0:col width="8.630000000000001" customWidth="1" min="42" max="42"/>
    <ns0:col width="8.630000000000001" customWidth="1" min="43" max="43"/>
    <ns0:col width="8.630000000000001" customWidth="1" min="44" max="44"/>
    <ns0:col width="8.630000000000001" customWidth="1" min="45" max="45"/>
    <ns0:col width="8.630000000000001" customWidth="1" min="46" max="46"/>
    <ns0:col width="8.630000000000001" customWidth="1" min="47" max="47"/>
    <ns0:col width="8.630000000000001" customWidth="1" min="48" max="48"/>
    <ns0:col width="8.630000000000001" customWidth="1" min="49" max="49"/>
    <ns0:col width="8.630000000000001" customWidth="1" min="50" max="50"/>
    <ns0:col width="8.630000000000001" customWidth="1" min="51" max="51"/>
    <ns0:col width="8.630000000000001" customWidth="1" min="52" max="52"/>
    <ns0:col width="8.630000000000001" customWidth="1" min="53" max="53"/>
    <ns0:col width="8.630000000000001" customWidth="1" min="54" max="54"/>
    <ns0:col width="8.630000000000001" customWidth="1" min="55" max="55"/>
    <ns0:col width="8.630000000000001" customWidth="1" min="56" max="56"/>
    <ns0:col width="8.630000000000001" customWidth="1" min="57" max="57"/>
    <ns0:col width="8.630000000000001" customWidth="1" min="58" max="58"/>
    <ns0:col width="8.630000000000001" customWidth="1" min="59" max="59"/>
    <ns0:col width="8.630000000000001" customWidth="1" min="60" max="60"/>
    <ns0:col width="8.630000000000001" customWidth="1" min="61" max="61"/>
    <ns0:col width="8.630000000000001" customWidth="1" min="62" max="62"/>
  </ns0:cols>
  <ns0:sheetData>
    <ns0:row r="1" ht="37.5" customHeight="1"/>
    <ns0:row r="2" ht="33" customHeight="1">
      <ns0:c r="B2" s="1" t="inlineStr">
        <ns0:is>
          <ns0:t>TITLE</ns0:t>
        </ns0:is>
      </ns0:c>
      <ns0:c r="D2" s="1" t="inlineStr">
        <ns0:is>
          <ns0:t>REPORT TEST VP FORMING NO8-2H NEW MOLD NUMBER 4 TIU-C11-20</ns0:t>
        </ns0:is>
      </ns0:c>
      <ns0:c r="W2" s="1" t="inlineStr">
        <ns0:is>
          <ns0:t>Dept</ns0:t>
        </ns0:is>
      </ns0:c>
      <ns0:c r="X2" s="1" t="inlineStr">
        <ns0:is>
          <ns0:t>ME</ns0:t>
        </ns0:is>
      </ns0:c>
    </ns0:row>
    <ns0:row r="3" ht="33" customHeight="1">
      <ns0:c r="W3" s="1" t="inlineStr">
        <ns0:is>
          <ns0:t>Date</ns0:t>
        </ns0:is>
      </ns0:c>
      <ns0:c r="X3" s="2" t="n">
        <ns0:v>46021</ns0:v>
      </ns0:c>
    </ns0:row>
    <ns0:row r="4" ht="33" customHeight="1">
      <ns0:c r="W4" s="1" t="inlineStr">
        <ns0:is>
          <ns0:t>Marker</ns0:t>
        </ns0:is>
      </ns0:c>
      <ns0:c r="X4" s="1" t="inlineStr">
        <ns0:is>
          <ns0:t>Thao</ns0:t>
        </ns0:is>
      </ns0:c>
    </ns0:row>
    <ns0:row r="5" ht="33" customHeight="1">
      <ns0:c r="B5" s="1" t="inlineStr">
        <ns0:is>
          <ns0:t>I. Purpose.</ns0:t>
        </ns0:is>
      </ns0:c>
    </ns0:row>
    <ns0:row r="6" ht="33" customHeight="1">
      <ns0:c r="B6" s="1" t="inlineStr">
        <ns0:is>
          <ns0:t xml:space="preserve"> - Test VP OK or Not</ns0:t>
        </ns0:is>
      </ns0:c>
    </ns0:row>
    <ns0:row r="7" ht="33" customHeight="1"/>
    <ns0:row r="8" ht="33" customHeight="1"/>
    <ns0:row r="9" ht="33" customHeight="1"/>
    <ns0:row r="10" ht="33" customHeight="1"/>
    <ns0:row r="11" ht="33" customHeight="1"/>
    <ns0:row r="12" ht="33" customHeight="1"/>
    <ns0:row r="13" ht="33" customHeight="1">
      <ns0:c r="B13" s="1" t="inlineStr">
        <ns0:is>
          <ns0:t>II. Content.</ns0:t>
        </ns0:is>
      </ns0:c>
    </ns0:row>
    <ns0:row r="14" ht="33" customHeight="1">
      <ns0:c r="B14" s="1" t="inlineStr">
        <ns0:is>
          <ns0:t xml:space="preserve"> - Test VP forming NO8-2H NEW Mold number 4: 100pc Mold KR and  100pc Mold GN</ns0:t>
        </ns0:is>
      </ns0:c>
    </ns0:row>
    <ns0:row r="15" ht="33" customHeight="1">
      <ns0:c r="B15" s="1" t="inlineStr">
        <ns0:is>
          <ns0:t xml:space="preserve"> - Make sample check function and Tension</ns0:t>
        </ns0:is>
      </ns0:c>
    </ns0:row>
    <ns0:row r="16" ht="33" customHeight="1">
      <ns0:c r="B16" s="1" t="inlineStr">
        <ns0:is>
          <ns0:t xml:space="preserve"> Compare with normal lot</ns0:t>
        </ns0:is>
      </ns0:c>
    </ns0:row>
    <ns0:row r="17" ht="33" customHeight="1">
      <ns0:c r="B17" s="1" t="inlineStr">
        <ns0:is>
          <ns0:t xml:space="preserve">III. Result </ns0:t>
        </ns0:is>
      </ns0:c>
    </ns0:row>
    <ns0:row r="18" ht="33" customHeight="1"/>
    <ns0:row r="19" ht="33" customHeight="1"/>
    <ns0:row r="20" ht="33" customHeight="1"/>
    <ns0:row r="21" ht="33" customHeight="1"/>
    <ns0:row r="22" ht="33" customHeight="1"/>
    <ns0:row r="23" ht="33" customHeight="1"/>
    <ns0:row r="24" ht="33" customHeight="1"/>
    <ns0:row r="25" ht="33" customHeight="1"/>
    <ns0:row r="26" ht="33" customHeight="1"/>
    <ns0:row r="27" ht="33" customHeight="1"/>
    <ns0:row r="28" ht="52.5" customHeight="1">
      <ns0:c r="C28" s="1" t="inlineStr">
        <ns0:is>
          <ns0:t>1. RESULT CHECKING FUNC TION</ns0:t>
        </ns0:is>
      </ns0:c>
    </ns0:row>
    <ns0:row r="29" ht="33.75" customHeight="1">
      <ns0:c r="C29" s="1" t="inlineStr">
        <ns0:is>
          <ns0:t>No</ns0:t>
        </ns0:is>
      </ns0:c>
      <ns0:c r="D29" s="1" t="inlineStr">
        <ns0:is>
          <ns0:t>Date</ns0:t>
        </ns0:is>
      </ns0:c>
      <ns0:c r="E29" s="1" t="inlineStr">
        <ns0:is>
          <ns0:t>Model</ns0:t>
        </ns0:is>
      </ns0:c>
      <ns0:c r="F29" s="1" t="inlineStr">
        <ns0:is>
          <ns0:t>Type</ns0:t>
        </ns0:is>
      </ns0:c>
      <ns0:c r="I29" s="1" t="inlineStr">
        <ns0:is>
          <ns0:t>Input</ns0:t>
        </ns0:is>
      </ns0:c>
      <ns0:c r="J29" s="1" t="inlineStr">
        <ns0:is>
          <ns0:t>OK</ns0:t>
        </ns0:is>
      </ns0:c>
      <ns0:c r="K29" s="1" t="inlineStr">
        <ns0:is>
          <ns0:t>NG AUDIOBUS</ns0:t>
        </ns0:is>
      </ns0:c>
      <ns0:c r="O29" s="1" t="inlineStr">
        <ns0:is>
          <ns0:t>NG HEARING</ns0:t>
        </ns0:is>
      </ns0:c>
      <ns0:c r="Q29" s="1" t="inlineStr">
        <ns0:is>
          <ns0:t>Total NG</ns0:t>
        </ns0:is>
      </ns0:c>
      <ns0:c r="R29" s="1" t="inlineStr">
        <ns0:is>
          <ns0:t>NG rate</ns0:t>
        </ns0:is>
      </ns0:c>
      <ns0:c r="S29" s="1" t="inlineStr">
        <ns0:is>
          <ns0:t>Note</ns0:t>
        </ns0:is>
      </ns0:c>
    </ns0:row>
    <ns0:row r="30" ht="33.75" customHeight="1">
      <ns0:c r="K30" s="1" t="inlineStr">
        <ns0:is>
          <ns0:t>SPL</ns0:t>
        </ns0:is>
      </ns0:c>
      <ns0:c r="L30" s="1" t="inlineStr">
        <ns0:is>
          <ns0:t>SPL+RB</ns0:t>
        </ns0:is>
      </ns0:c>
      <ns0:c r="M30" s="1" t="inlineStr">
        <ns0:is>
          <ns0:t>RB</ns0:t>
        </ns0:is>
      </ns0:c>
      <ns0:c r="N30" s="1" t="inlineStr">
        <ns0:is>
          <ns0:t>No sound</ns0:t>
        </ns0:is>
      </ns0:c>
      <ns0:c r="O30" s="1" t="inlineStr">
        <ns0:is>
          <ns0:t xml:space="preserve">Noise </ns0:t>
        </ns0:is>
      </ns0:c>
      <ns0:c r="P30" s="1" t="inlineStr">
        <ns0:is>
          <ns0:t>Touch</ns0:t>
        </ns0:is>
      </ns0:c>
    </ns0:row>
    <ns0:row r="31">
      <ns0:c r="C31" s="1" t="n">
        <ns0:v>1</ns0:v>
      </ns0:c>
      <ns0:c r="D31" s="2" t="n">
        <ns0:v>46021</ns0:v>
      </ns0:c>
      <ns0:c r="E31" s="1" t="inlineStr">
        <ns0:is>
          <ns0:t>TIU C11-20R</ns0:t>
        </ns0:is>
      </ns0:c>
      <ns0:c r="F31" s="1" t="inlineStr">
        <ns0:is>
          <ns0:t>Test VP Mold KR</ns0:t>
        </ns0:is>
      </ns0:c>
      <ns0:c r="I31" s="1" t="n">
        <ns0:v>74</ns0:v>
      </ns0:c>
      <ns0:c r="J31" s="1">
        <ns0:f>I31-Q31</ns0:f>
        <ns0:v/>
      </ns0:c>
      <ns0:c r="K31" s="1" t="n">
        <ns0:v>0</ns0:v>
      </ns0:c>
      <ns0:c r="L31" s="1" t="n">
        <ns0:v>0</ns0:v>
      </ns0:c>
      <ns0:c r="M31" s="1" t="n">
        <ns0:v>3</ns0:v>
      </ns0:c>
      <ns0:c r="N31" s="1" t="n">
        <ns0:v>0</ns0:v>
      </ns0:c>
      <ns0:c r="O31" s="1" t="n">
        <ns0:v>1</ns0:v>
      </ns0:c>
      <ns0:c r="P31" s="1" t="n">
        <ns0:v>0</ns0:v>
      </ns0:c>
      <ns0:c r="Q31" s="1">
        <ns0:f>SUM(O31:P31,K31:L31)</ns0:f>
        <ns0:v/>
      </ns0:c>
      <ns0:c r="R31" s="1">
        <ns0:f>Q31/I31</ns0:f>
        <ns0:v/>
      </ns0:c>
      <ns0:c r="S31" s="1" t="inlineStr">
        <ns0:is>
          <ns0:t>Test R line</ns0:t>
        </ns0:is>
      </ns0:c>
    </ns0:row>
    <ns0:row r="32">
      <ns0:c r="K32" s="1">
        <ns0:f>+K31/I31</ns0:f>
        <ns0:v/>
      </ns0:c>
      <ns0:c r="L32" s="1">
        <ns0:f>L31/I31</ns0:f>
        <ns0:v/>
      </ns0:c>
      <ns0:c r="M32" s="1">
        <ns0:f>+M31/I31</ns0:f>
        <ns0:v/>
      </ns0:c>
      <ns0:c r="N32" s="1">
        <ns0:f>+N31/I31</ns0:f>
        <ns0:v/>
      </ns0:c>
      <ns0:c r="O32" s="1">
        <ns0:f>O31/I31</ns0:f>
        <ns0:v/>
      </ns0:c>
      <ns0:c r="P32" s="1">
        <ns0:f>P31/I31</ns0:f>
        <ns0:v/>
      </ns0:c>
    </ns0:row>
    <ns0:row r="33">
      <ns0:c r="C33" s="1" t="n">
        <ns0:v>2</ns0:v>
      </ns0:c>
      <ns0:c r="F33" s="1" t="inlineStr">
        <ns0:is>
          <ns0:t>Test VP Mold GN</ns0:t>
        </ns0:is>
      </ns0:c>
      <ns0:c r="I33" s="1" t="n">
        <ns0:v>71</ns0:v>
      </ns0:c>
      <ns0:c r="J33" s="1">
        <ns0:f>I33-Q33</ns0:f>
        <ns0:v/>
      </ns0:c>
      <ns0:c r="K33" s="1" t="n">
        <ns0:v>0</ns0:v>
      </ns0:c>
      <ns0:c r="L33" s="1" t="n">
        <ns0:v>0</ns0:v>
      </ns0:c>
      <ns0:c r="M33" s="1" t="n">
        <ns0:v>6</ns0:v>
      </ns0:c>
      <ns0:c r="N33" s="1" t="n">
        <ns0:v>0</ns0:v>
      </ns0:c>
      <ns0:c r="O33" s="1" t="n">
        <ns0:v>2</ns0:v>
      </ns0:c>
      <ns0:c r="P33" s="1" t="n">
        <ns0:v>0</ns0:v>
      </ns0:c>
      <ns0:c r="Q33" s="1">
        <ns0:f>SUM(O33:P33,K33:L33)</ns0:f>
        <ns0:v/>
      </ns0:c>
      <ns0:c r="R33" s="1">
        <ns0:f>Q33/I33</ns0:f>
        <ns0:v/>
      </ns0:c>
    </ns0:row>
    <ns0:row r="34">
      <ns0:c r="K34" s="1">
        <ns0:f>+K33/I33</ns0:f>
        <ns0:v/>
      </ns0:c>
      <ns0:c r="L34" s="1">
        <ns0:f>L33/I33</ns0:f>
        <ns0:v/>
      </ns0:c>
      <ns0:c r="M34" s="1">
        <ns0:f>+M33/I33</ns0:f>
        <ns0:v/>
      </ns0:c>
      <ns0:c r="N34" s="1">
        <ns0:f>+N33/I33</ns0:f>
        <ns0:v/>
      </ns0:c>
      <ns0:c r="O34" s="1">
        <ns0:f>O33/I33</ns0:f>
        <ns0:v/>
      </ns0:c>
      <ns0:c r="P34" s="1">
        <ns0:f>P33/I33</ns0:f>
        <ns0:v/>
      </ns0:c>
    </ns0:row>
    <ns0:row r="35">
      <ns0:c r="C35" s="1" t="n">
        <ns0:v>3</ns0:v>
      </ns0:c>
      <ns0:c r="F35" s="1" t="inlineStr">
        <ns0:is>
          <ns0:t xml:space="preserve">Normal </ns0:t>
        </ns0:is>
      </ns0:c>
      <ns0:c r="I35" s="1" t="n">
        <ns0:v>100</ns0:v>
      </ns0:c>
      <ns0:c r="J35" s="1">
        <ns0:f>I35-Q35</ns0:f>
        <ns0:v/>
      </ns0:c>
      <ns0:c r="K35" s="1" t="n">
        <ns0:v>0</ns0:v>
      </ns0:c>
      <ns0:c r="L35" s="1" t="n">
        <ns0:v>0</ns0:v>
      </ns0:c>
      <ns0:c r="M35" s="1" t="n">
        <ns0:v>18</ns0:v>
      </ns0:c>
      <ns0:c r="N35" s="1" t="n">
        <ns0:v>0</ns0:v>
      </ns0:c>
      <ns0:c r="O35" s="1" t="n">
        <ns0:v>12</ns0:v>
      </ns0:c>
      <ns0:c r="P35" s="1" t="n">
        <ns0:v>0</ns0:v>
      </ns0:c>
      <ns0:c r="Q35" s="1">
        <ns0:f>SUM(O35:P35,K35:L35)</ns0:f>
        <ns0:v/>
      </ns0:c>
      <ns0:c r="R35" s="1">
        <ns0:f>Q35/I35</ns0:f>
        <ns0:v/>
      </ns0:c>
    </ns0:row>
    <ns0:row r="36">
      <ns0:c r="K36" s="1">
        <ns0:f>+K35/I35</ns0:f>
        <ns0:v/>
      </ns0:c>
      <ns0:c r="L36" s="1">
        <ns0:f>L35/I35</ns0:f>
        <ns0:v/>
      </ns0:c>
      <ns0:c r="M36" s="1">
        <ns0:f>+M35/I35</ns0:f>
        <ns0:v/>
      </ns0:c>
      <ns0:c r="N36" s="1">
        <ns0:f>+N35/I35</ns0:f>
        <ns0:v/>
      </ns0:c>
      <ns0:c r="O36" s="1">
        <ns0:f>O35/I35</ns0:f>
        <ns0:v/>
      </ns0:c>
      <ns0:c r="P36" s="1">
        <ns0:f>P35/I35</ns0:f>
        <ns0:v/>
      </ns0:c>
    </ns0:row>
    <ns0:row r="37" ht="36" customHeight="1">
      <ns0:c r="C37" s="1" t="n">
        <ns0:v>1</ns0:v>
      </ns0:c>
      <ns0:c r="D37" s="2" t="n">
        <ns0:v>46022</ns0:v>
      </ns0:c>
      <ns0:c r="E37" s="1" t="inlineStr">
        <ns0:is>
          <ns0:t>TIU C11-20R</ns0:t>
        </ns0:is>
      </ns0:c>
      <ns0:c r="F37" s="1" t="inlineStr">
        <ns0:is>
          <ns0:t>Test VP new mold</ns0:t>
        </ns0:is>
      </ns0:c>
      <ns0:c r="I37" s="1" t="n">
        <ns0:v>650</ns0:v>
      </ns0:c>
      <ns0:c r="J37" s="1">
        <ns0:f>I37-Q37</ns0:f>
        <ns0:v/>
      </ns0:c>
      <ns0:c r="K37" s="1" t="n">
        <ns0:v>2</ns0:v>
      </ns0:c>
      <ns0:c r="L37" s="1" t="n">
        <ns0:v>12</ns0:v>
      </ns0:c>
      <ns0:c r="M37" s="1" t="n">
        <ns0:v>158</ns0:v>
      </ns0:c>
      <ns0:c r="N37" s="1" t="n">
        <ns0:v>0</ns0:v>
      </ns0:c>
      <ns0:c r="O37" s="1" t="n">
        <ns0:v>141</ns0:v>
      </ns0:c>
      <ns0:c r="P37" s="1" t="n">
        <ns0:v>3</ns0:v>
      </ns0:c>
      <ns0:c r="Q37" s="1">
        <ns0:f>SUM(O37:P37,K37:L37)</ns0:f>
        <ns0:v/>
      </ns0:c>
      <ns0:c r="R37" s="1">
        <ns0:f>Q37/I37</ns0:f>
        <ns0:v/>
      </ns0:c>
    </ns0:row>
    <ns0:row r="38" ht="36" customHeight="1">
      <ns0:c r="K38" s="1">
        <ns0:f>+K37/I37</ns0:f>
        <ns0:v/>
      </ns0:c>
      <ns0:c r="L38" s="1">
        <ns0:f>L37/I37</ns0:f>
        <ns0:v/>
      </ns0:c>
      <ns0:c r="M38" s="1">
        <ns0:f>+M37/I37</ns0:f>
        <ns0:v/>
      </ns0:c>
      <ns0:c r="N38" s="1">
        <ns0:f>+N37/I37</ns0:f>
        <ns0:v/>
      </ns0:c>
      <ns0:c r="O38" s="1">
        <ns0:f>O37/I37</ns0:f>
        <ns0:v/>
      </ns0:c>
      <ns0:c r="P38" s="1">
        <ns0:f>P37/I37</ns0:f>
        <ns0:v/>
      </ns0:c>
    </ns0:row>
    <ns0:row r="39" ht="36" customHeight="1">
      <ns0:c r="C39" s="1" t="n">
        <ns0:v>2</ns0:v>
      </ns0:c>
      <ns0:c r="F39" s="1" t="inlineStr">
        <ns0:is>
          <ns0:t xml:space="preserve">Normal </ns0:t>
        </ns0:is>
      </ns0:c>
      <ns0:c r="I39" s="1" t="n">
        <ns0:v>540</ns0:v>
      </ns0:c>
      <ns0:c r="J39" s="1">
        <ns0:f>I39-Q39</ns0:f>
        <ns0:v/>
      </ns0:c>
      <ns0:c r="K39" s="1" t="n">
        <ns0:v>2</ns0:v>
      </ns0:c>
      <ns0:c r="L39" s="1" t="n">
        <ns0:v>6</ns0:v>
      </ns0:c>
      <ns0:c r="M39" s="1" t="n">
        <ns0:v>97</ns0:v>
      </ns0:c>
      <ns0:c r="N39" s="1" t="n">
        <ns0:v>0</ns0:v>
      </ns0:c>
      <ns0:c r="O39" s="1" t="n">
        <ns0:v>79</ns0:v>
      </ns0:c>
      <ns0:c r="P39" s="1" t="n">
        <ns0:v>4</ns0:v>
      </ns0:c>
      <ns0:c r="Q39" s="1">
        <ns0:f>SUM(O39:P39,K39:L39)</ns0:f>
        <ns0:v/>
      </ns0:c>
      <ns0:c r="R39" s="1">
        <ns0:f>Q39/I39</ns0:f>
        <ns0:v/>
      </ns0:c>
    </ns0:row>
    <ns0:row r="40" ht="36" customHeight="1">
      <ns0:c r="K40" s="1">
        <ns0:f>+K39/I39</ns0:f>
        <ns0:v/>
      </ns0:c>
      <ns0:c r="L40" s="1">
        <ns0:f>L39/I39</ns0:f>
        <ns0:v/>
      </ns0:c>
      <ns0:c r="M40" s="1">
        <ns0:f>+M39/I39</ns0:f>
        <ns0:v/>
      </ns0:c>
      <ns0:c r="N40" s="1">
        <ns0:f>+N39/I39</ns0:f>
        <ns0:v/>
      </ns0:c>
      <ns0:c r="O40" s="1">
        <ns0:f>O39/I39</ns0:f>
        <ns0:v/>
      </ns0:c>
      <ns0:c r="P40" s="1">
        <ns0:f>P39/I39</ns0:f>
        <ns0:v/>
      </ns0:c>
    </ns0:row>
    <ns0:row r="41" ht="36" customHeight="1">
      <ns0:c r="C41" s="1" t="n">
        <ns0:v>1</ns0:v>
      </ns0:c>
      <ns0:c r="E41" s="1" t="inlineStr">
        <ns0:is>
          <ns0:t>TIU C11-20L</ns0:t>
        </ns0:is>
      </ns0:c>
      <ns0:c r="F41" s="1" t="inlineStr">
        <ns0:is>
          <ns0:t>Test VP new mold</ns0:t>
        </ns0:is>
      </ns0:c>
      <ns0:c r="I41" s="1" t="n">
        <ns0:v>900</ns0:v>
      </ns0:c>
      <ns0:c r="J41" s="1">
        <ns0:f>I41-Q41</ns0:f>
        <ns0:v/>
      </ns0:c>
      <ns0:c r="K41" s="1" t="n">
        <ns0:v>19</ns0:v>
      </ns0:c>
      <ns0:c r="L41" s="1" t="n">
        <ns0:v>7</ns0:v>
      </ns0:c>
      <ns0:c r="M41" s="1" t="n">
        <ns0:v>67</ns0:v>
      </ns0:c>
      <ns0:c r="N41" s="1" t="n">
        <ns0:v>0</ns0:v>
      </ns0:c>
      <ns0:c r="O41" s="1" t="n">
        <ns0:v>54</ns0:v>
      </ns0:c>
      <ns0:c r="P41" s="1" t="n">
        <ns0:v>2</ns0:v>
      </ns0:c>
      <ns0:c r="Q41" s="1">
        <ns0:f>SUM(O41:P41,K41:L41)</ns0:f>
        <ns0:v/>
      </ns0:c>
      <ns0:c r="R41" s="1">
        <ns0:f>Q41/I41</ns0:f>
        <ns0:v/>
      </ns0:c>
    </ns0:row>
    <ns0:row r="42" ht="36" customHeight="1">
      <ns0:c r="K42" s="1">
        <ns0:f>+K41/I41</ns0:f>
        <ns0:v/>
      </ns0:c>
      <ns0:c r="L42" s="1">
        <ns0:f>L41/I41</ns0:f>
        <ns0:v/>
      </ns0:c>
      <ns0:c r="M42" s="1">
        <ns0:f>+M41/I41</ns0:f>
        <ns0:v/>
      </ns0:c>
      <ns0:c r="N42" s="1">
        <ns0:f>+N41/I41</ns0:f>
        <ns0:v/>
      </ns0:c>
      <ns0:c r="O42" s="1">
        <ns0:f>O41/I41</ns0:f>
        <ns0:v/>
      </ns0:c>
      <ns0:c r="P42" s="1">
        <ns0:f>P41/I41</ns0:f>
        <ns0:v/>
      </ns0:c>
    </ns0:row>
    <ns0:row r="43" ht="36" customHeight="1">
      <ns0:c r="C43" s="1" t="n">
        <ns0:v>2</ns0:v>
      </ns0:c>
      <ns0:c r="F43" s="1" t="inlineStr">
        <ns0:is>
          <ns0:t xml:space="preserve">Normal </ns0:t>
        </ns0:is>
      </ns0:c>
      <ns0:c r="I43" s="1" t="n">
        <ns0:v>1836</ns0:v>
      </ns0:c>
      <ns0:c r="J43" s="1">
        <ns0:f>I43-Q43</ns0:f>
        <ns0:v/>
      </ns0:c>
      <ns0:c r="K43" s="1" t="n">
        <ns0:v>25</ns0:v>
      </ns0:c>
      <ns0:c r="L43" s="1" t="n">
        <ns0:v>19</ns0:v>
      </ns0:c>
      <ns0:c r="M43" s="1" t="n">
        <ns0:v>145</ns0:v>
      </ns0:c>
      <ns0:c r="N43" s="1" t="n">
        <ns0:v>0</ns0:v>
      </ns0:c>
      <ns0:c r="O43" s="1" t="n">
        <ns0:v>130</ns0:v>
      </ns0:c>
      <ns0:c r="P43" s="1" t="n">
        <ns0:v>2</ns0:v>
      </ns0:c>
      <ns0:c r="Q43" s="1">
        <ns0:f>SUM(O43:P43,K43:L43)</ns0:f>
        <ns0:v/>
      </ns0:c>
      <ns0:c r="R43" s="1">
        <ns0:f>Q43/I43</ns0:f>
        <ns0:v/>
      </ns0:c>
    </ns0:row>
    <ns0:row r="44" ht="36" customHeight="1">
      <ns0:c r="K44" s="1">
        <ns0:f>+K43/I43</ns0:f>
        <ns0:v/>
      </ns0:c>
      <ns0:c r="L44" s="1">
        <ns0:f>L43/I43</ns0:f>
        <ns0:v/>
      </ns0:c>
      <ns0:c r="M44" s="1">
        <ns0:f>+M43/I43</ns0:f>
        <ns0:v/>
      </ns0:c>
      <ns0:c r="N44" s="1">
        <ns0:f>+N43/I43</ns0:f>
        <ns0:v/>
      </ns0:c>
      <ns0:c r="O44" s="1">
        <ns0:f>O43/I43</ns0:f>
        <ns0:v/>
      </ns0:c>
      <ns0:c r="P44" s="1">
        <ns0:f>P43/I43</ns0:f>
        <ns0:v/>
      </ns0:c>
    </ns0:row>
    <ns0:row r="45" ht="36" customHeight="1">
      <ns0:c r="C45" s="1" t="inlineStr">
        <ns0:is>
          <ns0:t>2. RESULT CHECKING TENSION</ns0:t>
        </ns0:is>
      </ns0:c>
    </ns0:row>
    <ns0:row r="46" ht="33.75" customHeight="1">
      <ns0:c r="C46" s="1" t="inlineStr">
        <ns0:is>
          <ns0:t>No</ns0:t>
        </ns0:is>
      </ns0:c>
      <ns0:c r="D46" s="1" t="inlineStr">
        <ns0:is>
          <ns0:t>Date</ns0:t>
        </ns0:is>
      </ns0:c>
      <ns0:c r="E46" s="1" t="inlineStr">
        <ns0:is>
          <ns0:t>Type</ns0:t>
        </ns0:is>
      </ns0:c>
      <ns0:c r="H46" s="1" t="inlineStr">
        <ns0:is>
          <ns0:t>Spec</ns0:t>
        </ns0:is>
      </ns0:c>
      <ns0:c r="I46" s="1" t="inlineStr">
        <ns0:is>
          <ns0:t>Result</ns0:t>
        </ns0:is>
      </ns0:c>
      <ns0:c r="J46" s="1" t="inlineStr">
        <ns0:is>
          <ns0:t>No sample</ns0:t>
        </ns0:is>
      </ns0:c>
      <ns0:c r="T46" s="1" t="inlineStr">
        <ns0:is>
          <ns0:t>Min</ns0:t>
        </ns0:is>
      </ns0:c>
      <ns0:c r="U46" s="1" t="inlineStr">
        <ns0:is>
          <ns0:t>Max</ns0:t>
        </ns0:is>
      </ns0:c>
      <ns0:c r="V46" s="1" t="inlineStr">
        <ns0:is>
          <ns0:t>AVG</ns0:t>
        </ns0:is>
      </ns0:c>
    </ns0:row>
    <ns0:row r="47" ht="33.75" customHeight="1">
      <ns0:c r="J47" s="1" t="inlineStr">
        <ns0:is>
          <ns0:t>#1</ns0:t>
        </ns0:is>
      </ns0:c>
      <ns0:c r="K47" s="1" t="inlineStr">
        <ns0:is>
          <ns0:t>#2</ns0:t>
        </ns0:is>
      </ns0:c>
      <ns0:c r="L47" s="1" t="inlineStr">
        <ns0:is>
          <ns0:t>#3</ns0:t>
        </ns0:is>
      </ns0:c>
      <ns0:c r="M47" s="1" t="inlineStr">
        <ns0:is>
          <ns0:t>#4</ns0:t>
        </ns0:is>
      </ns0:c>
      <ns0:c r="N47" s="1" t="inlineStr">
        <ns0:is>
          <ns0:t>#5</ns0:t>
        </ns0:is>
      </ns0:c>
      <ns0:c r="O47" s="1" t="inlineStr">
        <ns0:is>
          <ns0:t>#6</ns0:t>
        </ns0:is>
      </ns0:c>
      <ns0:c r="P47" s="1" t="inlineStr">
        <ns0:is>
          <ns0:t>#7</ns0:t>
        </ns0:is>
      </ns0:c>
      <ns0:c r="Q47" s="1" t="inlineStr">
        <ns0:is>
          <ns0:t>#8</ns0:t>
        </ns0:is>
      </ns0:c>
      <ns0:c r="R47" s="1" t="inlineStr">
        <ns0:is>
          <ns0:t>#9</ns0:t>
        </ns0:is>
      </ns0:c>
      <ns0:c r="S47" s="1" t="inlineStr">
        <ns0:is>
          <ns0:t>#10</ns0:t>
        </ns0:is>
      </ns0:c>
    </ns0:row>
    <ns0:row r="48" ht="54" customHeight="1">
      <ns0:c r="C48" s="1" t="n">
        <ns0:v>1</ns0:v>
      </ns0:c>
      <ns0:c r="D48" s="2" t="n">
        <ns0:v>46020</ns0:v>
      </ns0:c>
      <ns0:c r="E48" s="1" t="inlineStr">
        <ns0:is>
          <ns0:t>VP+COIL</ns0:t>
        </ns0:is>
      </ns0:c>
      <ns0:c r="F48" s="1" t="inlineStr">
        <ns0:is>
          <ns0:t>Test VP Cut =&gt;Dry 6hour=&gt; Forming</ns0:t>
        </ns0:is>
      </ns0:c>
      <ns0:c r="H48" s="1" t="n">
        <ns0:v>0.4</ns0:v>
      </ns0:c>
      <ns0:c r="I48" s="1" t="inlineStr">
        <ns0:is>
          <ns0:t>Pass</ns0:t>
        </ns0:is>
      </ns0:c>
      <ns0:c r="T48" s="1">
        <ns0:f>MIN(J48:S48)</ns0:f>
        <ns0:v/>
      </ns0:c>
      <ns0:c r="U48" s="1">
        <ns0:f>MAX(J48:S48)</ns0:f>
        <ns0:v/>
      </ns0:c>
      <ns0:c r="V48" s="1">
        <ns0:f>AVERAGE(J48:S48)</ns0:f>
        <ns0:v/>
      </ns0:c>
    </ns0:row>
    <ns0:row r="49" ht="54" customHeight="1">
      <ns0:c r="C49" s="1" t="n">
        <ns0:v>2</ns0:v>
      </ns0:c>
      <ns0:c r="F49" s="1" t="inlineStr">
        <ns0:is>
          <ns0:t xml:space="preserve">Normal </ns0:t>
        </ns0:is>
      </ns0:c>
      <ns0:c r="I49" s="1" t="inlineStr">
        <ns0:is>
          <ns0:t>Pass</ns0:t>
        </ns0:is>
      </ns0:c>
      <ns0:c r="T49" s="1">
        <ns0:f>MIN(J49:S49)</ns0:f>
        <ns0:v/>
      </ns0:c>
      <ns0:c r="U49" s="1">
        <ns0:f>MAX(J49:S49)</ns0:f>
        <ns0:v/>
      </ns0:c>
      <ns0:c r="V49" s="1">
        <ns0:f>AVERAGE(J49:S49)</ns0:f>
        <ns0:v/>
      </ns0:c>
    </ns0:row>
    <ns0:row r="50" ht="57.75" customHeight="1">
      <ns0:c r="C50" s="1" t="n">
        <ns0:v>3</ns0:v>
      </ns0:c>
      <ns0:c r="E50" s="1" t="inlineStr">
        <ns0:is>
          <ns0:t>FRAME+ VP</ns0:t>
        </ns0:is>
      </ns0:c>
      <ns0:c r="F50" s="1" t="inlineStr">
        <ns0:is>
          <ns0:t>Test VP Cut =&gt;Dry 6hour=&gt; Forming</ns0:t>
        </ns0:is>
      </ns0:c>
      <ns0:c r="H50" s="1" t="n">
        <ns0:v>0.4</ns0:v>
      </ns0:c>
      <ns0:c r="I50" s="1" t="inlineStr">
        <ns0:is>
          <ns0:t>Pass</ns0:t>
        </ns0:is>
      </ns0:c>
      <ns0:c r="T50" s="1">
        <ns0:f>MIN(J50:S50)</ns0:f>
        <ns0:v/>
      </ns0:c>
      <ns0:c r="U50" s="1">
        <ns0:f>MAX(J50:S50)</ns0:f>
        <ns0:v/>
      </ns0:c>
      <ns0:c r="V50" s="1">
        <ns0:f>AVERAGE(J50:S50)</ns0:f>
        <ns0:v/>
      </ns0:c>
    </ns0:row>
    <ns0:row r="51" ht="57.75" customHeight="1">
      <ns0:c r="C51" s="1" t="n">
        <ns0:v>4</ns0:v>
      </ns0:c>
      <ns0:c r="F51" s="1" t="inlineStr">
        <ns0:is>
          <ns0:t xml:space="preserve">Normal </ns0:t>
        </ns0:is>
      </ns0:c>
      <ns0:c r="I51" s="1" t="inlineStr">
        <ns0:is>
          <ns0:t>Pass</ns0:t>
        </ns0:is>
      </ns0:c>
      <ns0:c r="T51" s="1">
        <ns0:f>MIN(J51:S51)</ns0:f>
        <ns0:v/>
      </ns0:c>
      <ns0:c r="U51" s="1">
        <ns0:f>MAX(J51:S51)</ns0:f>
        <ns0:v/>
      </ns0:c>
      <ns0:c r="V51" s="1">
        <ns0:f>AVERAGE(J51:S51)</ns0:f>
        <ns0:v/>
      </ns0:c>
    </ns0:row>
    <ns0:row r="52" ht="38.25" customHeight="1"/>
    <ns0:row r="53" ht="44.25" customHeight="1">
      <ns0:c r="B53" s="1" t="inlineStr">
        <ns0:is>
          <ns0:t>IV. Decision</ns0:t>
        </ns0:is>
      </ns0:c>
    </ns0:row>
    <ns0:row r="54" ht="44.25" customHeight="1"/>
    <ns0:row r="55" ht="44.25" customHeight="1"/>
    <ns0:row r="56" ht="41" customHeight="1"/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2026-05-12T08:15:05Z</dcterms:created>
  <dcterms:modified xsi:type="dcterms:W3CDTF">2026-05-12T08:15:20Z</dcterms:modified>
</cp:coreProperties>
</file>