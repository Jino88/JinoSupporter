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ba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S57"/>
  <ns0:sheetViews>
    <ns0:sheetView workbookViewId="0">
      <ns0:selection activeCell="A1" sqref="A1"/>
    </ns0:sheetView>
  </ns0:sheetViews>
  <ns0:sheetFormatPr baseColWidth="8" defaultRowHeight="15"/>
  <ns0:cols>
    <ns0:col width="7.13" customWidth="1" min="1" max="1"/>
    <ns0:col width="21.75" customWidth="1" min="2" max="2"/>
    <ns0:col width="18.13" customWidth="1" min="3" max="3"/>
    <ns0:col width="18.13" customWidth="1" min="4" max="4"/>
    <ns0:col width="18.13" customWidth="1" min="5" max="5"/>
    <ns0:col width="18.13" customWidth="1" min="6" max="6"/>
    <ns0:col width="18.13" customWidth="1" min="7" max="7"/>
    <ns0:col width="18.13" customWidth="1" min="8" max="8"/>
    <ns0:col width="18.13" customWidth="1" min="9" max="9"/>
    <ns0:col width="18.13" customWidth="1" min="10" max="10"/>
    <ns0:col width="18.13" customWidth="1" min="11" max="11"/>
    <ns0:col width="18.13" customWidth="1" min="12" max="12"/>
    <ns0:col width="18.13" customWidth="1" min="13" max="13"/>
    <ns0:col width="18.13" customWidth="1" min="14" max="14"/>
    <ns0:col width="18.13" customWidth="1" min="15" max="15"/>
    <ns0:col width="18.13" customWidth="1" min="16" max="16"/>
    <ns0:col width="18.13" customWidth="1" min="17" max="17"/>
    <ns0:col width="18.13" customWidth="1" min="18" max="18"/>
    <ns0:col width="21.75" customWidth="1" min="19" max="19"/>
    <ns0:col width="8.630000000000001" customWidth="1" min="20" max="20"/>
    <ns0:col width="8.630000000000001" customWidth="1" min="21" max="21"/>
    <ns0:col width="8.630000000000001" customWidth="1" min="22" max="22"/>
    <ns0:col width="8.630000000000001" customWidth="1" min="23" max="23"/>
    <ns0:col width="8.630000000000001" customWidth="1" min="24" max="24"/>
    <ns0:col width="8.630000000000001" customWidth="1" min="25" max="25"/>
    <ns0:col width="8.630000000000001" customWidth="1" min="26" max="26"/>
    <ns0:col width="8.630000000000001" customWidth="1" min="27" max="27"/>
    <ns0:col width="8.630000000000001" customWidth="1" min="28" max="28"/>
    <ns0:col width="8.630000000000001" customWidth="1" min="29" max="29"/>
    <ns0:col width="8.630000000000001" customWidth="1" min="30" max="30"/>
    <ns0:col width="8.630000000000001" customWidth="1" min="31" max="31"/>
    <ns0:col width="8.630000000000001" customWidth="1" min="32" max="32"/>
    <ns0:col width="8.630000000000001" customWidth="1" min="33" max="33"/>
    <ns0:col width="8.630000000000001" customWidth="1" min="34" max="34"/>
    <ns0:col width="8.630000000000001" customWidth="1" min="35" max="35"/>
    <ns0:col width="8.630000000000001" customWidth="1" min="36" max="36"/>
    <ns0:col width="8.630000000000001" customWidth="1" min="37" max="37"/>
    <ns0:col width="8.630000000000001" customWidth="1" min="38" max="38"/>
    <ns0:col width="8.630000000000001" customWidth="1" min="39" max="39"/>
    <ns0:col width="8.630000000000001" customWidth="1" min="40" max="40"/>
    <ns0:col width="8.630000000000001" customWidth="1" min="41" max="41"/>
    <ns0:col width="8.630000000000001" customWidth="1" min="42" max="42"/>
    <ns0:col width="8.630000000000001" customWidth="1" min="43" max="43"/>
    <ns0:col width="8.630000000000001" customWidth="1" min="44" max="44"/>
    <ns0:col width="8.630000000000001" customWidth="1" min="45" max="45"/>
    <ns0:col width="8.630000000000001" customWidth="1" min="46" max="46"/>
    <ns0:col width="8.630000000000001" customWidth="1" min="47" max="47"/>
    <ns0:col width="8.630000000000001" customWidth="1" min="48" max="48"/>
    <ns0:col width="8.630000000000001" customWidth="1" min="49" max="49"/>
    <ns0:col width="8.630000000000001" customWidth="1" min="50" max="50"/>
    <ns0:col width="8.630000000000001" customWidth="1" min="51" max="51"/>
    <ns0:col width="8.630000000000001" customWidth="1" min="52" max="52"/>
    <ns0:col width="8.630000000000001" customWidth="1" min="53" max="53"/>
    <ns0:col width="8.630000000000001" customWidth="1" min="54" max="54"/>
    <ns0:col width="8.630000000000001" customWidth="1" min="55" max="55"/>
    <ns0:col width="8.630000000000001" customWidth="1" min="56" max="56"/>
    <ns0:col width="8.630000000000001" customWidth="1" min="57" max="57"/>
    <ns0:col width="8.630000000000001" customWidth="1" min="58" max="58"/>
  </ns0:cols>
  <ns0:sheetData>
    <ns0:row r="1" ht="37.5" customHeight="1"/>
    <ns0:row r="2" ht="44.25" customHeight="1">
      <ns0:c r="B2" s="1" t="inlineStr">
        <ns0:is>
          <ns0:t>TITLE</ns0:t>
        </ns0:is>
      </ns0:c>
      <ns0:c r="D2" s="1" t="inlineStr">
        <ns0:is>
          <ns0:t>TIU L5S3-01  REPORT TEST MATERIAL YOKE NG DIFFERENCE COLOR 100%</ns0:t>
        </ns0:is>
      </ns0:c>
      <ns0:c r="R2" s="1" t="inlineStr">
        <ns0:is>
          <ns0:t>Dept</ns0:t>
        </ns0:is>
      </ns0:c>
      <ns0:c r="S2" s="1" t="inlineStr">
        <ns0:is>
          <ns0:t>ME</ns0:t>
        </ns0:is>
      </ns0:c>
    </ns0:row>
    <ns0:row r="3" ht="44.25" customHeight="1">
      <ns0:c r="R3" s="1" t="inlineStr">
        <ns0:is>
          <ns0:t>Date</ns0:t>
        </ns0:is>
      </ns0:c>
      <ns0:c r="S3" s="2" t="n">
        <ns0:v>46140</ns0:v>
      </ns0:c>
    </ns0:row>
    <ns0:row r="4" ht="44.25" customHeight="1">
      <ns0:c r="R4" s="1" t="inlineStr">
        <ns0:is>
          <ns0:t>Marker</ns0:t>
        </ns0:is>
      </ns0:c>
      <ns0:c r="S4" s="1" t="inlineStr">
        <ns0:is>
          <ns0:t>Nhung</ns0:t>
        </ns0:is>
      </ns0:c>
    </ns0:row>
    <ns0:row r="5" ht="44.25" customHeight="1">
      <ns0:c r="B5" s="1" t="inlineStr">
        <ns0:is>
          <ns0:t>I. Purpose.</ns0:t>
        </ns0:is>
      </ns0:c>
    </ns0:row>
    <ns0:row r="6" ht="44.25" customHeight="1">
      <ns0:c r="B6" s="1" t="inlineStr">
        <ns0:is>
          <ns0:t xml:space="preserve"> - Test lot Yoke happen NG difference color can use or not</ns0:t>
        </ns0:is>
      </ns0:c>
    </ns0:row>
    <ns0:row r="7" ht="44.25" customHeight="1">
      <ns0:c r="B7" s="1" t="inlineStr">
        <ns0:is>
          <ns0:t>II. Content.</ns0:t>
        </ns0:is>
      </ns0:c>
    </ns0:row>
    <ns0:row r="8" ht="44.25" customHeight="1">
      <ns0:c r="B8" s="1" t="inlineStr">
        <ns0:is>
          <ns0:t xml:space="preserve">- Q'ty test: </ns0:t>
        </ns0:is>
      </ns0:c>
      <ns0:c r="C8" s="1" t="inlineStr">
        <ns0:is>
          <ns0:t>300pcs</ns0:t>
        </ns0:is>
      </ns0:c>
    </ns0:row>
    <ns0:row r="9" ht="44.25" customHeight="1">
      <ns0:c r="B9" s="1" t="inlineStr">
        <ns0:is>
          <ns0:t xml:space="preserve">- Make sample and check: </ns0:t>
        </ns0:is>
      </ns0:c>
    </ns0:row>
    <ns0:row r="10" ht="44.25" customHeight="1">
      <ns0:c r="C10" s="1" t="inlineStr">
        <ns0:is>
          <ns0:t>+ Align and AI check NG rate</ns0:t>
        </ns0:is>
      </ns0:c>
    </ns0:row>
    <ns0:row r="11" ht="44.25" customHeight="1">
      <ns0:c r="C11" s="1" t="inlineStr">
        <ns0:is>
          <ns0:t>+ Decap bonding NG rate: 8pcs</ns0:t>
        </ns0:is>
      </ns0:c>
    </ns0:row>
    <ns0:row r="12" ht="44.25" customHeight="1">
      <ns0:c r="C12" s="1" t="inlineStr">
        <ns0:is>
          <ns0:t>+ Tension MG+Yoke: 8pcs</ns0:t>
        </ns0:is>
      </ns0:c>
    </ns0:row>
    <ns0:row r="13" ht="44.25" customHeight="1">
      <ns0:c r="C13" s="1" t="inlineStr">
        <ns0:is>
          <ns0:t>+ Drop test sample final (Auto/manual): 10pcs</ns0:t>
        </ns0:is>
      </ns0:c>
    </ns0:row>
    <ns0:row r="14" ht="44.25" customHeight="1">
      <ns0:c r="C14" s="1" t="inlineStr">
        <ns0:is>
          <ns0:t xml:space="preserve">+ Check function and decap NG </ns0:t>
        </ns0:is>
      </ns0:c>
    </ns0:row>
    <ns0:row r="15" ht="44.25" customHeight="1">
      <ns0:c r="B15" s="1" t="inlineStr">
        <ns0:is>
          <ns0:t>- Compare with normal</ns0:t>
        </ns0:is>
      </ns0:c>
    </ns0:row>
    <ns0:row r="16" ht="44.25" customHeight="1">
      <ns0:c r="B16" s="1" t="inlineStr">
        <ns0:is>
          <ns0:t xml:space="preserve">III. Result </ns0:t>
        </ns0:is>
      </ns0:c>
    </ns0:row>
    <ns0:row r="17" ht="39.75" customHeight="1">
      <ns0:c r="B17" s="1" t="inlineStr">
        <ns0:is>
          <ns0:t>1. Sub 2 check NG rate</ns0:t>
        </ns0:is>
      </ns0:c>
    </ns0:row>
    <ns0:row r="18" ht="49.5" customHeight="1">
      <ns0:c r="C18" s="1" t="inlineStr">
        <ns0:is>
          <ns0:t>No</ns0:t>
        </ns0:is>
      </ns0:c>
      <ns0:c r="D18" s="1" t="inlineStr">
        <ns0:is>
          <ns0:t>Date</ns0:t>
        </ns0:is>
      </ns0:c>
      <ns0:c r="E18" s="1" t="inlineStr">
        <ns0:is>
          <ns0:t>Item</ns0:t>
        </ns0:is>
      </ns0:c>
      <ns0:c r="F18" s="1" t="inlineStr">
        <ns0:is>
          <ns0:t>Yoke array</ns0:t>
        </ns0:is>
      </ns0:c>
      <ns0:c r="I18" s="1" t="inlineStr">
        <ns0:is>
          <ns0:t>AI check MG+Yoke</ns0:t>
        </ns0:is>
      </ns0:c>
      <ns0:c r="L18" s="1" t="inlineStr">
        <ns0:is>
          <ns0:t>Vision CM+Yoke</ns0:t>
        </ns0:is>
      </ns0:c>
    </ns0:row>
    <ns0:row r="19" ht="49.5" customHeight="1">
      <ns0:c r="F19" s="1" t="inlineStr">
        <ns0:is>
          <ns0:t>Input</ns0:t>
        </ns0:is>
      </ns0:c>
      <ns0:c r="G19" s="1" t="inlineStr">
        <ns0:is>
          <ns0:t>NG</ns0:t>
        </ns0:is>
      </ns0:c>
      <ns0:c r="H19" s="1" t="inlineStr">
        <ns0:is>
          <ns0:t>NG rate</ns0:t>
        </ns0:is>
      </ns0:c>
      <ns0:c r="I19" s="1" t="inlineStr">
        <ns0:is>
          <ns0:t>Input</ns0:t>
        </ns0:is>
      </ns0:c>
      <ns0:c r="J19" s="1" t="inlineStr">
        <ns0:is>
          <ns0:t>NG</ns0:t>
        </ns0:is>
      </ns0:c>
      <ns0:c r="K19" s="1" t="inlineStr">
        <ns0:is>
          <ns0:t>NG rate</ns0:t>
        </ns0:is>
      </ns0:c>
      <ns0:c r="L19" s="1" t="inlineStr">
        <ns0:is>
          <ns0:t>Input</ns0:t>
        </ns0:is>
      </ns0:c>
      <ns0:c r="M19" s="1" t="inlineStr">
        <ns0:is>
          <ns0:t>NG separate</ns0:t>
        </ns0:is>
      </ns0:c>
      <ns0:c r="N19" s="1" t="inlineStr">
        <ns0:is>
          <ns0:t>NG rate</ns0:t>
        </ns0:is>
      </ns0:c>
    </ns0:row>
    <ns0:row r="20" ht="49.5" customHeight="1">
      <ns0:c r="C20" s="1" t="n">
        <ns0:v>1</ns0:v>
      </ns0:c>
      <ns0:c r="D20" s="2" t="n">
        <ns0:v>46140</ns0:v>
      </ns0:c>
      <ns0:c r="E20" s="1" t="inlineStr">
        <ns0:is>
          <ns0:t>Test</ns0:t>
        </ns0:is>
      </ns0:c>
      <ns0:c r="F20" s="1" t="n">
        <ns0:v>304</ns0:v>
      </ns0:c>
      <ns0:c r="G20" s="1" t="n">
        <ns0:v>0</ns0:v>
      </ns0:c>
      <ns0:c r="H20" s="1">
        <ns0:f>G20/F20</ns0:f>
        <ns0:v/>
      </ns0:c>
      <ns0:c r="I20" s="1" t="n">
        <ns0:v>304</ns0:v>
      </ns0:c>
      <ns0:c r="J20" s="1" t="n">
        <ns0:v>0</ns0:v>
      </ns0:c>
      <ns0:c r="K20" s="1">
        <ns0:f>J20/I20</ns0:f>
        <ns0:v/>
      </ns0:c>
      <ns0:c r="L20" s="1" t="n">
        <ns0:v>304</ns0:v>
      </ns0:c>
      <ns0:c r="M20" s="1" t="n">
        <ns0:v>0</ns0:v>
      </ns0:c>
      <ns0:c r="N20" s="1">
        <ns0:f>M20/L20</ns0:f>
        <ns0:v/>
      </ns0:c>
    </ns0:row>
    <ns0:row r="21" ht="49.5" customHeight="1">
      <ns0:c r="C21" s="1" t="n">
        <ns0:v>2</ns0:v>
      </ns0:c>
      <ns0:c r="E21" s="1" t="inlineStr">
        <ns0:is>
          <ns0:t xml:space="preserve">Normal </ns0:t>
        </ns0:is>
      </ns0:c>
      <ns0:c r="F21" s="1" t="n">
        <ns0:v>312</ns0:v>
      </ns0:c>
      <ns0:c r="G21" s="1" t="n">
        <ns0:v>0</ns0:v>
      </ns0:c>
      <ns0:c r="H21" s="1">
        <ns0:f>G21/F21</ns0:f>
        <ns0:v/>
      </ns0:c>
      <ns0:c r="I21" s="1" t="n">
        <ns0:v>312</ns0:v>
      </ns0:c>
      <ns0:c r="J21" s="1" t="n">
        <ns0:v>0</ns0:v>
      </ns0:c>
      <ns0:c r="K21" s="1">
        <ns0:f>J21/I21</ns0:f>
        <ns0:v/>
      </ns0:c>
      <ns0:c r="L21" s="1" t="n">
        <ns0:v>312</ns0:v>
      </ns0:c>
      <ns0:c r="M21" s="1" t="n">
        <ns0:v>0</ns0:v>
      </ns0:c>
      <ns0:c r="N21" s="1">
        <ns0:f>M21/L21</ns0:f>
        <ns0:v/>
      </ns0:c>
    </ns0:row>
    <ns0:row r="22" ht="39.75" customHeight="1">
      <ns0:c r="C22" s="1" t="inlineStr">
        <ns0:is>
          <ns0:t>* Result Ass'y at sub 2 is OK</ns0:t>
        </ns0:is>
      </ns0:c>
    </ns0:row>
    <ns0:row r="23" ht="39.75" customHeight="1">
      <ns0:c r="B23" s="1" t="inlineStr">
        <ns0:is>
          <ns0:t>2. Decap check bond and Drop test</ns0:t>
        </ns0:is>
      </ns0:c>
    </ns0:row>
    <ns0:row r="24" ht="39.75" customHeight="1">
      <ns0:c r="C24" s="1" t="inlineStr">
        <ns0:is>
          <ns0:t>No</ns0:t>
        </ns0:is>
      </ns0:c>
      <ns0:c r="D24" s="1" t="inlineStr">
        <ns0:is>
          <ns0:t>Date</ns0:t>
        </ns0:is>
      </ns0:c>
      <ns0:c r="E24" s="1" t="inlineStr">
        <ns0:is>
          <ns0:t>Item</ns0:t>
        </ns0:is>
      </ns0:c>
      <ns0:c r="F24" s="1" t="inlineStr">
        <ns0:is>
          <ns0:t>Decap check bond</ns0:t>
        </ns0:is>
      </ns0:c>
      <ns0:c r="I24" s="1" t="inlineStr">
        <ns0:is>
          <ns0:t>Drop test manual</ns0:t>
        </ns0:is>
      </ns0:c>
      <ns0:c r="L24" s="1" t="inlineStr">
        <ns0:is>
          <ns0:t>Drop test auto</ns0:t>
        </ns0:is>
      </ns0:c>
    </ns0:row>
    <ns0:row r="25" ht="39.75" customHeight="1">
      <ns0:c r="F25" s="1" t="inlineStr">
        <ns0:is>
          <ns0:t>Input</ns0:t>
        </ns0:is>
      </ns0:c>
      <ns0:c r="G25" s="1" t="inlineStr">
        <ns0:is>
          <ns0:t>NG</ns0:t>
        </ns0:is>
      </ns0:c>
      <ns0:c r="H25" s="1" t="inlineStr">
        <ns0:is>
          <ns0:t>NG rate</ns0:t>
        </ns0:is>
      </ns0:c>
      <ns0:c r="I25" s="1" t="inlineStr">
        <ns0:is>
          <ns0:t>Input</ns0:t>
        </ns0:is>
      </ns0:c>
      <ns0:c r="J25" s="1" t="inlineStr">
        <ns0:is>
          <ns0:t>NG</ns0:t>
        </ns0:is>
      </ns0:c>
      <ns0:c r="K25" s="1" t="inlineStr">
        <ns0:is>
          <ns0:t>NG rate</ns0:t>
        </ns0:is>
      </ns0:c>
      <ns0:c r="L25" s="1" t="inlineStr">
        <ns0:is>
          <ns0:t>Input</ns0:t>
        </ns0:is>
      </ns0:c>
      <ns0:c r="M25" s="1" t="inlineStr">
        <ns0:is>
          <ns0:t>NG</ns0:t>
        </ns0:is>
      </ns0:c>
      <ns0:c r="N25" s="1" t="inlineStr">
        <ns0:is>
          <ns0:t>NG rate</ns0:t>
        </ns0:is>
      </ns0:c>
    </ns0:row>
    <ns0:row r="26" ht="39.75" customHeight="1">
      <ns0:c r="C26" s="1" t="n">
        <ns0:v>1</ns0:v>
      </ns0:c>
      <ns0:c r="D26" s="2" t="n">
        <ns0:v>46140</ns0:v>
      </ns0:c>
      <ns0:c r="E26" s="1" t="inlineStr">
        <ns0:is>
          <ns0:t>Test</ns0:t>
        </ns0:is>
      </ns0:c>
      <ns0:c r="F26" s="1" t="n">
        <ns0:v>8</ns0:v>
      </ns0:c>
      <ns0:c r="G26" s="1" t="n">
        <ns0:v>0</ns0:v>
      </ns0:c>
      <ns0:c r="H26" s="1">
        <ns0:f>G26/F26</ns0:f>
        <ns0:v/>
      </ns0:c>
      <ns0:c r="I26" s="1" t="n">
        <ns0:v>8</ns0:v>
      </ns0:c>
      <ns0:c r="J26" s="1" t="n">
        <ns0:v>0</ns0:v>
      </ns0:c>
      <ns0:c r="K26" s="1">
        <ns0:f>J26/I26</ns0:f>
        <ns0:v/>
      </ns0:c>
      <ns0:c r="L26" s="1" t="n">
        <ns0:v>8</ns0:v>
      </ns0:c>
      <ns0:c r="M26" s="1" t="n">
        <ns0:v>0</ns0:v>
      </ns0:c>
      <ns0:c r="N26" s="1">
        <ns0:f>M26/L26</ns0:f>
        <ns0:v/>
      </ns0:c>
    </ns0:row>
    <ns0:row r="27" ht="39.75" customHeight="1">
      <ns0:c r="C27" s="1" t="n">
        <ns0:v>2</ns0:v>
      </ns0:c>
      <ns0:c r="E27" s="1" t="inlineStr">
        <ns0:is>
          <ns0:t xml:space="preserve">Normal </ns0:t>
        </ns0:is>
      </ns0:c>
      <ns0:c r="F27" s="1" t="n">
        <ns0:v>8</ns0:v>
      </ns0:c>
      <ns0:c r="G27" s="1" t="n">
        <ns0:v>0</ns0:v>
      </ns0:c>
      <ns0:c r="H27" s="1">
        <ns0:f>G27/F27</ns0:f>
        <ns0:v/>
      </ns0:c>
      <ns0:c r="I27" s="1" t="n">
        <ns0:v>8</ns0:v>
      </ns0:c>
      <ns0:c r="J27" s="1" t="n">
        <ns0:v>0</ns0:v>
      </ns0:c>
      <ns0:c r="K27" s="1">
        <ns0:f>J27/I27</ns0:f>
        <ns0:v/>
      </ns0:c>
      <ns0:c r="L27" s="1" t="n">
        <ns0:v>8</ns0:v>
      </ns0:c>
      <ns0:c r="M27" s="1" t="n">
        <ns0:v>0</ns0:v>
      </ns0:c>
      <ns0:c r="N27" s="1">
        <ns0:f>M27/L27</ns0:f>
        <ns0:v/>
      </ns0:c>
    </ns0:row>
    <ns0:row r="28" ht="39.75" customHeight="1">
      <ns0:c r="C28" s="1" t="inlineStr">
        <ns0:is>
          <ns0:t>* Result decap check bond spread and drop test is OK</ns0:t>
        </ns0:is>
      </ns0:c>
    </ns0:row>
    <ns0:row r="29" ht="39.75" customHeight="1">
      <ns0:c r="B29" s="1" t="inlineStr">
        <ns0:is>
          <ns0:t>3. Tension C-MG+Yoke</ns0:t>
        </ns0:is>
      </ns0:c>
    </ns0:row>
    <ns0:row r="30" ht="39.75" customHeight="1">
      <ns0:c r="C30" s="1" t="inlineStr">
        <ns0:is>
          <ns0:t>No</ns0:t>
        </ns0:is>
      </ns0:c>
      <ns0:c r="D30" s="1" t="inlineStr">
        <ns0:is>
          <ns0:t>Date</ns0:t>
        </ns0:is>
      </ns0:c>
      <ns0:c r="E30" s="1" t="inlineStr">
        <ns0:is>
          <ns0:t>Item</ns0:t>
        </ns0:is>
      </ns0:c>
      <ns0:c r="F30" s="1" t="inlineStr">
        <ns0:is>
          <ns0:t>Spec</ns0:t>
        </ns0:is>
      </ns0:c>
      <ns0:c r="G30" s="1" t="inlineStr">
        <ns0:is>
          <ns0:t>Result</ns0:t>
        </ns0:is>
      </ns0:c>
      <ns0:c r="H30" s="1" t="inlineStr">
        <ns0:is>
          <ns0:t>Min</ns0:t>
        </ns0:is>
      </ns0:c>
      <ns0:c r="I30" s="1" t="inlineStr">
        <ns0:is>
          <ns0:t>Max</ns0:t>
        </ns0:is>
      </ns0:c>
      <ns0:c r="J30" s="1" t="inlineStr">
        <ns0:is>
          <ns0:t>AVG</ns0:t>
        </ns0:is>
      </ns0:c>
      <ns0:c r="K30" s="1" t="inlineStr">
        <ns0:is>
          <ns0:t>No sample</ns0:t>
        </ns0:is>
      </ns0:c>
    </ns0:row>
    <ns0:row r="31" ht="39.75" customHeight="1">
      <ns0:c r="K31" s="1" t="inlineStr">
        <ns0:is>
          <ns0:t>#1</ns0:t>
        </ns0:is>
      </ns0:c>
      <ns0:c r="L31" s="1" t="inlineStr">
        <ns0:is>
          <ns0:t>#2</ns0:t>
        </ns0:is>
      </ns0:c>
      <ns0:c r="M31" s="1" t="inlineStr">
        <ns0:is>
          <ns0:t>#3</ns0:t>
        </ns0:is>
      </ns0:c>
      <ns0:c r="N31" s="1" t="inlineStr">
        <ns0:is>
          <ns0:t>#4</ns0:t>
        </ns0:is>
      </ns0:c>
      <ns0:c r="O31" s="1" t="inlineStr">
        <ns0:is>
          <ns0:t>#5</ns0:t>
        </ns0:is>
      </ns0:c>
      <ns0:c r="P31" s="1" t="inlineStr">
        <ns0:is>
          <ns0:t>#6</ns0:t>
        </ns0:is>
      </ns0:c>
      <ns0:c r="Q31" s="1" t="inlineStr">
        <ns0:is>
          <ns0:t>#7</ns0:t>
        </ns0:is>
      </ns0:c>
      <ns0:c r="R31" s="1" t="inlineStr">
        <ns0:is>
          <ns0:t>#8</ns0:t>
        </ns0:is>
      </ns0:c>
    </ns0:row>
    <ns0:row r="32" ht="39.75" customHeight="1">
      <ns0:c r="C32" s="1" t="n">
        <ns0:v>1</ns0:v>
      </ns0:c>
      <ns0:c r="D32" s="2" t="n">
        <ns0:v>46140</ns0:v>
      </ns0:c>
      <ns0:c r="E32" s="1" t="inlineStr">
        <ns0:is>
          <ns0:t>Test</ns0:t>
        </ns0:is>
      </ns0:c>
      <ns0:c r="F32" s="1" t="inlineStr">
        <ns0:is>
          <ns0:t>1kgf</ns0:t>
        </ns0:is>
      </ns0:c>
      <ns0:c r="G32" s="1" t="inlineStr">
        <ns0:is>
          <ns0:t>Pass</ns0:t>
        </ns0:is>
      </ns0:c>
      <ns0:c r="H32" s="1">
        <ns0:f>MIN(K32:R32)</ns0:f>
        <ns0:v/>
      </ns0:c>
      <ns0:c r="I32" s="1">
        <ns0:f>MAX(K32:R32)</ns0:f>
        <ns0:v/>
      </ns0:c>
      <ns0:c r="J32" s="1">
        <ns0:f>AVERAGE(K32:R32)</ns0:f>
        <ns0:v/>
      </ns0:c>
      <ns0:c r="K32" s="1" t="n">
        <ns0:v>2.489</ns0:v>
      </ns0:c>
      <ns0:c r="L32" s="1" t="n">
        <ns0:v>2.591</ns0:v>
      </ns0:c>
      <ns0:c r="M32" s="1" t="n">
        <ns0:v>2.609</ns0:v>
      </ns0:c>
      <ns0:c r="N32" s="1" t="n">
        <ns0:v>3.086</ns0:v>
      </ns0:c>
      <ns0:c r="O32" s="1" t="n">
        <ns0:v>2.861</ns0:v>
      </ns0:c>
      <ns0:c r="P32" s="1" t="n">
        <ns0:v>2.542</ns0:v>
      </ns0:c>
      <ns0:c r="Q32" s="1" t="n">
        <ns0:v>2.409</ns0:v>
      </ns0:c>
      <ns0:c r="R32" s="1" t="n">
        <ns0:v>2.971</ns0:v>
      </ns0:c>
    </ns0:row>
    <ns0:row r="33" ht="39.75" customHeight="1">
      <ns0:c r="C33" s="1" t="n">
        <ns0:v>2</ns0:v>
      </ns0:c>
      <ns0:c r="E33" s="1" t="inlineStr">
        <ns0:is>
          <ns0:t xml:space="preserve">Normal </ns0:t>
        </ns0:is>
      </ns0:c>
      <ns0:c r="G33" s="1" t="inlineStr">
        <ns0:is>
          <ns0:t>Pass</ns0:t>
        </ns0:is>
      </ns0:c>
      <ns0:c r="H33" s="1">
        <ns0:f>MIN(K33:R33)</ns0:f>
        <ns0:v/>
      </ns0:c>
      <ns0:c r="I33" s="1">
        <ns0:f>MAX(K33:R33)</ns0:f>
        <ns0:v/>
      </ns0:c>
      <ns0:c r="J33" s="1">
        <ns0:f>AVERAGE(K33:R33)</ns0:f>
        <ns0:v/>
      </ns0:c>
      <ns0:c r="K33" s="1" t="n">
        <ns0:v>2.628</ns0:v>
      </ns0:c>
      <ns0:c r="L33" s="1" t="n">
        <ns0:v>2.458</ns0:v>
      </ns0:c>
      <ns0:c r="M33" s="1" t="n">
        <ns0:v>2.269</ns0:v>
      </ns0:c>
      <ns0:c r="N33" s="1" t="n">
        <ns0:v>2.368</ns0:v>
      </ns0:c>
      <ns0:c r="O33" s="1" t="n">
        <ns0:v>2.82</ns0:v>
      </ns0:c>
      <ns0:c r="P33" s="1" t="n">
        <ns0:v>2.711</ns0:v>
      </ns0:c>
      <ns0:c r="Q33" s="1" t="n">
        <ns0:v>2.609</ns0:v>
      </ns0:c>
      <ns0:c r="R33" s="1" t="n">
        <ns0:v>1.904</ns0:v>
      </ns0:c>
    </ns0:row>
    <ns0:row r="34" ht="39.75" customHeight="1">
      <ns0:c r="C34" s="1" t="inlineStr">
        <ns0:is>
          <ns0:t>- Result tension test is OK</ns0:t>
        </ns0:is>
      </ns0:c>
    </ns0:row>
    <ns0:row r="35" ht="39.75" customHeight="1">
      <ns0:c r="B35" s="1" t="inlineStr">
        <ns0:is>
          <ns0:t>4. Result Height check final sample</ns0:t>
        </ns0:is>
      </ns0:c>
    </ns0:row>
    <ns0:row r="36" ht="39.75" customHeight="1">
      <ns0:c r="C36" s="1" t="inlineStr">
        <ns0:is>
          <ns0:t>No</ns0:t>
        </ns0:is>
      </ns0:c>
      <ns0:c r="D36" s="1" t="inlineStr">
        <ns0:is>
          <ns0:t>Date</ns0:t>
        </ns0:is>
      </ns0:c>
      <ns0:c r="E36" s="1" t="inlineStr">
        <ns0:is>
          <ns0:t>Item</ns0:t>
        </ns0:is>
      </ns0:c>
      <ns0:c r="F36" s="1" t="inlineStr">
        <ns0:is>
          <ns0:t>Input</ns0:t>
        </ns0:is>
      </ns0:c>
      <ns0:c r="G36" s="1" t="inlineStr">
        <ns0:is>
          <ns0:t>OK</ns0:t>
        </ns0:is>
      </ns0:c>
      <ns0:c r="H36" s="1" t="inlineStr">
        <ns0:is>
          <ns0:t xml:space="preserve">NG </ns0:t>
        </ns0:is>
      </ns0:c>
      <ns0:c r="I36" s="1" t="inlineStr">
        <ns0:is>
          <ns0:t>NG rate</ns0:t>
        </ns0:is>
      </ns0:c>
    </ns0:row>
    <ns0:row r="37" ht="39.75" customHeight="1">
      <ns0:c r="C37" s="1" t="n">
        <ns0:v>1</ns0:v>
      </ns0:c>
      <ns0:c r="D37" s="2" t="n">
        <ns0:v>46140</ns0:v>
      </ns0:c>
      <ns0:c r="E37" s="1" t="inlineStr">
        <ns0:is>
          <ns0:t>Test</ns0:t>
        </ns0:is>
      </ns0:c>
      <ns0:c r="F37" s="1" t="n">
        <ns0:v>288</ns0:v>
      </ns0:c>
      <ns0:c r="G37" s="1">
        <ns0:f>F37-H37</ns0:f>
        <ns0:v/>
      </ns0:c>
      <ns0:c r="H37" s="1" t="n">
        <ns0:v>139</ns0:v>
      </ns0:c>
      <ns0:c r="I37" s="1">
        <ns0:f>H37/F37</ns0:f>
        <ns0:v/>
      </ns0:c>
    </ns0:row>
    <ns0:row r="38" ht="39.75" customHeight="1">
      <ns0:c r="C38" s="1" t="n">
        <ns0:v>2</ns0:v>
      </ns0:c>
      <ns0:c r="E38" s="1" t="inlineStr">
        <ns0:is>
          <ns0:t xml:space="preserve">Normal </ns0:t>
        </ns0:is>
      </ns0:c>
      <ns0:c r="F38" s="1" t="n">
        <ns0:v>300</ns0:v>
      </ns0:c>
      <ns0:c r="G38" s="1">
        <ns0:f>F38-H38</ns0:f>
        <ns0:v/>
      </ns0:c>
      <ns0:c r="H38" s="1" t="n">
        <ns0:v>5</ns0:v>
      </ns0:c>
      <ns0:c r="I38" s="1">
        <ns0:f>H38/F38</ns0:f>
        <ns0:v/>
      </ns0:c>
    </ns0:row>
    <ns0:row r="39" ht="39.75" customHeight="1">
      <ns0:c r="C39" s="1" t="inlineStr">
        <ns0:is>
          <ns0:t>* Process Height check final samplle happen NG 48.3% =&gt; Check again by vision manual OK 100%</ns0:t>
        </ns0:is>
      </ns0:c>
    </ns0:row>
    <ns0:row r="40" ht="39.75" customHeight="1">
      <ns0:c r="C40" s="1">
        <ns0:f>&gt; PE setting machine but still NG ( PE member inform can not setting more)</ns0:f>
        <ns0:v/>
      </ns0:c>
    </ns0:row>
    <ns0:row r="41" ht="39.75" customHeight="1">
      <ns0:c r="B41" s="1" t="inlineStr">
        <ns0:is>
          <ns0:t>5. Result check function</ns0:t>
        </ns0:is>
      </ns0:c>
    </ns0:row>
    <ns0:row r="42" ht="39.75" customHeight="1">
      <ns0:c r="C42" s="1" t="inlineStr">
        <ns0:is>
          <ns0:t>No</ns0:t>
        </ns0:is>
      </ns0:c>
      <ns0:c r="D42" s="1" t="inlineStr">
        <ns0:is>
          <ns0:t>Date</ns0:t>
        </ns0:is>
      </ns0:c>
      <ns0:c r="E42" s="1" t="inlineStr">
        <ns0:is>
          <ns0:t>Item</ns0:t>
        </ns0:is>
      </ns0:c>
      <ns0:c r="F42" s="1" t="inlineStr">
        <ns0:is>
          <ns0:t>Input</ns0:t>
        </ns0:is>
      </ns0:c>
      <ns0:c r="G42" s="1" t="inlineStr">
        <ns0:is>
          <ns0:t>OK</ns0:t>
        </ns0:is>
      </ns0:c>
      <ns0:c r="H42" s="1" t="inlineStr">
        <ns0:is>
          <ns0:t>NG BAKO</ns0:t>
        </ns0:is>
      </ns0:c>
      <ns0:c r="M42" s="1" t="inlineStr">
        <ns0:is>
          <ns0:t>HEARING</ns0:t>
        </ns0:is>
      </ns0:c>
      <ns0:c r="Q42" s="1" t="inlineStr">
        <ns0:is>
          <ns0:t>Total NG</ns0:t>
        </ns0:is>
      </ns0:c>
      <ns0:c r="R42" s="1" t="inlineStr">
        <ns0:is>
          <ns0:t>Total NG rate</ns0:t>
        </ns0:is>
      </ns0:c>
    </ns0:row>
    <ns0:row r="43" ht="39.75" customHeight="1">
      <ns0:c r="H43" s="1" t="inlineStr">
        <ns0:is>
          <ns0:t>FRF high</ns0:t>
        </ns0:is>
      </ns0:c>
      <ns0:c r="I43" s="1" t="inlineStr">
        <ns0:is>
          <ns0:t>FRF Low</ns0:t>
        </ns0:is>
      </ns0:c>
      <ns0:c r="J43" s="1" t="inlineStr">
        <ns0:is>
          <ns0:t>FRF+SPL</ns0:t>
        </ns0:is>
      </ns0:c>
      <ns0:c r="K43" s="1" t="inlineStr">
        <ns0:is>
          <ns0:t>THD</ns0:t>
        </ns0:is>
      </ns0:c>
      <ns0:c r="L43" s="1" t="inlineStr">
        <ns0:is>
          <ns0:t>No sound</ns0:t>
        </ns0:is>
      </ns0:c>
      <ns0:c r="M43" s="1" t="inlineStr">
        <ns0:is>
          <ns0:t>Input</ns0:t>
        </ns0:is>
      </ns0:c>
      <ns0:c r="N43" s="1" t="inlineStr">
        <ns0:is>
          <ns0:t>Touch</ns0:t>
        </ns0:is>
      </ns0:c>
      <ns0:c r="O43" s="1" t="inlineStr">
        <ns0:is>
          <ns0:t>Noise</ns0:t>
        </ns0:is>
      </ns0:c>
      <ns0:c r="P43" s="1" t="inlineStr">
        <ns0:is>
          <ns0:t>No sound</ns0:t>
        </ns0:is>
      </ns0:c>
    </ns0:row>
    <ns0:row r="44" ht="39.75" customHeight="1">
      <ns0:c r="C44" s="1" t="n">
        <ns0:v>1</ns0:v>
      </ns0:c>
      <ns0:c r="D44" s="2" t="n">
        <ns0:v>46140</ns0:v>
      </ns0:c>
      <ns0:c r="E44" s="1" t="inlineStr">
        <ns0:is>
          <ns0:t>Test</ns0:t>
        </ns0:is>
      </ns0:c>
      <ns0:c r="F44" s="1" t="n">
        <ns0:v>287</ns0:v>
      </ns0:c>
      <ns0:c r="G44" s="1">
        <ns0:f>F44-(H44+I44+J44+K44+L44)</ns0:f>
        <ns0:v/>
      </ns0:c>
      <ns0:c r="H44" s="1" t="n">
        <ns0:v>8</ns0:v>
      </ns0:c>
      <ns0:c r="I44" s="1" t="n">
        <ns0:v>1</ns0:v>
      </ns0:c>
      <ns0:c r="J44" s="1" t="n">
        <ns0:v>2</ns0:v>
      </ns0:c>
      <ns0:c r="K44" s="1" t="n">
        <ns0:v>0</ns0:v>
      </ns0:c>
      <ns0:c r="L44" s="1" t="n">
        <ns0:v>0</ns0:v>
      </ns0:c>
      <ns0:c r="M44" s="1">
        <ns0:f>+F44-L44-J44-I44-H44-K44</ns0:f>
        <ns0:v/>
      </ns0:c>
      <ns0:c r="N44" s="1" t="n">
        <ns0:v>0</ns0:v>
      </ns0:c>
      <ns0:c r="O44" s="1" t="n">
        <ns0:v>0</ns0:v>
      </ns0:c>
      <ns0:c r="P44" s="1" t="n">
        <ns0:v>0</ns0:v>
      </ns0:c>
      <ns0:c r="Q44" s="1">
        <ns0:f>+H44+I44+J44+K44+L44+N44+O44+P44</ns0:f>
        <ns0:v/>
      </ns0:c>
      <ns0:c r="R44" s="1">
        <ns0:f>Q44/F44</ns0:f>
        <ns0:v/>
      </ns0:c>
    </ns0:row>
    <ns0:row r="45" ht="39.75" customHeight="1">
      <ns0:c r="H45" s="1">
        <ns0:f>+H44/F44</ns0:f>
        <ns0:v/>
      </ns0:c>
      <ns0:c r="I45" s="1">
        <ns0:f>I44/F44</ns0:f>
        <ns0:v/>
      </ns0:c>
      <ns0:c r="J45" s="1">
        <ns0:f>+J44/F44</ns0:f>
        <ns0:v/>
      </ns0:c>
      <ns0:c r="K45" s="1">
        <ns0:f>+K44/F44</ns0:f>
        <ns0:v/>
      </ns0:c>
      <ns0:c r="L45" s="1">
        <ns0:f>+L44/F44</ns0:f>
        <ns0:v/>
      </ns0:c>
      <ns0:c r="N45" s="1">
        <ns0:f>N44/M44</ns0:f>
        <ns0:v/>
      </ns0:c>
      <ns0:c r="O45" s="1">
        <ns0:f>O44/M44</ns0:f>
        <ns0:v/>
      </ns0:c>
      <ns0:c r="P45" s="1">
        <ns0:f>P44/M44</ns0:f>
        <ns0:v/>
      </ns0:c>
    </ns0:row>
    <ns0:row r="46" ht="39.75" customHeight="1">
      <ns0:c r="C46" s="1" t="n">
        <ns0:v>2</ns0:v>
      </ns0:c>
      <ns0:c r="E46" s="1" t="inlineStr">
        <ns0:is>
          <ns0:t>Normal</ns0:t>
        </ns0:is>
      </ns0:c>
      <ns0:c r="F46" s="1" t="n">
        <ns0:v>300</ns0:v>
      </ns0:c>
      <ns0:c r="G46" s="1">
        <ns0:f>F46-(H46+I46+J46+K46+L46)</ns0:f>
        <ns0:v/>
      </ns0:c>
      <ns0:c r="H46" s="1" t="n">
        <ns0:v>4</ns0:v>
      </ns0:c>
      <ns0:c r="I46" s="1" t="n">
        <ns0:v>0</ns0:v>
      </ns0:c>
      <ns0:c r="J46" s="1" t="n">
        <ns0:v>2</ns0:v>
      </ns0:c>
      <ns0:c r="K46" s="1" t="n">
        <ns0:v>0</ns0:v>
      </ns0:c>
      <ns0:c r="L46" s="1" t="n">
        <ns0:v>0</ns0:v>
      </ns0:c>
      <ns0:c r="M46" s="1">
        <ns0:f>+F46-L46-J46-I46-H46-K46</ns0:f>
        <ns0:v/>
      </ns0:c>
      <ns0:c r="N46" s="1" t="n">
        <ns0:v>0</ns0:v>
      </ns0:c>
      <ns0:c r="O46" s="1" t="n">
        <ns0:v>0</ns0:v>
      </ns0:c>
      <ns0:c r="P46" s="1" t="n">
        <ns0:v>0</ns0:v>
      </ns0:c>
      <ns0:c r="Q46" s="1">
        <ns0:f>+H46+I46+J46+K46+L46+N46+O46+P46</ns0:f>
        <ns0:v/>
      </ns0:c>
      <ns0:c r="R46" s="1">
        <ns0:f>Q46/F46</ns0:f>
        <ns0:v/>
      </ns0:c>
    </ns0:row>
    <ns0:row r="47" ht="39.75" customHeight="1">
      <ns0:c r="H47" s="1">
        <ns0:f>+H46/F46</ns0:f>
        <ns0:v/>
      </ns0:c>
      <ns0:c r="I47" s="1">
        <ns0:f>I46/F46</ns0:f>
        <ns0:v/>
      </ns0:c>
      <ns0:c r="J47" s="1">
        <ns0:f>+J46/F46</ns0:f>
        <ns0:v/>
      </ns0:c>
      <ns0:c r="K47" s="1">
        <ns0:f>+K46/F46</ns0:f>
        <ns0:v/>
      </ns0:c>
      <ns0:c r="L47" s="1">
        <ns0:f>+L46/F46</ns0:f>
        <ns0:v/>
      </ns0:c>
      <ns0:c r="N47" s="1">
        <ns0:f>N46/M46</ns0:f>
        <ns0:v/>
      </ns0:c>
      <ns0:c r="O47" s="1">
        <ns0:f>O46/M46</ns0:f>
        <ns0:v/>
      </ns0:c>
      <ns0:c r="P47" s="1">
        <ns0:f>P46/M46</ns0:f>
        <ns0:v/>
      </ns0:c>
    </ns0:row>
    <ns0:row r="48" ht="39.75" customHeight="1">
      <ns0:c r="C48" s="1" t="inlineStr">
        <ns0:is>
          <ns0:t>- Decap check reason NG bako don't happen NG CM+Yoke separate</ns0:t>
        </ns0:is>
      </ns0:c>
    </ns0:row>
    <ns0:row r="49" ht="39.75" customHeight="1"/>
    <ns0:row r="50" ht="39.75" customHeight="1"/>
    <ns0:row r="51" ht="39.75" customHeight="1"/>
    <ns0:row r="52" ht="39.75" customHeight="1"/>
    <ns0:row r="53" ht="39.75" customHeight="1"/>
    <ns0:row r="54" ht="44.25" customHeight="1">
      <ns0:c r="B54" s="1" t="inlineStr">
        <ns0:is>
          <ns0:t>IV. Decision</ns0:t>
        </ns0:is>
      </ns0:c>
    </ns0:row>
    <ns0:row r="55" ht="44.25" customHeight="1">
      <ns0:c r="B55" s="1" t="inlineStr">
        <ns0:is>
          <ns0:t>- Result check spread bond, tension CM+Yoke and Drop test is OK</ns0:t>
        </ns0:is>
      </ns0:c>
    </ns0:row>
    <ns0:row r="56" ht="44.25" customHeight="1">
      <ns0:c r="B56" s="1" t="inlineStr">
        <ns0:is>
          <ns0:t>- Result check function NG high than normal ( Sample NG don't happen CM+Yoke separate)</ns0:t>
        </ns0:is>
      </ns0:c>
    </ns0:row>
    <ns0:row r="57" ht="44.25" customHeight="1">
      <ns0:c r="B57" s="1" t="inlineStr">
        <ns0:is>
          <ns0:t>- Process Height check final sampple happen NG 48.3% =&gt; Can not use</ns0:t>
        </ns0:is>
      </ns0:c>
    </ns0:row>
    <ns0:row r="58" ht="41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Q55"/>
  <ns0:sheetViews>
    <ns0:sheetView workbookViewId="0">
      <ns0:selection activeCell="A1" sqref="A1"/>
    </ns0:sheetView>
  </ns0:sheetViews>
  <ns0:sheetFormatPr baseColWidth="8" defaultRowHeight="15"/>
  <ns0:cols>
    <ns0:col width="8.5" customWidth="1" min="2" max="2"/>
    <ns0:col width="8.5" customWidth="1" min="3" max="3"/>
    <ns0:col width="7.75" customWidth="1" min="4" max="4"/>
    <ns0:col width="7.75" customWidth="1" min="5" max="5"/>
    <ns0:col width="11.5" customWidth="1" min="6" max="6"/>
    <ns0:col width="11.63" customWidth="1" min="7" max="7"/>
    <ns0:col width="13.63" customWidth="1" min="8" max="8"/>
    <ns0:col width="8.5" customWidth="1" min="9" max="9"/>
    <ns0:col width="8.5" customWidth="1" min="10" max="10"/>
    <ns0:col width="8.5" customWidth="1" min="11" max="11"/>
    <ns0:col width="16.13" customWidth="1" min="12" max="12"/>
    <ns0:col width="16.13" customWidth="1" min="13" max="13"/>
    <ns0:col width="16.13" customWidth="1" min="14" max="14"/>
    <ns0:col width="16.13" customWidth="1" min="15" max="15"/>
    <ns0:col width="16.13" customWidth="1" min="16" max="16"/>
    <ns0:col width="9.75" customWidth="1" min="17" max="17"/>
  </ns0:cols>
  <ns0:sheetData>
    <ns0:row r="1" ht="15.75" customHeight="1"/>
    <ns0:row r="2" ht="15" customHeight="1">
      <ns0:c r="B2" s="3" t="inlineStr">
        <ns0:is>
          <ns0:t>TITLE</ns0:t>
        </ns0:is>
      </ns0:c>
      <ns0:c r="D2" s="3" t="inlineStr">
        <ns0:is>
          <ns0:t xml:space="preserve">REPORT ANALYZE SAMPLE NG FUNCTION </ns0:t>
        </ns0:is>
      </ns0:c>
      <ns0:c r="P2" s="3" t="inlineStr">
        <ns0:is>
          <ns0:t>Dept</ns0:t>
        </ns0:is>
      </ns0:c>
      <ns0:c r="Q2" s="3" t="inlineStr">
        <ns0:is>
          <ns0:t>ME</ns0:t>
        </ns0:is>
      </ns0:c>
    </ns0:row>
    <ns0:row r="3" ht="15" customHeight="1">
      <ns0:c r="P3" s="3" t="inlineStr">
        <ns0:is>
          <ns0:t>Date</ns0:t>
        </ns0:is>
      </ns0:c>
      <ns0:c r="Q3" s="4" t="n">
        <ns0:v>46141</ns0:v>
      </ns0:c>
    </ns0:row>
    <ns0:row r="4" ht="15" customHeight="1">
      <ns0:c r="P4" s="3" t="inlineStr">
        <ns0:is>
          <ns0:t xml:space="preserve">Maker </ns0:t>
        </ns0:is>
      </ns0:c>
      <ns0:c r="Q4" s="3" t="inlineStr">
        <ns0:is>
          <ns0:t>Nhung</ns0:t>
        </ns0:is>
      </ns0:c>
    </ns0:row>
    <ns0:row r="5" ht="15" customHeight="1">
      <ns0:c r="B5" s="3" t="inlineStr">
        <ns0:is>
          <ns0:t>I. Purpose.</ns0:t>
        </ns0:is>
      </ns0:c>
    </ns0:row>
    <ns0:row r="6" ht="15" customHeight="1">
      <ns0:c r="B6" s="3" t="inlineStr">
        <ns0:is>
          <ns0:t>-NG Bako lot test Yoke diffrence colour</ns0:t>
        </ns0:is>
      </ns0:c>
    </ns0:row>
    <ns0:row r="7" ht="15" customHeight="1">
      <ns0:c r="B7" s="3" t="inlineStr">
        <ns0:is>
          <ns0:t>II. Content.</ns0:t>
        </ns0:is>
      </ns0:c>
    </ns0:row>
    <ns0:row r="8" ht="15" customHeight="1">
      <ns0:c r="B8" s="3" t="inlineStr">
        <ns0:is>
          <ns0:t>Decap and check reason</ns0:t>
        </ns0:is>
      </ns0:c>
      <ns0:c r="Q8" s="3" t="inlineStr">
        <ns0:is>
          <ns0:t> </ns0:t>
        </ns0:is>
      </ns0:c>
    </ns0:row>
    <ns0:row r="9" ht="15" customHeight="1">
      <ns0:c r="B9" s="3" t="inlineStr">
        <ns0:is>
          <ns0:t>III. Result.</ns0:t>
        </ns0:is>
      </ns0:c>
    </ns0:row>
    <ns0:row r="10" ht="15" customHeight="1">
      <ns0:c r="B10" s="3" t="inlineStr">
        <ns0:is>
          <ns0:t>I. NG BAKO</ns0:t>
        </ns0:is>
      </ns0:c>
    </ns0:row>
    <ns0:row r="11" ht="15" customHeight="1">
      <ns0:c r="C11" s="3" t="inlineStr">
        <ns0:is>
          <ns0:t xml:space="preserve"> ※ SYNTHETIC ANALYSE RESULT NG BAKO
</ns0:t>
        </ns0:is>
      </ns0:c>
      <ns0:c r="G11" s="3" t="inlineStr">
        <ns0:is>
          <ns0:t>LINE L - D3-3B</ns0:t>
        </ns0:is>
      </ns0:c>
    </ns0:row>
    <ns0:row r="12" ht="12.75" customHeight="1">
      <ns0:c r="C12" s="3" t="inlineStr">
        <ns0:is>
          <ns0:t>No</ns0:t>
        </ns0:is>
      </ns0:c>
      <ns0:c r="D12" s="3" t="inlineStr">
        <ns0:is>
          <ns0:t>TYPE</ns0:t>
        </ns0:is>
      </ns0:c>
      <ns0:c r="G12" s="3" t="inlineStr">
        <ns0:is>
          <ns0:t>REASON NG</ns0:t>
        </ns0:is>
      </ns0:c>
      <ns0:c r="I12" s="3" t="inlineStr">
        <ns0:is>
          <ns0:t>Q'ty analyse</ns0:t>
        </ns0:is>
      </ns0:c>
      <ns0:c r="J12" s="3" t="inlineStr">
        <ns0:is>
          <ns0:t>Q'ty NG</ns0:t>
        </ns0:is>
      </ns0:c>
      <ns0:c r="K12" s="3" t="inlineStr">
        <ns0:is>
          <ns0:t>NG rate</ns0:t>
        </ns0:is>
      </ns0:c>
    </ns0:row>
    <ns0:row r="13" ht="12.75" customHeight="1"/>
    <ns0:row r="14" ht="12.75" customHeight="1">
      <ns0:c r="C14" s="3" t="n">
        <ns0:v>1</ns0:v>
      </ns0:c>
      <ns0:c r="D14" s="3">
        <ns0:f>C23</ns0:f>
        <ns0:v/>
      </ns0:c>
      <ns0:c r="G14" s="3">
        <ns0:f>G23</ns0:f>
        <ns0:v/>
      </ns0:c>
      <ns0:c r="I14" s="3">
        <ns0:f>I23</ns0:f>
        <ns0:v/>
      </ns0:c>
      <ns0:c r="J14" s="3">
        <ns0:f>J23</ns0:f>
        <ns0:v/>
      </ns0:c>
      <ns0:c r="K14" s="3">
        <ns0:f>J14/I14</ns0:f>
        <ns0:v/>
      </ns0:c>
    </ns0:row>
    <ns0:row r="15" ht="10.5" customHeight="1">
      <ns0:c r="G15" s="3">
        <ns0:f>G29</ns0:f>
        <ns0:v/>
      </ns0:c>
      <ns0:c r="J15" s="3">
        <ns0:f>J29</ns0:f>
        <ns0:v/>
      </ns0:c>
      <ns0:c r="K15" s="3">
        <ns0:f>J15/I14</ns0:f>
        <ns0:v/>
      </ns0:c>
    </ns0:row>
    <ns0:row r="16" ht="12.75" customHeight="1">
      <ns0:c r="C16" s="3" t="n">
        <ns0:v>2</ns0:v>
      </ns0:c>
      <ns0:c r="D16" s="3">
        <ns0:f>C35</ns0:f>
        <ns0:v/>
      </ns0:c>
      <ns0:c r="G16" s="3">
        <ns0:f>G35</ns0:f>
        <ns0:v/>
      </ns0:c>
      <ns0:c r="J16" s="3">
        <ns0:f>J35</ns0:f>
        <ns0:v/>
      </ns0:c>
      <ns0:c r="K16" s="3">
        <ns0:f>J16/I14</ns0:f>
        <ns0:v/>
      </ns0:c>
    </ns0:row>
    <ns0:row r="17" ht="12.75" customHeight="1">
      <ns0:c r="C17" s="3" t="n">
        <ns0:v>3</ns0:v>
      </ns0:c>
      <ns0:c r="D17" s="3">
        <ns0:f>C41</ns0:f>
        <ns0:v/>
      </ns0:c>
      <ns0:c r="G17" s="3">
        <ns0:f>G41</ns0:f>
        <ns0:v/>
      </ns0:c>
      <ns0:c r="J17" s="3">
        <ns0:f>J41</ns0:f>
        <ns0:v/>
      </ns0:c>
      <ns0:c r="K17" s="3">
        <ns0:f>J17/I14</ns0:f>
        <ns0:v/>
      </ns0:c>
    </ns0:row>
    <ns0:row r="18" ht="12.75" customHeight="1">
      <ns0:c r="C18" s="3" t="n">
        <ns0:v>4</ns0:v>
      </ns0:c>
      <ns0:c r="D18" s="3">
        <ns0:f>C47</ns0:f>
        <ns0:v/>
      </ns0:c>
      <ns0:c r="G18" s="3">
        <ns0:f>G47</ns0:f>
        <ns0:v/>
      </ns0:c>
      <ns0:c r="J18" s="3">
        <ns0:f>J47</ns0:f>
        <ns0:v/>
      </ns0:c>
      <ns0:c r="K18" s="3">
        <ns0:f>J18/I14</ns0:f>
        <ns0:v/>
      </ns0:c>
    </ns0:row>
    <ns0:row r="21" ht="15" customHeight="1"/>
    <ns0:row r="22" ht="15" customHeight="1">
      <ns0:c r="C22" s="3" t="inlineStr">
        <ns0:is>
          <ns0:t>TYPE</ns0:t>
        </ns0:is>
      </ns0:c>
      <ns0:c r="G22" s="3" t="inlineStr">
        <ns0:is>
          <ns0:t>REASON NG</ns0:t>
        </ns0:is>
      </ns0:c>
      <ns0:c r="I22" s="3" t="inlineStr">
        <ns0:is>
          <ns0:t>Total</ns0:t>
        </ns0:is>
      </ns0:c>
      <ns0:c r="J22" s="3" t="inlineStr">
        <ns0:is>
          <ns0:t>Q'ty</ns0:t>
        </ns0:is>
      </ns0:c>
      <ns0:c r="K22" s="3" t="inlineStr">
        <ns0:is>
          <ns0:t>Portion</ns0:t>
        </ns0:is>
      </ns0:c>
      <ns0:c r="L22" s="3" t="inlineStr">
        <ns0:is>
          <ns0:t>Decap reason</ns0:t>
        </ns0:is>
      </ns0:c>
    </ns0:row>
    <ns0:row r="23" ht="14.25" customHeight="1">
      <ns0:c r="C23" s="3" t="inlineStr">
        <ns0:is>
          <ns0:t>NG FRF &amp; SPL</ns0:t>
        </ns0:is>
      </ns0:c>
      <ns0:c r="G23" s="3" t="inlineStr">
        <ns0:is>
          <ns0:t>Over glue</ns0:t>
        </ns0:is>
      </ns0:c>
      <ns0:c r="I23" s="3">
        <ns0:f>SUM(J23:J55)</ns0:f>
        <ns0:v/>
      </ns0:c>
      <ns0:c r="J23" s="3" t="n">
        <ns0:v>1</ns0:v>
      </ns0:c>
      <ns0:c r="K23" s="3">
        <ns0:f>J23/I23</ns0:f>
        <ns0:v/>
      </ns0:c>
    </ns0:row>
    <ns0:row r="24" ht="14.25" customHeight="1"/>
    <ns0:row r="25" ht="14.25" customHeight="1"/>
    <ns0:row r="26" ht="14.25" customHeight="1"/>
    <ns0:row r="27" ht="14.25" customHeight="1"/>
    <ns0:row r="28" ht="14.25" customHeight="1"/>
    <ns0:row r="29" ht="14.25" customHeight="1">
      <ns0:c r="G29" s="3" t="inlineStr">
        <ns0:is>
          <ns0:t>Coil deform</ns0:t>
        </ns0:is>
      </ns0:c>
      <ns0:c r="J29" s="3" t="n">
        <ns0:v>1</ns0:v>
      </ns0:c>
      <ns0:c r="K29" s="3">
        <ns0:f>J29/I23</ns0:f>
        <ns0:v/>
      </ns0:c>
    </ns0:row>
    <ns0:row r="30" ht="14.25" customHeight="1"/>
    <ns0:row r="31" ht="14.25" customHeight="1"/>
    <ns0:row r="32" ht="14.25" customHeight="1"/>
    <ns0:row r="33" ht="14.25" customHeight="1"/>
    <ns0:row r="34" ht="14.25" customHeight="1"/>
    <ns0:row r="35" ht="14.25" customHeight="1">
      <ns0:c r="C35" s="3" t="inlineStr">
        <ns0:is>
          <ns0:t>NG FRF Low</ns0:t>
        </ns0:is>
      </ns0:c>
      <ns0:c r="G35" s="3" t="inlineStr">
        <ns0:is>
          <ns0:t xml:space="preserve">Lack glue </ns0:t>
        </ns0:is>
      </ns0:c>
      <ns0:c r="J35" s="3" t="n">
        <ns0:v>1</ns0:v>
      </ns0:c>
      <ns0:c r="K35" s="3">
        <ns0:f>J35/I23</ns0:f>
        <ns0:v/>
      </ns0:c>
    </ns0:row>
    <ns0:row r="36" ht="14.25" customHeight="1"/>
    <ns0:row r="37" ht="14.25" customHeight="1"/>
    <ns0:row r="38" ht="14.25" customHeight="1"/>
    <ns0:row r="39" ht="14.25" customHeight="1"/>
    <ns0:row r="40" ht="14.25" customHeight="1"/>
    <ns0:row r="41" ht="14.25" customHeight="1">
      <ns0:c r="C41" s="3" t="inlineStr">
        <ns0:is>
          <ns0:t>NG FRF hight</ns0:t>
        </ns0:is>
      </ns0:c>
      <ns0:c r="G41" s="3" t="inlineStr">
        <ns0:is>
          <ns0:t>Fr+VP separate , offset</ns0:t>
        </ns0:is>
      </ns0:c>
      <ns0:c r="J41" s="3" t="n">
        <ns0:v>3</ns0:v>
      </ns0:c>
      <ns0:c r="K41" s="3">
        <ns0:f>J41/I23</ns0:f>
        <ns0:v/>
      </ns0:c>
    </ns0:row>
    <ns0:row r="42" ht="14.25" customHeight="1"/>
    <ns0:row r="43" ht="14.25" customHeight="1"/>
    <ns0:row r="44" ht="14.25" customHeight="1"/>
    <ns0:row r="45" ht="14.25" customHeight="1"/>
    <ns0:row r="46" ht="14.25" customHeight="1"/>
    <ns0:row r="47" ht="9" customHeight="1">
      <ns0:c r="C47" s="3" t="inlineStr">
        <ns0:is>
          <ns0:t>Don't know reason</ns0:t>
        </ns0:is>
      </ns0:c>
      <ns0:c r="G47" s="3" t="inlineStr">
        <ns0:is>
          <ns0:t>Don't know reason</ns0:t>
        </ns0:is>
      </ns0:c>
      <ns0:c r="J47" s="3" t="n">
        <ns0:v>5</ns0:v>
      </ns0:c>
      <ns0:c r="K47" s="3">
        <ns0:f>J47/I23</ns0:f>
        <ns0:v/>
      </ns0:c>
    </ns0:row>
    <ns0:row r="48" ht="9" customHeight="1"/>
    <ns0:row r="49" ht="9" customHeight="1"/>
    <ns0:row r="50" ht="9" customHeight="1"/>
    <ns0:row r="51" ht="9" customHeight="1"/>
    <ns0:row r="52" ht="9" customHeight="1"/>
    <ns0:row r="53" ht="9" customHeight="1"/>
    <ns0:row r="54" ht="9" customHeight="1"/>
    <ns0:row r="55" ht="9" customHeight="1"/>
    <ns0:row r="56" ht="9.75" customHeight="1"/>
  </ns0:sheetData>
  <ns0:mergeCells count="1">
    <ns0:mergeCell ref="P47:P5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2026-05-12T08:15:49Z</dcterms:created>
  <dcterms:modified xsi:type="dcterms:W3CDTF">2026-05-12T08:18:04Z</dcterms:modified>
</cp:coreProperties>
</file>