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S66"/>
  <ns0:sheetViews>
    <ns0:sheetView workbookViewId="0">
      <ns0:selection activeCell="A1" sqref="A1"/>
    </ns0:sheetView>
  </ns0:sheetViews>
  <ns0:sheetFormatPr baseColWidth="8" defaultRowHeight="15"/>
  <ns0:cols>
    <ns0:col width="7.25" customWidth="1" min="1" max="1"/>
    <ns0:col width="16.75" customWidth="1" min="2" max="2"/>
    <ns0:col width="21.25" customWidth="1" min="3" max="3"/>
    <ns0:col width="26" customWidth="1" min="4" max="4"/>
    <ns0:col width="33" customWidth="1" min="5" max="5"/>
    <ns0:col width="26.38" customWidth="1" min="6" max="6"/>
    <ns0:col width="26.38" customWidth="1" min="7" max="7"/>
    <ns0:col width="26.38" customWidth="1" min="8" max="8"/>
    <ns0:col width="26.38" customWidth="1" min="9" max="9"/>
    <ns0:col width="26.38" customWidth="1" min="10" max="10"/>
    <ns0:col width="26.38" customWidth="1" min="11" max="11"/>
    <ns0:col width="24.13" customWidth="1" min="12" max="12"/>
    <ns0:col width="24.13" customWidth="1" min="13" max="13"/>
    <ns0:col width="24.13" customWidth="1" min="14" max="14"/>
    <ns0:col width="24.13" customWidth="1" min="15" max="15"/>
    <ns0:col width="24.13" customWidth="1" min="16" max="16"/>
    <ns0:col width="24.13" customWidth="1" min="17" max="17"/>
    <ns0:col width="24.13" customWidth="1" min="18" max="18"/>
    <ns0:col width="23.75" customWidth="1" min="19" max="19"/>
    <ns0:col width="8.5" customWidth="1" min="20" max="20"/>
    <ns0:col width="8.5" customWidth="1" min="21" max="21"/>
    <ns0:col width="8.5" customWidth="1" min="22" max="22"/>
    <ns0:col width="8.5" customWidth="1" min="23" max="23"/>
    <ns0:col width="8.5" customWidth="1" min="24" max="24"/>
    <ns0:col width="8.5" customWidth="1" min="25" max="25"/>
    <ns0:col width="8.5" customWidth="1" min="26" max="26"/>
    <ns0:col width="8.5" customWidth="1" min="27" max="27"/>
    <ns0:col width="8.5" customWidth="1" min="28" max="28"/>
    <ns0:col width="8.5" customWidth="1" min="29" max="29"/>
    <ns0:col width="8.5" customWidth="1" min="30" max="30"/>
    <ns0:col width="8.5" customWidth="1" min="31" max="31"/>
    <ns0:col width="8.5" customWidth="1" min="32" max="32"/>
    <ns0:col width="8.5" customWidth="1" min="33" max="33"/>
    <ns0:col width="8.5" customWidth="1" min="34" max="34"/>
    <ns0:col width="8.5" customWidth="1" min="35" max="35"/>
    <ns0:col width="8.5" customWidth="1" min="36" max="36"/>
    <ns0:col width="8.5" customWidth="1" min="37" max="37"/>
    <ns0:col width="8.5" customWidth="1" min="38" max="38"/>
    <ns0:col width="8.5" customWidth="1" min="39" max="39"/>
    <ns0:col width="8.5" customWidth="1" min="40" max="40"/>
    <ns0:col width="8.5" customWidth="1" min="41" max="41"/>
    <ns0:col width="8.5" customWidth="1" min="42" max="42"/>
    <ns0:col width="8.5" customWidth="1" min="43" max="43"/>
    <ns0:col width="8.5" customWidth="1" min="44" max="44"/>
    <ns0:col width="8.5" customWidth="1" min="45" max="45"/>
    <ns0:col width="8.5" customWidth="1" min="46" max="46"/>
    <ns0:col width="8.5" customWidth="1" min="47" max="47"/>
    <ns0:col width="8.5" customWidth="1" min="48" max="48"/>
    <ns0:col width="8.5" customWidth="1" min="49" max="49"/>
    <ns0:col width="8.5" customWidth="1" min="50" max="50"/>
    <ns0:col width="8.5" customWidth="1" min="51" max="51"/>
    <ns0:col width="8.5" customWidth="1" min="52" max="52"/>
    <ns0:col width="8.5" customWidth="1" min="53" max="53"/>
    <ns0:col width="8.5" customWidth="1" min="54" max="54"/>
    <ns0:col width="8.5" customWidth="1" min="55" max="55"/>
    <ns0:col width="8.5" customWidth="1" min="56" max="56"/>
    <ns0:col width="8.5" customWidth="1" min="57" max="57"/>
  </ns0:cols>
  <ns0:sheetData>
    <ns0:row r="1" ht="37.5" customHeight="1"/>
    <ns0:row r="2" ht="44.25" customHeight="1">
      <ns0:c r="B2" s="1" t="inlineStr">
        <ns0:is>
          <ns0:t>TITLE</ns0:t>
        </ns0:is>
      </ns0:c>
      <ns0:c r="D2" s="1" t="inlineStr">
        <ns0:is>
          <ns0:t xml:space="preserve">REPORT TEST YK 161014 OF NEW VENDER DOOJIN
BRS-161016  
</ns0:t>
        </ns0:is>
      </ns0:c>
      <ns0:c r="R2" s="1" t="inlineStr">
        <ns0:is>
          <ns0:t>Dept</ns0:t>
        </ns0:is>
      </ns0:c>
      <ns0:c r="S2" s="1" t="inlineStr">
        <ns0:is>
          <ns0:t>ME</ns0:t>
        </ns0:is>
      </ns0:c>
    </ns0:row>
    <ns0:row r="3" ht="44.25" customHeight="1">
      <ns0:c r="R3" s="1" t="inlineStr">
        <ns0:is>
          <ns0:t>Date</ns0:t>
        </ns0:is>
      </ns0:c>
      <ns0:c r="S3" s="2" t="n">
        <ns0:v>45600</ns0:v>
      </ns0:c>
    </ns0:row>
    <ns0:row r="4" ht="44.25" customHeight="1">
      <ns0:c r="R4" s="1" t="inlineStr">
        <ns0:is>
          <ns0:t>Marker</ns0:t>
        </ns0:is>
      </ns0:c>
      <ns0:c r="S4" s="1" t="inlineStr">
        <ns0:is>
          <ns0:t>Thuy</ns0:t>
        </ns0:is>
      </ns0:c>
    </ns0:row>
    <ns0:row r="5" ht="44.25" customHeight="1">
      <ns0:c r="B5" s="1" t="inlineStr">
        <ns0:is>
          <ns0:t>I. Purpose.</ns0:t>
        </ns0:is>
      </ns0:c>
    </ns0:row>
    <ns0:row r="6" ht="44.25" customHeight="1">
      <ns0:c r="B6" s="1" t="inlineStr">
        <ns0:is>
          <ns0:t xml:space="preserve"> - Test YK 161014 of new vender Doojin  can or can't use</ns0:t>
        </ns0:is>
      </ns0:c>
    </ns0:row>
    <ns0:row r="7" ht="44.25" customHeight="1"/>
    <ns0:row r="8" ht="44.25" customHeight="1"/>
    <ns0:row r="9" ht="44.25" customHeight="1"/>
    <ns0:row r="10" ht="44.25" customHeight="1"/>
    <ns0:row r="11" ht="44.25" customHeight="1"/>
    <ns0:row r="12" ht="44.25" customHeight="1"/>
    <ns0:row r="13" ht="44.25" customHeight="1"/>
    <ns0:row r="14" ht="44.25" customHeight="1">
      <ns0:c r="B14" s="1" t="inlineStr">
        <ns0:is>
          <ns0:t>II. Content.</ns0:t>
        </ns0:is>
      </ns0:c>
    </ns0:row>
    <ns0:row r="15" ht="44.25" customHeight="1">
      <ns0:c r="B15" s="1" t="inlineStr">
        <ns0:is>
          <ns0:t xml:space="preserve">-Make semi at sub  and check: </ns0:t>
        </ns0:is>
      </ns0:c>
    </ns0:row>
    <ns0:row r="16" ht="44.25" customHeight="1">
      <ns0:c r="C16" s="1" t="inlineStr">
        <ns0:is>
          <ns0:t>+ Decap check bond YK+SM, YK+ MG/PT</ns0:t>
        </ns0:is>
      </ns0:c>
    </ns0:row>
    <ns0:row r="17" ht="44.25" customHeight="1">
      <ns0:c r="C17" s="1" t="inlineStr">
        <ns0:is>
          <ns0:t>+ Tension test</ns0:t>
        </ns0:is>
      </ns0:c>
    </ns0:row>
    <ns0:row r="18" ht="44.25" customHeight="1">
      <ns0:c r="C18" s="1" t="inlineStr">
        <ns0:is>
          <ns0:t xml:space="preserve"> + Check visual</ns0:t>
        </ns0:is>
      </ns0:c>
    </ns0:row>
    <ns0:row r="19" ht="44.25" customHeight="1">
      <ns0:c r="C19" s="1" t="inlineStr">
        <ns0:is>
          <ns0:t xml:space="preserve"> + Drop test auto and manual</ns0:t>
        </ns0:is>
      </ns0:c>
    </ns0:row>
    <ns0:row r="20" ht="44.25" customHeight="1">
      <ns0:c r="B20" s="1" t="inlineStr">
        <ns0:is>
          <ns0:t xml:space="preserve"> - To make final and checking NG rate of function</ns0:t>
        </ns0:is>
      </ns0:c>
    </ns0:row>
    <ns0:row r="21" ht="44.25" customHeight="1">
      <ns0:c r="B21" s="1" t="inlineStr">
        <ns0:is>
          <ns0:t xml:space="preserve">III. Result </ns0:t>
        </ns0:is>
      </ns0:c>
    </ns0:row>
    <ns0:row r="22" ht="44.25" customHeight="1">
      <ns0:c r="C22" s="1" t="inlineStr">
        <ns0:is>
          <ns0:t xml:space="preserve">1. RESULT CHECKING AT SUB LINE </ns0:t>
        </ns0:is>
      </ns0:c>
    </ns0:row>
    <ns0:row r="23" ht="44.25" customHeight="1">
      <ns0:c r="C23" s="1" t="inlineStr">
        <ns0:is>
          <ns0:t>Date</ns0:t>
        </ns0:is>
      </ns0:c>
      <ns0:c r="D23" s="1" t="inlineStr">
        <ns0:is>
          <ns0:t>Line</ns0:t>
        </ns0:is>
      </ns0:c>
      <ns0:c r="E23" s="1" t="inlineStr">
        <ns0:is>
          <ns0:t xml:space="preserve">Type </ns0:t>
        </ns0:is>
      </ns0:c>
      <ns0:c r="F23" s="1" t="inlineStr">
        <ns0:is>
          <ns0:t xml:space="preserve">Input </ns0:t>
        </ns0:is>
      </ns0:c>
      <ns0:c r="G23" s="1" t="inlineStr">
        <ns0:is>
          <ns0:t>OK</ns0:t>
        </ns0:is>
      </ns0:c>
      <ns0:c r="H23" s="1" t="inlineStr">
        <ns0:is>
          <ns0:t xml:space="preserve">Vision Yoke </ns0:t>
        </ns0:is>
      </ns0:c>
      <ns0:c r="L23" s="1" t="inlineStr">
        <ns0:is>
          <ns0:t xml:space="preserve">Total NG </ns0:t>
        </ns0:is>
      </ns0:c>
      <ns0:c r="M23" s="1" t="inlineStr">
        <ns0:is>
          <ns0:t xml:space="preserve">NG Rate </ns0:t>
        </ns0:is>
      </ns0:c>
    </ns0:row>
    <ns0:row r="24" ht="44.25" customHeight="1">
      <ns0:c r="H24" s="1" t="inlineStr">
        <ns0:is>
          <ns0:t xml:space="preserve">SMG separate </ns0:t>
        </ns0:is>
      </ns0:c>
      <ns0:c r="I24" s="1" t="inlineStr">
        <ns0:is>
          <ns0:t xml:space="preserve">Yoke offset </ns0:t>
        </ns0:is>
      </ns0:c>
      <ns0:c r="J24" s="1" t="inlineStr">
        <ns0:is>
          <ns0:t xml:space="preserve">Particle </ns0:t>
        </ns0:is>
      </ns0:c>
      <ns0:c r="K24" s="1" t="inlineStr">
        <ns0:is>
          <ns0:t xml:space="preserve">Other </ns0:t>
        </ns0:is>
      </ns0:c>
    </ns0:row>
    <ns0:row r="25" ht="44.25" customHeight="1">
      <ns0:c r="C25" s="2" t="n">
        <ns0:v>45600</ns0:v>
      </ns0:c>
      <ns0:c r="D25" s="1" t="inlineStr">
        <ns0:is>
          <ns0:t>E2-3B</ns0:t>
        </ns0:is>
      </ns0:c>
      <ns0:c r="E25" s="1" t="inlineStr">
        <ns0:is>
          <ns0:t xml:space="preserve">YK test </ns0:t>
        </ns0:is>
      </ns0:c>
      <ns0:c r="F25" s="1" t="n">
        <ns0:v>192</ns0:v>
      </ns0:c>
      <ns0:c r="G25" s="1">
        <ns0:f>F25-L25</ns0:f>
        <ns0:v/>
      </ns0:c>
      <ns0:c r="H25" s="1" t="n">
        <ns0:v>0</ns0:v>
      </ns0:c>
      <ns0:c r="I25" s="1" t="n">
        <ns0:v>0</ns0:v>
      </ns0:c>
      <ns0:c r="J25" s="1" t="n">
        <ns0:v>0</ns0:v>
      </ns0:c>
      <ns0:c r="K25" s="1" t="n">
        <ns0:v>0</ns0:v>
      </ns0:c>
      <ns0:c r="L25" s="1">
        <ns0:f>K25+J25+I25+H25</ns0:f>
        <ns0:v/>
      </ns0:c>
      <ns0:c r="M25" s="1">
        <ns0:f>L25/F25</ns0:f>
        <ns0:v/>
      </ns0:c>
    </ns0:row>
    <ns0:row r="26" ht="44.25" customHeight="1">
      <ns0:c r="E26" s="1" t="inlineStr">
        <ns0:is>
          <ns0:t xml:space="preserve">Normal </ns0:t>
        </ns0:is>
      </ns0:c>
      <ns0:c r="F26" s="1" t="n">
        <ns0:v>200</ns0:v>
      </ns0:c>
      <ns0:c r="G26" s="1">
        <ns0:f>F26-L26</ns0:f>
        <ns0:v/>
      </ns0:c>
      <ns0:c r="H26" s="1" t="n">
        <ns0:v>0</ns0:v>
      </ns0:c>
      <ns0:c r="I26" s="1" t="n">
        <ns0:v>0</ns0:v>
      </ns0:c>
      <ns0:c r="J26" s="1" t="n">
        <ns0:v>0</ns0:v>
      </ns0:c>
      <ns0:c r="K26" s="1" t="n">
        <ns0:v>0</ns0:v>
      </ns0:c>
      <ns0:c r="L26" s="1">
        <ns0:f>K26+J26+I26+H26</ns0:f>
        <ns0:v/>
      </ns0:c>
      <ns0:c r="M26" s="1">
        <ns0:f>L26/F26</ns0:f>
        <ns0:v/>
      </ns0:c>
    </ns0:row>
    <ns0:row r="27" ht="44.25" customHeight="1">
      <ns0:c r="C27" s="1" t="inlineStr">
        <ns0:is>
          <ns0:t xml:space="preserve"> - Result check visual sub line type test YK new vender Doojin  is same normal YK</ns0:t>
        </ns0:is>
      </ns0:c>
    </ns0:row>
    <ns0:row r="28" ht="44.25" customHeight="1">
      <ns0:c r="C28" s="1" t="inlineStr">
        <ns0:is>
          <ns0:t>2. RESULT DECAP CHECK BOND MG-S-A/MG-S-B (YK+ SMG)  (Standard: ≥ 80%)</ns0:t>
        </ns0:is>
      </ns0:c>
    </ns0:row>
    <ns0:row r="29" ht="44.25" customHeight="1">
      <ns0:c r="C29" s="1" t="inlineStr">
        <ns0:is>
          <ns0:t>Date</ns0:t>
        </ns0:is>
      </ns0:c>
      <ns0:c r="D29" s="1" t="inlineStr">
        <ns0:is>
          <ns0:t>Type</ns0:t>
        </ns0:is>
      </ns0:c>
      <ns0:c r="E29" s="1" t="inlineStr">
        <ns0:is>
          <ns0:t>Input</ns0:t>
        </ns0:is>
      </ns0:c>
      <ns0:c r="F29" s="1" t="inlineStr">
        <ns0:is>
          <ns0:t>NG Bond Spread not good</ns0:t>
        </ns0:is>
      </ns0:c>
      <ns0:c r="J29" s="1" t="inlineStr">
        <ns0:is>
          <ns0:t>Total NG</ns0:t>
        </ns0:is>
      </ns0:c>
      <ns0:c r="K29" s="1" t="inlineStr">
        <ns0:is>
          <ns0:t>Total NG Rate</ns0:t>
        </ns0:is>
      </ns0:c>
      <ns0:c r="M29" s="1" t="inlineStr">
        <ns0:is>
          <ns0:t>Type</ns0:t>
        </ns0:is>
      </ns0:c>
      <ns0:c r="O29" s="1" t="inlineStr">
        <ns0:is>
          <ns0:t>Picture decap bond</ns0:t>
        </ns0:is>
      </ns0:c>
    </ns0:row>
    <ns0:row r="30" ht="44.25" customHeight="1">
      <ns0:c r="F30" s="1" t="inlineStr">
        <ns0:is>
          <ns0:t>MG-S-A</ns0:t>
        </ns0:is>
      </ns0:c>
      <ns0:c r="H30" s="1" t="inlineStr">
        <ns0:is>
          <ns0:t>MG-S-B</ns0:t>
        </ns0:is>
      </ns0:c>
      <ns0:c r="O30" s="1" t="inlineStr">
        <ns0:is>
          <ns0:t>YK test</ns0:t>
        </ns0:is>
      </ns0:c>
      <ns0:c r="Q30" s="1" t="inlineStr">
        <ns0:is>
          <ns0:t>Normal YK</ns0:t>
        </ns0:is>
      </ns0:c>
    </ns0:row>
    <ns0:row r="31" ht="44.25" customHeight="1">
      <ns0:c r="F31" s="1" t="inlineStr">
        <ns0:is>
          <ns0:t>NG</ns0:t>
        </ns0:is>
      </ns0:c>
      <ns0:c r="G31" s="1" t="inlineStr">
        <ns0:is>
          <ns0:t>Rate</ns0:t>
        </ns0:is>
      </ns0:c>
      <ns0:c r="H31" s="1" t="inlineStr">
        <ns0:is>
          <ns0:t>NG</ns0:t>
        </ns0:is>
      </ns0:c>
      <ns0:c r="I31" s="1" t="inlineStr">
        <ns0:is>
          <ns0:t>Rate</ns0:t>
        </ns0:is>
      </ns0:c>
      <ns0:c r="M31" s="1" t="inlineStr">
        <ns0:is>
          <ns0:t>Bond BP+SM spread  OK</ns0:t>
        </ns0:is>
      </ns0:c>
    </ns0:row>
    <ns0:row r="32" ht="44.25" customHeight="1">
      <ns0:c r="C32" s="2" t="n">
        <ns0:v>45600</ns0:v>
      </ns0:c>
      <ns0:c r="D32" s="1" t="inlineStr">
        <ns0:is>
          <ns0:t xml:space="preserve">YK test </ns0:t>
        </ns0:is>
      </ns0:c>
      <ns0:c r="E32" s="1" t="n">
        <ns0:v>8</ns0:v>
      </ns0:c>
      <ns0:c r="F32" s="1" t="n">
        <ns0:v>0</ns0:v>
      </ns0:c>
      <ns0:c r="G32" s="1">
        <ns0:f>F32/E32</ns0:f>
        <ns0:v/>
      </ns0:c>
      <ns0:c r="H32" s="1" t="n">
        <ns0:v>0</ns0:v>
      </ns0:c>
      <ns0:c r="I32" s="1">
        <ns0:f>H32/E32</ns0:f>
        <ns0:v/>
      </ns0:c>
      <ns0:c r="J32" s="1">
        <ns0:f>+H32+F32</ns0:f>
        <ns0:v/>
      </ns0:c>
      <ns0:c r="K32" s="1">
        <ns0:f>J32/E32</ns0:f>
        <ns0:v/>
      </ns0:c>
    </ns0:row>
    <ns0:row r="33" ht="44.25" customHeight="1">
      <ns0:c r="D33" s="1" t="inlineStr">
        <ns0:is>
          <ns0:t>Normal</ns0:t>
        </ns0:is>
      </ns0:c>
      <ns0:c r="E33" s="1" t="n">
        <ns0:v>8</ns0:v>
      </ns0:c>
      <ns0:c r="F33" s="1" t="n">
        <ns0:v>0</ns0:v>
      </ns0:c>
      <ns0:c r="G33" s="1">
        <ns0:f>F33/E33</ns0:f>
        <ns0:v/>
      </ns0:c>
      <ns0:c r="H33" s="1" t="n">
        <ns0:v>0</ns0:v>
      </ns0:c>
      <ns0:c r="I33" s="1">
        <ns0:f>H33/E33</ns0:f>
        <ns0:v/>
      </ns0:c>
      <ns0:c r="J33" s="1">
        <ns0:f>+H33+F33</ns0:f>
        <ns0:v/>
      </ns0:c>
      <ns0:c r="K33" s="1">
        <ns0:f>J33/E33</ns0:f>
        <ns0:v/>
      </ns0:c>
    </ns0:row>
    <ns0:row r="34" ht="44.25" customHeight="1">
      <ns0:c r="C34" s="1" t="inlineStr">
        <ns0:is>
          <ns0:t xml:space="preserve"> - Result decap check bond MG-S-A/B all OK </ns0:t>
        </ns0:is>
      </ns0:c>
    </ns0:row>
    <ns0:row r="35" ht="44.25" customHeight="1">
      <ns0:c r="C35" s="1" t="inlineStr">
        <ns0:is>
          <ns0:t>3. RESULT DECAP CHECK BOND YOKE ( YK + MG/PT)</ns0:t>
        </ns0:is>
      </ns0:c>
      <ns0:c r="M35" s="1" t="inlineStr">
        <ns0:is>
          <ns0:t>Bond YOKE spread OK</ns0:t>
        </ns0:is>
      </ns0:c>
    </ns0:row>
    <ns0:row r="36" ht="44.25" customHeight="1">
      <ns0:c r="C36" s="1" t="inlineStr">
        <ns0:is>
          <ns0:t>Date</ns0:t>
        </ns0:is>
      </ns0:c>
      <ns0:c r="D36" s="1" t="inlineStr">
        <ns0:is>
          <ns0:t>Type</ns0:t>
        </ns0:is>
      </ns0:c>
      <ns0:c r="E36" s="1" t="inlineStr">
        <ns0:is>
          <ns0:t>Input</ns0:t>
        </ns0:is>
      </ns0:c>
      <ns0:c r="F36" s="1" t="inlineStr">
        <ns0:is>
          <ns0:t>OK</ns0:t>
        </ns0:is>
      </ns0:c>
      <ns0:c r="G36" s="1" t="inlineStr">
        <ns0:is>
          <ns0:t>NG Bond Spread not good</ns0:t>
        </ns0:is>
      </ns0:c>
      <ns0:c r="H36" s="1" t="inlineStr">
        <ns0:is>
          <ns0:t xml:space="preserve">Total NG </ns0:t>
        </ns0:is>
      </ns0:c>
      <ns0:c r="I36" s="1" t="inlineStr">
        <ns0:is>
          <ns0:t>Total NG rate</ns0:t>
        </ns0:is>
      </ns0:c>
    </ns0:row>
    <ns0:row r="37" ht="44.25" customHeight="1">
      <ns0:c r="G37" s="1" t="inlineStr">
        <ns0:is>
          <ns0:t>YOKE (Standard: ≥ 80%)</ns0:t>
        </ns0:is>
      </ns0:c>
    </ns0:row>
    <ns0:row r="38" ht="44.25" customHeight="1">
      <ns0:c r="C38" s="2" t="n">
        <ns0:v>45600</ns0:v>
      </ns0:c>
      <ns0:c r="D38" s="1" t="inlineStr">
        <ns0:is>
          <ns0:t xml:space="preserve">YK test </ns0:t>
        </ns0:is>
      </ns0:c>
      <ns0:c r="E38" s="1" t="n">
        <ns0:v>8</ns0:v>
      </ns0:c>
      <ns0:c r="F38" s="1">
        <ns0:f>E38-G38</ns0:f>
        <ns0:v/>
      </ns0:c>
      <ns0:c r="G38" s="1" t="n">
        <ns0:v>0</ns0:v>
      </ns0:c>
      <ns0:c r="H38" s="1">
        <ns0:f>G38</ns0:f>
        <ns0:v/>
      </ns0:c>
      <ns0:c r="I38" s="1">
        <ns0:f>H38/E38</ns0:f>
        <ns0:v/>
      </ns0:c>
    </ns0:row>
    <ns0:row r="39" ht="44.25" customHeight="1">
      <ns0:c r="D39" s="1" t="inlineStr">
        <ns0:is>
          <ns0:t>Normal</ns0:t>
        </ns0:is>
      </ns0:c>
      <ns0:c r="E39" s="1" t="n">
        <ns0:v>8</ns0:v>
      </ns0:c>
      <ns0:c r="F39" s="1">
        <ns0:f>E39-G39</ns0:f>
        <ns0:v/>
      </ns0:c>
      <ns0:c r="G39" s="1" t="n">
        <ns0:v>0</ns0:v>
      </ns0:c>
      <ns0:c r="H39" s="1">
        <ns0:f>G39</ns0:f>
        <ns0:v/>
      </ns0:c>
      <ns0:c r="I39" s="1">
        <ns0:f>H39/E39</ns0:f>
        <ns0:v/>
      </ns0:c>
    </ns0:row>
    <ns0:row r="40" ht="44.25" customHeight="1">
      <ns0:c r="C40" s="1" t="inlineStr">
        <ns0:is>
          <ns0:t xml:space="preserve"> - Result decap check bond Yk+MG/PT all OK </ns0:t>
        </ns0:is>
      </ns0:c>
    </ns0:row>
    <ns0:row r="41" ht="44.25" customHeight="1">
      <ns0:c r="C41" s="1" t="inlineStr">
        <ns0:is>
          <ns0:t>4. RESULT TENSION TEST</ns0:t>
        </ns0:is>
      </ns0:c>
    </ns0:row>
    <ns0:row r="42" ht="44.25" customHeight="1">
      <ns0:c r="C42" s="1" t="inlineStr">
        <ns0:is>
          <ns0:t>Date</ns0:t>
        </ns0:is>
      </ns0:c>
      <ns0:c r="D42" s="1" t="inlineStr">
        <ns0:is>
          <ns0:t>Type</ns0:t>
        </ns0:is>
      </ns0:c>
      <ns0:c r="E42" s="1" t="inlineStr">
        <ns0:is>
          <ns0:t>Type</ns0:t>
        </ns0:is>
      </ns0:c>
      <ns0:c r="F42" s="1" t="inlineStr">
        <ns0:is>
          <ns0:t xml:space="preserve">Spec </ns0:t>
        </ns0:is>
      </ns0:c>
      <ns0:c r="G42" s="1" t="inlineStr">
        <ns0:is>
          <ns0:t>Sample 1</ns0:t>
        </ns0:is>
      </ns0:c>
      <ns0:c r="H42" s="1" t="inlineStr">
        <ns0:is>
          <ns0:t>Sample 2</ns0:t>
        </ns0:is>
      </ns0:c>
      <ns0:c r="I42" s="1" t="inlineStr">
        <ns0:is>
          <ns0:t>Sample 3</ns0:t>
        </ns0:is>
      </ns0:c>
      <ns0:c r="J42" s="1" t="inlineStr">
        <ns0:is>
          <ns0:t>Sample 4</ns0:t>
        </ns0:is>
      </ns0:c>
      <ns0:c r="K42" s="1" t="inlineStr">
        <ns0:is>
          <ns0:t>Sample 5</ns0:t>
        </ns0:is>
      </ns0:c>
      <ns0:c r="L42" s="1" t="inlineStr">
        <ns0:is>
          <ns0:t>Sample 6</ns0:t>
        </ns0:is>
      </ns0:c>
      <ns0:c r="M42" s="1" t="inlineStr">
        <ns0:is>
          <ns0:t>Sample 7</ns0:t>
        </ns0:is>
      </ns0:c>
      <ns0:c r="N42" s="1" t="inlineStr">
        <ns0:is>
          <ns0:t>Sample 8</ns0:t>
        </ns0:is>
      </ns0:c>
      <ns0:c r="O42" s="1" t="inlineStr">
        <ns0:is>
          <ns0:t>Max</ns0:t>
        </ns0:is>
      </ns0:c>
      <ns0:c r="P42" s="1" t="inlineStr">
        <ns0:is>
          <ns0:t>Min</ns0:t>
        </ns0:is>
      </ns0:c>
      <ns0:c r="Q42" s="1" t="inlineStr">
        <ns0:is>
          <ns0:t>Avg</ns0:t>
        </ns0:is>
      </ns0:c>
    </ns0:row>
    <ns0:row r="43" ht="44.25" customHeight="1">
      <ns0:c r="C43" s="2" t="n">
        <ns0:v>45601</ns0:v>
      </ns0:c>
      <ns0:c r="D43" s="1" t="inlineStr">
        <ns0:is>
          <ns0:t>Test YK</ns0:t>
        </ns0:is>
      </ns0:c>
      <ns0:c r="E43" s="1" t="inlineStr">
        <ns0:is>
          <ns0:t>MG-S-A</ns0:t>
        </ns0:is>
      </ns0:c>
      <ns0:c r="F43" s="1" t="inlineStr">
        <ns0:is>
          <ns0:t>≥ 2.5kgf</ns0:t>
        </ns0:is>
      </ns0:c>
      <ns0:c r="G43" s="1" t="n">
        <ns0:v>6.061</ns0:v>
      </ns0:c>
      <ns0:c r="H43" s="1" t="n">
        <ns0:v>7.377</ns0:v>
      </ns0:c>
      <ns0:c r="I43" s="1" t="n">
        <ns0:v>5.386</ns0:v>
      </ns0:c>
      <ns0:c r="J43" s="1" t="n">
        <ns0:v>5.607</ns0:v>
      </ns0:c>
      <ns0:c r="K43" s="1" t="n">
        <ns0:v>3.782</ns0:v>
      </ns0:c>
      <ns0:c r="L43" s="1" t="n">
        <ns0:v>5.376</ns0:v>
      </ns0:c>
      <ns0:c r="M43" s="1" t="n">
        <ns0:v>5.727</ns0:v>
      </ns0:c>
      <ns0:c r="N43" s="1" t="n">
        <ns0:v>6.747</ns0:v>
      </ns0:c>
      <ns0:c r="O43" s="1">
        <ns0:f>MAX(G43:N43)</ns0:f>
        <ns0:v/>
      </ns0:c>
      <ns0:c r="P43" s="1">
        <ns0:f>MIN(G43:N43)</ns0:f>
        <ns0:v/>
      </ns0:c>
      <ns0:c r="Q43" s="1">
        <ns0:f>AVERAGE(G43:N43)</ns0:f>
        <ns0:v/>
      </ns0:c>
    </ns0:row>
    <ns0:row r="44" ht="44.25" customHeight="1">
      <ns0:c r="E44" s="1" t="inlineStr">
        <ns0:is>
          <ns0:t xml:space="preserve">MG-S-B </ns0:t>
        </ns0:is>
      </ns0:c>
      <ns0:c r="F44" s="1" t="inlineStr">
        <ns0:is>
          <ns0:t>≥ 5.0kgf</ns0:t>
        </ns0:is>
      </ns0:c>
      <ns0:c r="G44" s="1" t="n">
        <ns0:v>9.609999999999999</ns0:v>
      </ns0:c>
      <ns0:c r="H44" s="1" t="n">
        <ns0:v>10.35</ns0:v>
      </ns0:c>
      <ns0:c r="I44" s="1" t="n">
        <ns0:v>12.84</ns0:v>
      </ns0:c>
      <ns0:c r="J44" s="1" t="n">
        <ns0:v>11.95</ns0:v>
      </ns0:c>
      <ns0:c r="K44" s="1" t="n">
        <ns0:v>12.09</ns0:v>
      </ns0:c>
      <ns0:c r="L44" s="1" t="n">
        <ns0:v>10.1</ns0:v>
      </ns0:c>
      <ns0:c r="M44" s="1" t="n">
        <ns0:v>7.55</ns0:v>
      </ns0:c>
      <ns0:c r="N44" s="1" t="n">
        <ns0:v>10.02</ns0:v>
      </ns0:c>
      <ns0:c r="O44" s="1">
        <ns0:f>MAX(G44:N44)</ns0:f>
        <ns0:v/>
      </ns0:c>
      <ns0:c r="P44" s="1">
        <ns0:f>MIN(G44:N44)</ns0:f>
        <ns0:v/>
      </ns0:c>
      <ns0:c r="Q44" s="1">
        <ns0:f>AVERAGE(G44:N44)</ns0:f>
        <ns0:v/>
      </ns0:c>
    </ns0:row>
    <ns0:row r="45" ht="44.25" customHeight="1">
      <ns0:c r="E45" s="1" t="inlineStr">
        <ns0:is>
          <ns0:t xml:space="preserve">MG-C </ns0:t>
        </ns0:is>
      </ns0:c>
      <ns0:c r="F45" s="1" t="inlineStr">
        <ns0:is>
          <ns0:t>≥ 80kgf</ns0:t>
        </ns0:is>
      </ns0:c>
      <ns0:c r="G45" s="1" t="n">
        <ns0:v>110.2</ns0:v>
      </ns0:c>
      <ns0:c r="H45" s="1" t="n">
        <ns0:v>106.9</ns0:v>
      </ns0:c>
      <ns0:c r="I45" s="1" t="n">
        <ns0:v>121.8</ns0:v>
      </ns0:c>
      <ns0:c r="J45" s="1" t="n">
        <ns0:v>114</ns0:v>
      </ns0:c>
      <ns0:c r="K45" s="1" t="n">
        <ns0:v>112.3</ns0:v>
      </ns0:c>
      <ns0:c r="L45" s="1" t="n">
        <ns0:v>81.09999999999999</ns0:v>
      </ns0:c>
      <ns0:c r="M45" s="1" t="n">
        <ns0:v>114</ns0:v>
      </ns0:c>
      <ns0:c r="N45" s="1" t="n">
        <ns0:v>101</ns0:v>
      </ns0:c>
      <ns0:c r="O45" s="1">
        <ns0:f>MAX(G45:N45)</ns0:f>
        <ns0:v/>
      </ns0:c>
      <ns0:c r="P45" s="1">
        <ns0:f>MIN(G45:N45)</ns0:f>
        <ns0:v/>
      </ns0:c>
      <ns0:c r="Q45" s="1">
        <ns0:f>AVERAGE(G45:N45)</ns0:f>
        <ns0:v/>
      </ns0:c>
    </ns0:row>
    <ns0:row r="46" ht="44.25" customHeight="1">
      <ns0:c r="D46" s="1" t="inlineStr">
        <ns0:is>
          <ns0:t>Normal</ns0:t>
        </ns0:is>
      </ns0:c>
      <ns0:c r="E46" s="1" t="inlineStr">
        <ns0:is>
          <ns0:t>MG-S-A</ns0:t>
        </ns0:is>
      </ns0:c>
      <ns0:c r="F46" s="1" t="inlineStr">
        <ns0:is>
          <ns0:t>≥ 2.5kgf</ns0:t>
        </ns0:is>
      </ns0:c>
      <ns0:c r="G46" s="1" t="n">
        <ns0:v>6.242</ns0:v>
      </ns0:c>
      <ns0:c r="H46" s="1" t="n">
        <ns0:v>6.536</ns0:v>
      </ns0:c>
      <ns0:c r="I46" s="1" t="n">
        <ns0:v>4.965</ns0:v>
      </ns0:c>
      <ns0:c r="J46" s="1" t="n">
        <ns0:v>6.471</ns0:v>
      </ns0:c>
      <ns0:c r="K46" s="1" t="n">
        <ns0:v>4.853</ns0:v>
      </ns0:c>
      <ns0:c r="L46" s="1" t="n">
        <ns0:v>4.853</ns0:v>
      </ns0:c>
      <ns0:c r="M46" s="1" t="n">
        <ns0:v>4.853</ns0:v>
      </ns0:c>
      <ns0:c r="N46" s="1" t="n">
        <ns0:v>4.853</ns0:v>
      </ns0:c>
      <ns0:c r="O46" s="1">
        <ns0:f>MAX(G46:N46)</ns0:f>
        <ns0:v/>
      </ns0:c>
      <ns0:c r="P46" s="1">
        <ns0:f>MIN(G46:N46)</ns0:f>
        <ns0:v/>
      </ns0:c>
      <ns0:c r="Q46" s="1">
        <ns0:f>AVERAGE(G46:N46)</ns0:f>
        <ns0:v/>
      </ns0:c>
    </ns0:row>
    <ns0:row r="47" ht="44.25" customHeight="1">
      <ns0:c r="E47" s="1" t="inlineStr">
        <ns0:is>
          <ns0:t xml:space="preserve">MG-S-B </ns0:t>
        </ns0:is>
      </ns0:c>
      <ns0:c r="F47" s="1" t="inlineStr">
        <ns0:is>
          <ns0:t>≥ 5.0kgf</ns0:t>
        </ns0:is>
      </ns0:c>
      <ns0:c r="G47" s="1" t="n">
        <ns0:v>9.76</ns0:v>
      </ns0:c>
      <ns0:c r="H47" s="1" t="n">
        <ns0:v>11.09</ns0:v>
      </ns0:c>
      <ns0:c r="I47" s="1" t="n">
        <ns0:v>11.07</ns0:v>
      </ns0:c>
      <ns0:c r="J47" s="1" t="n">
        <ns0:v>10.03</ns0:v>
      </ns0:c>
      <ns0:c r="K47" s="1" t="n">
        <ns0:v>8.66</ns0:v>
      </ns0:c>
      <ns0:c r="L47" s="1" t="n">
        <ns0:v>8.66</ns0:v>
      </ns0:c>
      <ns0:c r="M47" s="1" t="n">
        <ns0:v>8.66</ns0:v>
      </ns0:c>
      <ns0:c r="N47" s="1" t="n">
        <ns0:v>8.66</ns0:v>
      </ns0:c>
      <ns0:c r="O47" s="1">
        <ns0:f>MAX(G47:N47)</ns0:f>
        <ns0:v/>
      </ns0:c>
      <ns0:c r="P47" s="1">
        <ns0:f>MIN(G47:N47)</ns0:f>
        <ns0:v/>
      </ns0:c>
      <ns0:c r="Q47" s="1">
        <ns0:f>AVERAGE(G47:N47)</ns0:f>
        <ns0:v/>
      </ns0:c>
    </ns0:row>
    <ns0:row r="48" ht="44.25" customHeight="1">
      <ns0:c r="E48" s="1" t="inlineStr">
        <ns0:is>
          <ns0:t xml:space="preserve">MG-C </ns0:t>
        </ns0:is>
      </ns0:c>
      <ns0:c r="F48" s="1" t="inlineStr">
        <ns0:is>
          <ns0:t>≥ 80kgf</ns0:t>
        </ns0:is>
      </ns0:c>
      <ns0:c r="G48" s="1" t="n">
        <ns0:v>95</ns0:v>
      </ns0:c>
      <ns0:c r="H48" s="1" t="n">
        <ns0:v>94.5</ns0:v>
      </ns0:c>
      <ns0:c r="I48" s="1" t="n">
        <ns0:v>104.7</ns0:v>
      </ns0:c>
      <ns0:c r="J48" s="1" t="n">
        <ns0:v>98.7</ns0:v>
      </ns0:c>
      <ns0:c r="K48" s="1" t="n">
        <ns0:v>69.8</ns0:v>
      </ns0:c>
      <ns0:c r="L48" s="1" t="n">
        <ns0:v>106.5</ns0:v>
      </ns0:c>
      <ns0:c r="M48" s="1" t="n">
        <ns0:v>115.1</ns0:v>
      </ns0:c>
      <ns0:c r="N48" s="1" t="n">
        <ns0:v>96.90000000000001</ns0:v>
      </ns0:c>
      <ns0:c r="O48" s="1">
        <ns0:f>MAX(G48:N48)</ns0:f>
        <ns0:v/>
      </ns0:c>
      <ns0:c r="P48" s="1">
        <ns0:f>MIN(G48:N48)</ns0:f>
        <ns0:v/>
      </ns0:c>
      <ns0:c r="Q48" s="1">
        <ns0:f>AVERAGE(G48:N48)</ns0:f>
        <ns0:v/>
      </ns0:c>
    </ns0:row>
    <ns0:row r="49" ht="44.25" customHeight="1">
      <ns0:c r="C49" s="1" t="inlineStr">
        <ns0:is>
          <ns0:t xml:space="preserve"> - Result check tension MG -S-A/B/ MG-C  all OK</ns0:t>
        </ns0:is>
      </ns0:c>
    </ns0:row>
    <ns0:row r="50" ht="44.25" customHeight="1">
      <ns0:c r="C50" s="1" t="inlineStr">
        <ns0:is>
          <ns0:t>5. RESULT CHECKING FUNCTION</ns0:t>
        </ns0:is>
      </ns0:c>
    </ns0:row>
    <ns0:row r="51" ht="44.25" customHeight="1">
      <ns0:c r="C51" s="1" t="inlineStr">
        <ns0:is>
          <ns0:t>Date</ns0:t>
        </ns0:is>
      </ns0:c>
      <ns0:c r="D51" s="1" t="inlineStr">
        <ns0:is>
          <ns0:t>Line</ns0:t>
        </ns0:is>
      </ns0:c>
      <ns0:c r="E51" s="1" t="inlineStr">
        <ns0:is>
          <ns0:t xml:space="preserve">Type </ns0:t>
        </ns0:is>
      </ns0:c>
      <ns0:c r="F51" s="1" t="inlineStr">
        <ns0:is>
          <ns0:t xml:space="preserve">Input </ns0:t>
        </ns0:is>
      </ns0:c>
      <ns0:c r="G51" s="1" t="inlineStr">
        <ns0:is>
          <ns0:t xml:space="preserve">OK  </ns0:t>
        </ns0:is>
      </ns0:c>
      <ns0:c r="H51" s="1" t="inlineStr">
        <ns0:is>
          <ns0:t>Air leak</ns0:t>
        </ns0:is>
      </ns0:c>
      <ns0:c r="I51" s="1" t="inlineStr">
        <ns0:is>
          <ns0:t xml:space="preserve">NG Sigma </ns0:t>
        </ns0:is>
      </ns0:c>
      <ns0:c r="M51" s="1" t="inlineStr">
        <ns0:is>
          <ns0:t xml:space="preserve">NG Hearing </ns0:t>
        </ns0:is>
      </ns0:c>
      <ns0:c r="O51" s="1" t="inlineStr">
        <ns0:is>
          <ns0:t>Total NG</ns0:t>
        </ns0:is>
      </ns0:c>
      <ns0:c r="P51" s="1" t="inlineStr">
        <ns0:is>
          <ns0:t>Total NG rate</ns0:t>
        </ns0:is>
      </ns0:c>
    </ns0:row>
    <ns0:row r="52" ht="44.25" customHeight="1">
      <ns0:c r="I52" s="1" t="inlineStr">
        <ns0:is>
          <ns0:t xml:space="preserve">SPL </ns0:t>
        </ns0:is>
      </ns0:c>
      <ns0:c r="J52" s="1" t="inlineStr">
        <ns0:is>
          <ns0:t xml:space="preserve">THD </ns0:t>
        </ns0:is>
      </ns0:c>
      <ns0:c r="K52" s="1" t="inlineStr">
        <ns0:is>
          <ns0:t xml:space="preserve">SPL+THD </ns0:t>
        </ns0:is>
      </ns0:c>
      <ns0:c r="L52" s="1" t="inlineStr">
        <ns0:is>
          <ns0:t>SPL+THD+F0</ns0:t>
        </ns0:is>
      </ns0:c>
      <ns0:c r="M52" s="1" t="inlineStr">
        <ns0:is>
          <ns0:t xml:space="preserve">Noise </ns0:t>
        </ns0:is>
      </ns0:c>
      <ns0:c r="N52" s="1" t="inlineStr">
        <ns0:is>
          <ns0:t xml:space="preserve">Touch </ns0:t>
        </ns0:is>
      </ns0:c>
    </ns0:row>
    <ns0:row r="53" ht="44.25" customHeight="1">
      <ns0:c r="C53" s="2" t="n">
        <ns0:v>45601</ns0:v>
      </ns0:c>
      <ns0:c r="D53" s="1" t="inlineStr">
        <ns0:is>
          <ns0:t>E2-3B</ns0:t>
        </ns0:is>
      </ns0:c>
      <ns0:c r="E53" s="1" t="inlineStr">
        <ns0:is>
          <ns0:t>Test YK</ns0:t>
        </ns0:is>
      </ns0:c>
      <ns0:c r="F53" s="1" t="n">
        <ns0:v>157</ns0:v>
      </ns0:c>
      <ns0:c r="G53" s="1">
        <ns0:f>F53-O53</ns0:f>
        <ns0:v/>
      </ns0:c>
      <ns0:c r="H53" s="1" t="n">
        <ns0:v>0</ns0:v>
      </ns0:c>
      <ns0:c r="I53" s="1" t="n">
        <ns0:v>0</ns0:v>
      </ns0:c>
      <ns0:c r="J53" s="1" t="n">
        <ns0:v>0</ns0:v>
      </ns0:c>
      <ns0:c r="K53" s="1" t="n">
        <ns0:v>0</ns0:v>
      </ns0:c>
      <ns0:c r="L53" s="1" t="n">
        <ns0:v>0</ns0:v>
      </ns0:c>
      <ns0:c r="M53" s="1" t="n">
        <ns0:v>5</ns0:v>
      </ns0:c>
      <ns0:c r="N53" s="1" t="n">
        <ns0:v>0</ns0:v>
      </ns0:c>
      <ns0:c r="O53" s="1">
        <ns0:f>SUM(H53:N53)</ns0:f>
        <ns0:v/>
      </ns0:c>
      <ns0:c r="P53" s="1">
        <ns0:f>O53/F53</ns0:f>
        <ns0:v/>
      </ns0:c>
    </ns0:row>
    <ns0:row r="54" ht="44.25" customHeight="1">
      <ns0:c r="E54" s="1" t="inlineStr">
        <ns0:is>
          <ns0:t xml:space="preserve">Normal </ns0:t>
        </ns0:is>
      </ns0:c>
      <ns0:c r="F54" s="1" t="n">
        <ns0:v>160</ns0:v>
      </ns0:c>
      <ns0:c r="G54" s="1">
        <ns0:f>F54-O54</ns0:f>
        <ns0:v/>
      </ns0:c>
      <ns0:c r="H54" s="1" t="n">
        <ns0:v>0</ns0:v>
      </ns0:c>
      <ns0:c r="I54" s="1" t="n">
        <ns0:v>0</ns0:v>
      </ns0:c>
      <ns0:c r="J54" s="1" t="n">
        <ns0:v>0</ns0:v>
      </ns0:c>
      <ns0:c r="K54" s="1" t="n">
        <ns0:v>0</ns0:v>
      </ns0:c>
      <ns0:c r="L54" s="1" t="n">
        <ns0:v>0</ns0:v>
      </ns0:c>
      <ns0:c r="M54" s="1" t="n">
        <ns0:v>5</ns0:v>
      </ns0:c>
      <ns0:c r="N54" s="1" t="n">
        <ns0:v>1</ns0:v>
      </ns0:c>
      <ns0:c r="O54" s="1">
        <ns0:f>SUM(H54:N54)</ns0:f>
        <ns0:v/>
      </ns0:c>
      <ns0:c r="P54" s="1">
        <ns0:f>O54/F54</ns0:f>
        <ns0:v/>
      </ns0:c>
    </ns0:row>
    <ns0:row r="55" ht="44.25" customHeight="1">
      <ns0:c r="C55" s="1" t="inlineStr">
        <ns0:is>
          <ns0:t xml:space="preserve"> - Result check function of test YK is same normal line</ns0:t>
        </ns0:is>
      </ns0:c>
    </ns0:row>
    <ns0:row r="56" ht="44.25" customHeight="1">
      <ns0:c r="C56" s="1" t="inlineStr">
        <ns0:is>
          <ns0:t>6. RESULT CHECKING DROP TEST SAMPLE FINAL BY METHOD AUTO/MANUAL</ns0:t>
        </ns0:is>
      </ns0:c>
    </ns0:row>
    <ns0:row r="57" ht="44.25" customHeight="1">
      <ns0:c r="C57" s="1" t="inlineStr">
        <ns0:is>
          <ns0:t>Date</ns0:t>
        </ns0:is>
      </ns0:c>
      <ns0:c r="D57" s="1" t="inlineStr">
        <ns0:is>
          <ns0:t>Type</ns0:t>
        </ns0:is>
      </ns0:c>
      <ns0:c r="E57" s="1" t="inlineStr">
        <ns0:is>
          <ns0:t>Content</ns0:t>
        </ns0:is>
      </ns0:c>
      <ns0:c r="F57" s="1" t="inlineStr">
        <ns0:is>
          <ns0:t>Input</ns0:t>
        </ns0:is>
      </ns0:c>
      <ns0:c r="G57" s="1" t="inlineStr">
        <ns0:is>
          <ns0:t>OK</ns0:t>
        </ns0:is>
      </ns0:c>
      <ns0:c r="H57" s="1" t="inlineStr">
        <ns0:is>
          <ns0:t>NG</ns0:t>
        </ns0:is>
      </ns0:c>
      <ns0:c r="I57" s="1" t="inlineStr">
        <ns0:is>
          <ns0:t>NG Rate</ns0:t>
        </ns0:is>
      </ns0:c>
    </ns0:row>
    <ns0:row r="58" ht="44.25" customHeight="1">
      <ns0:c r="C58" s="2" t="n">
        <ns0:v>45603</ns0:v>
      </ns0:c>
      <ns0:c r="D58" s="1" t="inlineStr">
        <ns0:is>
          <ns0:t>Test YK</ns0:t>
        </ns0:is>
      </ns0:c>
      <ns0:c r="E58" s="1" t="inlineStr">
        <ns0:is>
          <ns0:t>Method Auto</ns0:t>
        </ns0:is>
      </ns0:c>
      <ns0:c r="F58" s="1" t="n">
        <ns0:v>5</ns0:v>
      </ns0:c>
      <ns0:c r="G58" s="1">
        <ns0:f>F58-H58</ns0:f>
        <ns0:v/>
      </ns0:c>
      <ns0:c r="H58" s="1" t="n">
        <ns0:v>0</ns0:v>
      </ns0:c>
      <ns0:c r="I58" s="1">
        <ns0:f>H58/F58</ns0:f>
        <ns0:v/>
      </ns0:c>
    </ns0:row>
    <ns0:row r="59" ht="44.25" customHeight="1">
      <ns0:c r="E59" s="1" t="inlineStr">
        <ns0:is>
          <ns0:t>Method Manual</ns0:t>
        </ns0:is>
      </ns0:c>
      <ns0:c r="F59" s="1" t="n">
        <ns0:v>5</ns0:v>
      </ns0:c>
      <ns0:c r="G59" s="1">
        <ns0:f>F59-H59</ns0:f>
        <ns0:v/>
      </ns0:c>
      <ns0:c r="H59" s="1" t="n">
        <ns0:v>0</ns0:v>
      </ns0:c>
      <ns0:c r="I59" s="1">
        <ns0:f>H59/F59</ns0:f>
        <ns0:v/>
      </ns0:c>
    </ns0:row>
    <ns0:row r="60" ht="44.25" customHeight="1">
      <ns0:c r="C60" s="1" t="inlineStr">
        <ns0:is>
          <ns0:t>6.1 RESULT CHECKING DROP TEST SEMI YOKE</ns0:t>
        </ns0:is>
      </ns0:c>
    </ns0:row>
    <ns0:row r="61" ht="44.25" customHeight="1">
      <ns0:c r="C61" s="1" t="inlineStr">
        <ns0:is>
          <ns0:t>Date</ns0:t>
        </ns0:is>
      </ns0:c>
      <ns0:c r="D61" s="1" t="inlineStr">
        <ns0:is>
          <ns0:t>Type</ns0:t>
        </ns0:is>
      </ns0:c>
      <ns0:c r="E61" s="1" t="inlineStr">
        <ns0:is>
          <ns0:t>Input</ns0:t>
        </ns0:is>
      </ns0:c>
      <ns0:c r="F61" s="1" t="inlineStr">
        <ns0:is>
          <ns0:t>OK</ns0:t>
        </ns0:is>
      </ns0:c>
      <ns0:c r="G61" s="1" t="inlineStr">
        <ns0:is>
          <ns0:t>NG</ns0:t>
        </ns0:is>
      </ns0:c>
      <ns0:c r="H61" s="1" t="inlineStr">
        <ns0:is>
          <ns0:t>NG Rate</ns0:t>
        </ns0:is>
      </ns0:c>
    </ns0:row>
    <ns0:row r="62" ht="44.25" customHeight="1">
      <ns0:c r="C62" s="2" t="n">
        <ns0:v>45603</ns0:v>
      </ns0:c>
      <ns0:c r="D62" s="1" t="inlineStr">
        <ns0:is>
          <ns0:t>Test YK</ns0:t>
        </ns0:is>
      </ns0:c>
      <ns0:c r="E62" s="1" t="n">
        <ns0:v>10</ns0:v>
      </ns0:c>
      <ns0:c r="F62" s="1">
        <ns0:f>E62-G62</ns0:f>
        <ns0:v/>
      </ns0:c>
      <ns0:c r="G62" s="1" t="n">
        <ns0:v>0</ns0:v>
      </ns0:c>
      <ns0:c r="H62" s="1">
        <ns0:f>G62/E62</ns0:f>
        <ns0:v/>
      </ns0:c>
    </ns0:row>
    <ns0:row r="63" ht="44.25" customHeight="1">
      <ns0:c r="D63" s="1" t="inlineStr">
        <ns0:is>
          <ns0:t>Normal</ns0:t>
        </ns0:is>
      </ns0:c>
      <ns0:c r="E63" s="1" t="n">
        <ns0:v>10</ns0:v>
      </ns0:c>
      <ns0:c r="F63" s="1">
        <ns0:f>E63-G63</ns0:f>
        <ns0:v/>
      </ns0:c>
      <ns0:c r="G63" s="1" t="n">
        <ns0:v>0</ns0:v>
      </ns0:c>
      <ns0:c r="H63" s="1">
        <ns0:f>G63/E63</ns0:f>
        <ns0:v/>
      </ns0:c>
    </ns0:row>
    <ns0:row r="64" ht="44.25" customHeight="1"/>
    <ns0:row r="65" ht="44.25" customHeight="1">
      <ns0:c r="B65" s="1" t="inlineStr">
        <ns0:is>
          <ns0:t>IV. Decision</ns0:t>
        </ns0:is>
      </ns0:c>
    </ns0:row>
    <ns0:row r="66" ht="44.25" customHeight="1">
      <ns0:c r="B66" s="1" t="inlineStr">
        <ns0:is>
          <ns0:t xml:space="preserve"> - From result test: Can use material YK 161014 of new vendor Doojin</ns0:t>
        </ns0:is>
      </ns0:c>
    </ns0:row>
    <ns0:row r="67" ht="44.25" customHeight="1"/>
    <ns0:row r="68" ht="40.75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2026-05-12T09:02:21Z</dcterms:created>
  <dcterms:modified xsi:type="dcterms:W3CDTF">2026-05-12T09:02:38Z</dcterms:modified>
</cp:coreProperties>
</file>