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Test VP Sub 1" sheetId="2" state="visible" r:id="rId2"/>
    <sheet name="Test Drying Frame + VP" sheetId="3" state="visible" r:id="rId3"/>
    <sheet name="Test UV Sub1" sheetId="4" state="visible" r:id="rId4"/>
    <sheet name="Test bán thành phẩm" sheetId="5" state="visible" r:id="rId5"/>
    <sheet name="SM dimension" sheetId="6" state="visible" r:id="rId6"/>
    <sheet name="Frame Outer Size 2nd" sheetId="7" state="visible" r:id="rId7"/>
    <sheet name="RESULT CHECK COIL OFFSET" sheetId="8" state="visible" r:id="rId8"/>
    <sheet name="Check dimension Coi after dry" sheetId="9" state="visible" r:id="rId9"/>
    <sheet name="Dimension Frame" sheetId="10" state="visible" r:id="rId10"/>
    <sheet name="Frame Outer Size Improve" sheetId="11" state="visible" r:id="rId11"/>
    <sheet name="Sheet2" sheetId="12" state="visible" r:id="rId12"/>
    <sheet name="Compare bonding amount" sheetId="13" state="visible" r:id="rId13"/>
    <sheet name="Sheet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  <numFmt numFmtId="170" formatCode="0.0000"/>
    <numFmt numFmtId="171" formatCode="\+\ 0.0%;\-\ 0.0%"/>
    <numFmt numFmtId="172" formatCode="\+\ 0.0%;;\-\ 0.0%"/>
    <numFmt numFmtId="173" formatCode="\+\ 0.0%;\-\100%;\-\ 0.0%"/>
    <numFmt numFmtId="174" formatCode="[$-409]d&quot;-&quot;mmm;@"/>
  </numFmts>
  <fonts count="3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22"/>
    </font>
    <font>
      <name val="Times New Roman"/>
      <color rgb="FFFF0000"/>
      <sz val="16"/>
    </font>
    <font>
      <name val="Times New Roman"/>
      <b val="1"/>
      <sz val="20"/>
    </font>
    <font>
      <name val="Times New Roman"/>
      <b val="1"/>
      <sz val="18"/>
    </font>
    <font>
      <name val="Times New Roman"/>
      <sz val="18"/>
    </font>
    <font>
      <name val="Times New Roman"/>
      <color rgb="FFFF0000"/>
      <sz val="18"/>
    </font>
    <font>
      <name val="맑은 고딕"/>
      <b val="1"/>
      <sz val="11"/>
    </font>
    <font>
      <name val="맑은 고딕"/>
      <b val="1"/>
    </font>
    <font>
      <name val="Times New Roman"/>
      <b val="1"/>
      <sz val="8"/>
    </font>
    <font>
      <name val="맑은 고딕"/>
      <sz val="9"/>
    </font>
    <font>
      <name val="맑은 고딕"/>
      <sz val="8"/>
    </font>
    <font>
      <name val="맑은 고딕"/>
      <color rgb="FFFF0000"/>
      <sz val="8"/>
    </font>
    <font>
      <name val="Times New Roman"/>
      <sz val="11"/>
    </font>
    <font>
      <name val="Times New Roman"/>
      <sz val="8"/>
    </font>
    <font>
      <name val="Times New Roman"/>
      <color rgb="FFFF0000"/>
      <sz val="8"/>
    </font>
    <font>
      <name val="Times New Roman"/>
      <b val="1"/>
      <color rgb="FFFF0000"/>
      <sz val="18"/>
    </font>
    <font>
      <name val="Times New Roman"/>
      <sz val="12"/>
    </font>
    <font>
      <name val="맑은 고딕"/>
      <sz val="16"/>
    </font>
    <font>
      <name val="맑은 고딕"/>
      <b val="1"/>
      <color rgb="FFFF0000"/>
      <sz val="16"/>
    </font>
    <font>
      <name val="맑은 고딕"/>
      <b val="1"/>
      <sz val="16"/>
    </font>
    <font>
      <name val="맑은 고딕"/>
      <sz val="18"/>
    </font>
    <font>
      <name val="맑은 고딕"/>
      <color rgb="FFFF0000"/>
      <sz val="11"/>
    </font>
    <font>
      <name val="맑은 고딕"/>
      <sz val="11"/>
    </font>
    <font>
      <name val="맑은 고딕"/>
      <b val="1"/>
      <sz val="8"/>
    </font>
    <font>
      <name val="맑은 고딕"/>
    </font>
    <font>
      <name val="맑은 고딕"/>
      <b val="1"/>
      <sz val="9"/>
    </font>
    <font>
      <name val="맑은 고딕"/>
      <b val="1"/>
      <color rgb="FFFF0000"/>
      <sz val="9"/>
    </font>
    <font>
      <name val="맑은 고딕"/>
      <color rgb="FFBFBFBF"/>
      <sz val="9"/>
    </font>
  </fonts>
  <fills count="2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C65911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B4C6E7"/>
      </patternFill>
    </fill>
    <fill>
      <patternFill patternType="solid">
        <fgColor rgb="FFACB9CA"/>
      </patternFill>
    </fill>
    <fill>
      <patternFill patternType="solid">
        <fgColor rgb="FF8EA9DB"/>
      </patternFill>
    </fill>
    <fill>
      <patternFill patternType="solid">
        <fgColor rgb="FFFFD966"/>
      </patternFill>
    </fill>
    <fill>
      <patternFill patternType="solid">
        <fgColor rgb="FFFF0000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C6E0B4"/>
      </patternFill>
    </fill>
  </fills>
  <borders count="7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2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0" pivotButton="0" quotePrefix="0" xfId="0"/>
    <xf numFmtId="0" fontId="3" fillId="0" borderId="2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7" fillId="3" borderId="31" applyAlignment="1" pivotButton="0" quotePrefix="0" xfId="0">
      <alignment horizontal="center" vertical="center"/>
    </xf>
    <xf numFmtId="0" fontId="0" fillId="0" borderId="34" pivotButton="0" quotePrefix="0" xfId="0"/>
    <xf numFmtId="0" fontId="7" fillId="3" borderId="31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3" pivotButton="0" quotePrefix="0" xfId="0"/>
    <xf numFmtId="0" fontId="4" fillId="0" borderId="25" pivotButton="0" quotePrefix="0" xfId="0"/>
    <xf numFmtId="165" fontId="8" fillId="0" borderId="31" applyAlignment="1" pivotButton="0" quotePrefix="0" xfId="0">
      <alignment horizontal="center" vertical="center"/>
    </xf>
    <xf numFmtId="165" fontId="9" fillId="0" borderId="36" applyAlignment="1" pivotButton="0" quotePrefix="0" xfId="0">
      <alignment horizontal="center" vertical="center" wrapText="1"/>
    </xf>
    <xf numFmtId="165" fontId="9" fillId="0" borderId="31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/>
    </xf>
    <xf numFmtId="166" fontId="9" fillId="0" borderId="3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26" pivotButton="0" quotePrefix="0" xfId="0"/>
    <xf numFmtId="0" fontId="0" fillId="0" borderId="32" pivotButton="0" quotePrefix="0" xfId="0"/>
    <xf numFmtId="166" fontId="10" fillId="0" borderId="31" applyAlignment="1" pivotButton="0" quotePrefix="0" xfId="0">
      <alignment horizontal="center" vertical="center"/>
    </xf>
    <xf numFmtId="165" fontId="9" fillId="4" borderId="31" applyAlignment="1" pivotButton="0" quotePrefix="0" xfId="0">
      <alignment horizontal="center" vertical="center" wrapText="1"/>
    </xf>
    <xf numFmtId="0" fontId="9" fillId="4" borderId="31" applyAlignment="1" pivotButton="0" quotePrefix="0" xfId="0">
      <alignment horizontal="center" vertical="center" wrapText="1"/>
    </xf>
    <xf numFmtId="0" fontId="9" fillId="4" borderId="31" applyAlignment="1" pivotButton="0" quotePrefix="0" xfId="0">
      <alignment horizontal="center" vertical="center"/>
    </xf>
    <xf numFmtId="166" fontId="9" fillId="4" borderId="31" applyAlignment="1" pivotButton="0" quotePrefix="0" xfId="0">
      <alignment horizontal="center" vertical="center"/>
    </xf>
    <xf numFmtId="166" fontId="10" fillId="4" borderId="31" applyAlignment="1" pivotButton="0" quotePrefix="0" xfId="0">
      <alignment horizontal="center" vertical="center"/>
    </xf>
    <xf numFmtId="0" fontId="4" fillId="0" borderId="37" pivotButton="0" quotePrefix="0" xfId="0"/>
    <xf numFmtId="0" fontId="4" fillId="0" borderId="38" pivotButton="0" quotePrefix="0" xfId="0"/>
    <xf numFmtId="0" fontId="4" fillId="0" borderId="39" pivotButton="0" quotePrefix="0" xfId="0"/>
    <xf numFmtId="165" fontId="9" fillId="5" borderId="40" applyAlignment="1" pivotButton="0" quotePrefix="0" xfId="0">
      <alignment horizontal="center" vertical="center" wrapText="1"/>
    </xf>
    <xf numFmtId="165" fontId="9" fillId="5" borderId="31" applyAlignment="1" pivotButton="0" quotePrefix="0" xfId="0">
      <alignment horizontal="center" vertical="center" wrapText="1"/>
    </xf>
    <xf numFmtId="0" fontId="9" fillId="5" borderId="31" applyAlignment="1" pivotButton="0" quotePrefix="0" xfId="0">
      <alignment horizontal="center" vertical="center" wrapText="1"/>
    </xf>
    <xf numFmtId="0" fontId="9" fillId="5" borderId="31" applyAlignment="1" pivotButton="0" quotePrefix="0" xfId="0">
      <alignment horizontal="center" vertical="center"/>
    </xf>
    <xf numFmtId="166" fontId="9" fillId="5" borderId="31" applyAlignment="1" pivotButton="0" quotePrefix="0" xfId="0">
      <alignment horizontal="center" vertical="center"/>
    </xf>
    <xf numFmtId="166" fontId="10" fillId="5" borderId="3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center" vertical="center" wrapText="1"/>
    </xf>
    <xf numFmtId="0" fontId="8" fillId="0" borderId="31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11" fillId="6" borderId="31" applyAlignment="1" pivotButton="0" quotePrefix="0" xfId="0">
      <alignment horizontal="center" vertical="center"/>
    </xf>
    <xf numFmtId="0" fontId="0" fillId="0" borderId="18" pivotButton="0" quotePrefix="0" xfId="0"/>
    <xf numFmtId="0" fontId="11" fillId="6" borderId="31" applyAlignment="1" pivotButton="0" quotePrefix="0" xfId="0">
      <alignment horizontal="center"/>
    </xf>
    <xf numFmtId="0" fontId="0" fillId="0" borderId="31" applyAlignment="1" pivotButton="0" quotePrefix="0" xfId="0">
      <alignment horizontal="center" vertical="center"/>
    </xf>
    <xf numFmtId="2" fontId="0" fillId="0" borderId="31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11" fillId="7" borderId="31" applyAlignment="1" pivotButton="0" quotePrefix="0" xfId="0">
      <alignment horizontal="center" vertical="center"/>
    </xf>
    <xf numFmtId="2" fontId="11" fillId="7" borderId="31" applyAlignment="1" pivotButton="0" quotePrefix="0" xfId="0">
      <alignment horizontal="center"/>
    </xf>
    <xf numFmtId="0" fontId="11" fillId="7" borderId="31" applyAlignment="1" pivotButton="0" quotePrefix="0" xfId="0">
      <alignment horizontal="center"/>
    </xf>
    <xf numFmtId="0" fontId="11" fillId="0" borderId="0" pivotButton="0" quotePrefix="0" xfId="0"/>
    <xf numFmtId="0" fontId="12" fillId="0" borderId="31" applyAlignment="1" pivotButton="0" quotePrefix="0" xfId="0">
      <alignment horizontal="center" vertical="center"/>
    </xf>
    <xf numFmtId="0" fontId="12" fillId="8" borderId="14" applyAlignment="1" pivotButton="0" quotePrefix="0" xfId="0">
      <alignment horizontal="center" vertical="center"/>
    </xf>
    <xf numFmtId="0" fontId="12" fillId="8" borderId="31" applyAlignment="1" pivotButton="0" quotePrefix="0" xfId="0">
      <alignment horizontal="center" vertical="center"/>
    </xf>
    <xf numFmtId="0" fontId="12" fillId="7" borderId="31" applyAlignment="1" pivotButton="0" quotePrefix="0" xfId="0">
      <alignment horizontal="center" vertical="center"/>
    </xf>
    <xf numFmtId="0" fontId="12" fillId="9" borderId="31" applyAlignment="1" pivotButton="0" quotePrefix="0" xfId="0">
      <alignment horizontal="center" vertical="center"/>
    </xf>
    <xf numFmtId="166" fontId="12" fillId="8" borderId="31" applyAlignment="1" pivotButton="0" quotePrefix="0" xfId="0">
      <alignment horizontal="center" vertical="center"/>
    </xf>
    <xf numFmtId="166" fontId="12" fillId="7" borderId="31" applyAlignment="1" pivotButton="0" quotePrefix="0" xfId="0">
      <alignment horizontal="center" vertical="center"/>
    </xf>
    <xf numFmtId="166" fontId="12" fillId="9" borderId="3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3" borderId="31" applyAlignment="1" pivotButton="0" quotePrefix="0" xfId="0">
      <alignment horizontal="center" vertical="center"/>
    </xf>
    <xf numFmtId="0" fontId="13" fillId="3" borderId="31" applyAlignment="1" pivotButton="0" quotePrefix="0" xfId="0">
      <alignment horizontal="center" vertical="center" wrapText="1"/>
    </xf>
    <xf numFmtId="0" fontId="13" fillId="3" borderId="41" applyAlignment="1" pivotButton="0" quotePrefix="0" xfId="0">
      <alignment vertical="center"/>
    </xf>
    <xf numFmtId="165" fontId="0" fillId="0" borderId="31" applyAlignment="1" pivotButton="0" quotePrefix="0" xfId="0">
      <alignment horizontal="center" vertical="center"/>
    </xf>
    <xf numFmtId="0" fontId="14" fillId="0" borderId="31" applyAlignment="1" pivotButton="0" quotePrefix="0" xfId="0">
      <alignment horizontal="center" vertical="center" wrapText="1"/>
    </xf>
    <xf numFmtId="0" fontId="15" fillId="0" borderId="31" applyAlignment="1" pivotButton="0" quotePrefix="0" xfId="0">
      <alignment horizontal="center" vertical="center"/>
    </xf>
    <xf numFmtId="166" fontId="16" fillId="0" borderId="31" applyAlignment="1" pivotButton="0" quotePrefix="0" xfId="0">
      <alignment horizontal="center" vertical="center"/>
    </xf>
    <xf numFmtId="0" fontId="13" fillId="3" borderId="14" applyAlignment="1" pivotButton="0" quotePrefix="0" xfId="0">
      <alignment horizontal="center" vertical="center"/>
    </xf>
    <xf numFmtId="165" fontId="17" fillId="0" borderId="41" applyAlignment="1" pivotButton="0" quotePrefix="0" xfId="0">
      <alignment horizontal="center" vertical="center"/>
    </xf>
    <xf numFmtId="165" fontId="18" fillId="0" borderId="41" applyAlignment="1" pivotButton="0" quotePrefix="0" xfId="0">
      <alignment horizontal="center" vertical="center"/>
    </xf>
    <xf numFmtId="165" fontId="18" fillId="0" borderId="31" applyAlignment="1" pivotButton="0" quotePrefix="0" xfId="0">
      <alignment horizontal="center" vertical="center" wrapText="1"/>
    </xf>
    <xf numFmtId="0" fontId="18" fillId="0" borderId="31" applyAlignment="1" pivotButton="0" quotePrefix="0" xfId="0">
      <alignment horizontal="center" vertical="center" wrapText="1"/>
    </xf>
    <xf numFmtId="0" fontId="18" fillId="0" borderId="31" applyAlignment="1" pivotButton="0" quotePrefix="0" xfId="0">
      <alignment horizontal="center" vertical="center"/>
    </xf>
    <xf numFmtId="166" fontId="18" fillId="0" borderId="31" applyAlignment="1" pivotButton="0" quotePrefix="0" xfId="0">
      <alignment horizontal="center" vertical="center"/>
    </xf>
    <xf numFmtId="166" fontId="19" fillId="0" borderId="3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8" fillId="10" borderId="31" applyAlignment="1" pivotButton="0" quotePrefix="0" xfId="0">
      <alignment horizontal="center" vertical="center"/>
    </xf>
    <xf numFmtId="0" fontId="8" fillId="10" borderId="31" applyAlignment="1" pivotButton="0" quotePrefix="0" xfId="0">
      <alignment horizontal="center" vertical="center" wrapText="1"/>
    </xf>
    <xf numFmtId="0" fontId="20" fillId="10" borderId="31" applyAlignment="1" pivotButton="0" quotePrefix="0" xfId="0">
      <alignment horizontal="center" vertical="center"/>
    </xf>
    <xf numFmtId="165" fontId="1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 wrapText="1"/>
    </xf>
    <xf numFmtId="0" fontId="10" fillId="0" borderId="31" applyAlignment="1" pivotButton="0" quotePrefix="0" xfId="0">
      <alignment horizontal="center" vertical="center" wrapText="1"/>
    </xf>
    <xf numFmtId="0" fontId="8" fillId="10" borderId="41" applyAlignment="1" pivotButton="0" quotePrefix="0" xfId="0">
      <alignment horizontal="center" vertical="center"/>
    </xf>
    <xf numFmtId="168" fontId="3" fillId="0" borderId="31" applyAlignment="1" pivotButton="0" quotePrefix="0" xfId="0">
      <alignment horizontal="center" vertical="center"/>
    </xf>
    <xf numFmtId="165" fontId="9" fillId="11" borderId="31" applyAlignment="1" pivotButton="0" quotePrefix="0" xfId="0">
      <alignment horizontal="center" vertical="center" wrapText="1"/>
    </xf>
    <xf numFmtId="0" fontId="9" fillId="11" borderId="31" applyAlignment="1" pivotButton="0" quotePrefix="0" xfId="0">
      <alignment horizontal="center" vertical="center" wrapText="1"/>
    </xf>
    <xf numFmtId="0" fontId="9" fillId="11" borderId="31" applyAlignment="1" pivotButton="0" quotePrefix="0" xfId="0">
      <alignment horizontal="center" vertical="center"/>
    </xf>
    <xf numFmtId="166" fontId="9" fillId="11" borderId="31" applyAlignment="1" pivotButton="0" quotePrefix="0" xfId="0">
      <alignment horizontal="center" vertical="center"/>
    </xf>
    <xf numFmtId="166" fontId="10" fillId="11" borderId="31" applyAlignment="1" pivotButton="0" quotePrefix="0" xfId="0">
      <alignment horizontal="center" vertical="center"/>
    </xf>
    <xf numFmtId="168" fontId="1" fillId="0" borderId="0" applyAlignment="1" pivotButton="0" quotePrefix="0" xfId="0">
      <alignment vertical="center"/>
    </xf>
    <xf numFmtId="168" fontId="8" fillId="10" borderId="3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168" fontId="9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169" fontId="3" fillId="0" borderId="31" applyAlignment="1" pivotButton="0" quotePrefix="0" xfId="0">
      <alignment horizontal="center" vertical="center" wrapText="1"/>
    </xf>
    <xf numFmtId="169" fontId="3" fillId="0" borderId="31" applyAlignment="1" pivotButton="0" quotePrefix="0" xfId="0">
      <alignment horizontal="center" vertical="center"/>
    </xf>
    <xf numFmtId="0" fontId="1" fillId="11" borderId="31" applyAlignment="1" pivotButton="0" quotePrefix="0" xfId="0">
      <alignment horizontal="center" vertical="center" wrapText="1"/>
    </xf>
    <xf numFmtId="169" fontId="1" fillId="11" borderId="31" applyAlignment="1" pivotButton="0" quotePrefix="0" xfId="0">
      <alignment horizontal="center" vertical="center"/>
    </xf>
    <xf numFmtId="2" fontId="1" fillId="11" borderId="3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166" fontId="6" fillId="0" borderId="16" applyAlignment="1" pivotButton="0" quotePrefix="0" xfId="0">
      <alignment horizontal="center" vertical="center"/>
    </xf>
    <xf numFmtId="166" fontId="3" fillId="0" borderId="16" applyAlignment="1" pivotButton="0" quotePrefix="0" xfId="0">
      <alignment horizontal="center"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2" borderId="24" applyAlignment="1" pivotButton="0" quotePrefix="0" xfId="0">
      <alignment vertical="center"/>
    </xf>
    <xf numFmtId="0" fontId="1" fillId="0" borderId="25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6" pivotButton="0" quotePrefix="0" xfId="0"/>
    <xf numFmtId="0" fontId="1" fillId="0" borderId="37" applyAlignment="1" pivotButton="0" quotePrefix="0" xfId="0">
      <alignment horizontal="left" vertical="center"/>
    </xf>
    <xf numFmtId="0" fontId="1" fillId="0" borderId="38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21" fillId="0" borderId="0" pivotButton="0" quotePrefix="0" xfId="0"/>
    <xf numFmtId="0" fontId="22" fillId="12" borderId="31" applyAlignment="1" pivotButton="0" quotePrefix="0" xfId="0">
      <alignment horizontal="center" vertical="center"/>
    </xf>
    <xf numFmtId="0" fontId="22" fillId="12" borderId="14" applyAlignment="1" pivotButton="0" quotePrefix="0" xfId="0">
      <alignment horizontal="center" vertical="center"/>
    </xf>
    <xf numFmtId="0" fontId="22" fillId="12" borderId="42" applyAlignment="1" pivotButton="0" quotePrefix="0" xfId="0">
      <alignment horizontal="center" vertical="center"/>
    </xf>
    <xf numFmtId="0" fontId="0" fillId="0" borderId="44" pivotButton="0" quotePrefix="0" xfId="0"/>
    <xf numFmtId="0" fontId="22" fillId="12" borderId="23" applyAlignment="1" pivotButton="0" quotePrefix="0" xfId="0">
      <alignment horizontal="center" vertical="center"/>
    </xf>
    <xf numFmtId="0" fontId="22" fillId="12" borderId="45" applyAlignment="1" pivotButton="0" quotePrefix="0" xfId="0">
      <alignment horizontal="center" vertical="center"/>
    </xf>
    <xf numFmtId="0" fontId="22" fillId="12" borderId="46" applyAlignment="1" pivotButton="0" quotePrefix="0" xfId="0">
      <alignment horizontal="center" vertical="center"/>
    </xf>
    <xf numFmtId="0" fontId="22" fillId="12" borderId="47" applyAlignment="1" pivotButton="0" quotePrefix="0" xfId="0">
      <alignment horizontal="center" vertical="center"/>
    </xf>
    <xf numFmtId="0" fontId="22" fillId="0" borderId="31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 vertical="center"/>
    </xf>
    <xf numFmtId="0" fontId="22" fillId="0" borderId="45" applyAlignment="1" pivotButton="0" quotePrefix="0" xfId="0">
      <alignment horizontal="center" vertical="center"/>
    </xf>
    <xf numFmtId="0" fontId="22" fillId="0" borderId="31" applyAlignment="1" pivotButton="0" quotePrefix="0" xfId="0">
      <alignment horizontal="center" vertical="center"/>
    </xf>
    <xf numFmtId="0" fontId="22" fillId="0" borderId="46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23" fillId="12" borderId="42" applyAlignment="1" pivotButton="0" quotePrefix="0" xfId="0">
      <alignment horizontal="center" vertical="center"/>
    </xf>
    <xf numFmtId="0" fontId="23" fillId="12" borderId="23" applyAlignment="1" pivotButton="0" quotePrefix="0" xfId="0">
      <alignment horizontal="center" vertical="center"/>
    </xf>
    <xf numFmtId="0" fontId="23" fillId="12" borderId="47" applyAlignment="1" pivotButton="0" quotePrefix="0" xfId="0">
      <alignment horizontal="center" vertical="center"/>
    </xf>
    <xf numFmtId="0" fontId="24" fillId="0" borderId="31" applyAlignment="1" pivotButton="0" quotePrefix="0" xfId="0">
      <alignment horizontal="center" vertical="center" wrapText="1"/>
    </xf>
    <xf numFmtId="0" fontId="22" fillId="0" borderId="48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0" fontId="0" fillId="3" borderId="31" applyAlignment="1" pivotButton="0" quotePrefix="0" xfId="0">
      <alignment horizontal="center" vertical="center"/>
    </xf>
    <xf numFmtId="0" fontId="0" fillId="4" borderId="31" applyAlignment="1" pivotButton="0" quotePrefix="0" xfId="0">
      <alignment horizontal="center" vertical="center"/>
    </xf>
    <xf numFmtId="0" fontId="0" fillId="13" borderId="31" applyAlignment="1" pivotButton="0" quotePrefix="0" xfId="0">
      <alignment horizontal="center" vertical="center"/>
    </xf>
    <xf numFmtId="0" fontId="0" fillId="13" borderId="31" pivotButton="0" quotePrefix="0" xfId="0"/>
    <xf numFmtId="0" fontId="0" fillId="13" borderId="31" applyAlignment="1" pivotButton="0" quotePrefix="0" xfId="0">
      <alignment horizontal="center" vertical="center" wrapText="1"/>
    </xf>
    <xf numFmtId="0" fontId="26" fillId="13" borderId="31" applyAlignment="1" pivotButton="0" quotePrefix="0" xfId="0">
      <alignment horizontal="center" vertical="center" wrapText="1"/>
    </xf>
    <xf numFmtId="2" fontId="0" fillId="13" borderId="3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 wrapText="1"/>
    </xf>
    <xf numFmtId="169" fontId="0" fillId="0" borderId="31" applyAlignment="1" pivotButton="0" quotePrefix="0" xfId="0">
      <alignment horizontal="center" vertical="center"/>
    </xf>
    <xf numFmtId="169" fontId="26" fillId="0" borderId="31" applyAlignment="1" pivotButton="0" quotePrefix="0" xfId="0">
      <alignment horizontal="center" vertical="center"/>
    </xf>
    <xf numFmtId="169" fontId="26" fillId="4" borderId="31" applyAlignment="1" pivotButton="0" quotePrefix="0" xfId="0">
      <alignment horizontal="center" vertical="center"/>
    </xf>
    <xf numFmtId="169" fontId="0" fillId="4" borderId="31" applyAlignment="1" pivotButton="0" quotePrefix="0" xfId="0">
      <alignment horizontal="center" vertical="center"/>
    </xf>
    <xf numFmtId="170" fontId="0" fillId="0" borderId="31" applyAlignment="1" pivotButton="0" quotePrefix="0" xfId="0">
      <alignment horizontal="center" vertical="center"/>
    </xf>
    <xf numFmtId="0" fontId="0" fillId="14" borderId="31" applyAlignment="1" pivotButton="0" quotePrefix="0" xfId="0">
      <alignment horizontal="center" vertical="center"/>
    </xf>
    <xf numFmtId="0" fontId="0" fillId="14" borderId="46" applyAlignment="1" pivotButton="0" quotePrefix="0" xfId="0">
      <alignment horizontal="center" vertical="center"/>
    </xf>
    <xf numFmtId="0" fontId="0" fillId="11" borderId="47" applyAlignment="1" pivotButton="0" quotePrefix="0" xfId="0">
      <alignment horizontal="center" vertical="center"/>
    </xf>
    <xf numFmtId="0" fontId="0" fillId="15" borderId="31" applyAlignment="1" pivotButton="0" quotePrefix="0" xfId="0">
      <alignment horizontal="center" vertical="center"/>
    </xf>
    <xf numFmtId="0" fontId="0" fillId="15" borderId="46" applyAlignment="1" pivotButton="0" quotePrefix="0" xfId="0">
      <alignment horizontal="center" vertical="center"/>
    </xf>
    <xf numFmtId="0" fontId="0" fillId="14" borderId="47" applyAlignment="1" pivotButton="0" quotePrefix="0" xfId="0">
      <alignment horizontal="center" vertical="center"/>
    </xf>
    <xf numFmtId="0" fontId="0" fillId="15" borderId="31" applyAlignment="1" pivotButton="0" quotePrefix="0" xfId="0">
      <alignment horizontal="center" vertical="center" wrapText="1"/>
    </xf>
    <xf numFmtId="0" fontId="0" fillId="11" borderId="47" applyAlignment="1" pivotButton="0" quotePrefix="0" xfId="0">
      <alignment vertical="center"/>
    </xf>
    <xf numFmtId="0" fontId="0" fillId="11" borderId="31" applyAlignment="1" pivotButton="0" quotePrefix="0" xfId="0">
      <alignment vertical="center"/>
    </xf>
    <xf numFmtId="0" fontId="0" fillId="0" borderId="49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/>
    </xf>
    <xf numFmtId="0" fontId="0" fillId="11" borderId="31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49" applyAlignment="1" pivotButton="0" quotePrefix="0" xfId="0">
      <alignment horizontal="center" vertical="center"/>
    </xf>
    <xf numFmtId="0" fontId="0" fillId="15" borderId="49" applyAlignment="1" pivotButton="0" quotePrefix="0" xfId="0">
      <alignment horizontal="center" vertical="center"/>
    </xf>
    <xf numFmtId="0" fontId="0" fillId="15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11" borderId="52" applyAlignment="1" pivotButton="0" quotePrefix="0" xfId="0">
      <alignment horizontal="center" vertical="center"/>
    </xf>
    <xf numFmtId="0" fontId="0" fillId="11" borderId="49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/>
    </xf>
    <xf numFmtId="0" fontId="0" fillId="15" borderId="54" applyAlignment="1" pivotButton="0" quotePrefix="0" xfId="0">
      <alignment horizontal="center" vertical="center"/>
    </xf>
    <xf numFmtId="0" fontId="0" fillId="15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0" fontId="0" fillId="11" borderId="56" applyAlignment="1" pivotButton="0" quotePrefix="0" xfId="0">
      <alignment horizontal="center" vertical="center"/>
    </xf>
    <xf numFmtId="0" fontId="0" fillId="11" borderId="54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0" fillId="15" borderId="41" applyAlignment="1" pivotButton="0" quotePrefix="0" xfId="0">
      <alignment horizontal="center" vertical="center"/>
    </xf>
    <xf numFmtId="0" fontId="0" fillId="15" borderId="57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0" fillId="11" borderId="58" applyAlignment="1" pivotButton="0" quotePrefix="0" xfId="0">
      <alignment horizontal="center" vertical="center"/>
    </xf>
    <xf numFmtId="0" fontId="0" fillId="11" borderId="41" applyAlignment="1" pivotButton="0" quotePrefix="0" xfId="0">
      <alignment horizontal="center" vertical="center"/>
    </xf>
    <xf numFmtId="0" fontId="0" fillId="14" borderId="3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2" fillId="4" borderId="31" applyAlignment="1" pivotButton="0" quotePrefix="0" xfId="0">
      <alignment horizontal="center" vertical="center"/>
    </xf>
    <xf numFmtId="0" fontId="12" fillId="4" borderId="31" applyAlignment="1" pivotButton="0" quotePrefix="0" xfId="0">
      <alignment horizontal="center"/>
    </xf>
    <xf numFmtId="166" fontId="12" fillId="4" borderId="31" applyAlignment="1" pivotButton="0" quotePrefix="0" xfId="0">
      <alignment horizontal="center" vertical="center"/>
    </xf>
    <xf numFmtId="0" fontId="16" fillId="0" borderId="31" applyAlignment="1" pivotButton="0" quotePrefix="0" xfId="0">
      <alignment horizontal="center" vertical="center"/>
    </xf>
    <xf numFmtId="165" fontId="13" fillId="0" borderId="41" applyAlignment="1" pivotButton="0" quotePrefix="0" xfId="0">
      <alignment horizontal="center" vertical="center"/>
    </xf>
    <xf numFmtId="165" fontId="18" fillId="4" borderId="31" applyAlignment="1" pivotButton="0" quotePrefix="0" xfId="0">
      <alignment horizontal="center" vertical="center" wrapText="1"/>
    </xf>
    <xf numFmtId="0" fontId="18" fillId="4" borderId="31" applyAlignment="1" pivotButton="0" quotePrefix="0" xfId="0">
      <alignment horizontal="center" vertical="center" wrapText="1"/>
    </xf>
    <xf numFmtId="0" fontId="18" fillId="4" borderId="31" applyAlignment="1" pivotButton="0" quotePrefix="0" xfId="0">
      <alignment horizontal="center" vertical="center"/>
    </xf>
    <xf numFmtId="166" fontId="18" fillId="4" borderId="31" applyAlignment="1" pivotButton="0" quotePrefix="0" xfId="0">
      <alignment horizontal="center" vertical="center"/>
    </xf>
    <xf numFmtId="166" fontId="19" fillId="4" borderId="31" applyAlignment="1" pivotButton="0" quotePrefix="0" xfId="0">
      <alignment horizontal="center" vertical="center"/>
    </xf>
    <xf numFmtId="0" fontId="18" fillId="16" borderId="31" applyAlignment="1" pivotButton="0" quotePrefix="0" xfId="0">
      <alignment horizontal="center" vertical="center" wrapText="1"/>
    </xf>
    <xf numFmtId="165" fontId="18" fillId="0" borderId="40" applyAlignment="1" pivotButton="0" quotePrefix="0" xfId="0">
      <alignment horizontal="center" vertical="center" wrapText="1"/>
    </xf>
    <xf numFmtId="165" fontId="18" fillId="0" borderId="41" applyAlignment="1" pivotButton="0" quotePrefix="0" xfId="0">
      <alignment horizontal="center" vertical="center" wrapText="1"/>
    </xf>
    <xf numFmtId="0" fontId="28" fillId="0" borderId="31" applyAlignment="1" pivotButton="0" quotePrefix="0" xfId="0">
      <alignment horizontal="center" vertical="center" wrapText="1"/>
    </xf>
    <xf numFmtId="0" fontId="28" fillId="3" borderId="31" applyAlignment="1" pivotButton="0" quotePrefix="0" xfId="0">
      <alignment horizontal="center" vertical="center" wrapText="1"/>
    </xf>
    <xf numFmtId="0" fontId="28" fillId="3" borderId="31" applyAlignment="1" pivotButton="0" quotePrefix="0" xfId="0">
      <alignment horizontal="center" vertical="center"/>
    </xf>
    <xf numFmtId="171" fontId="29" fillId="0" borderId="31" applyAlignment="1" pivotButton="0" quotePrefix="0" xfId="0">
      <alignment horizontal="center"/>
    </xf>
    <xf numFmtId="0" fontId="15" fillId="4" borderId="31" applyAlignment="1" pivotButton="0" quotePrefix="0" xfId="0">
      <alignment horizontal="center" vertical="center"/>
    </xf>
    <xf numFmtId="166" fontId="16" fillId="4" borderId="31" applyAlignment="1" pivotButton="0" quotePrefix="0" xfId="0">
      <alignment horizontal="center" vertical="center"/>
    </xf>
    <xf numFmtId="171" fontId="29" fillId="4" borderId="31" applyAlignment="1" pivotButton="0" quotePrefix="0" xfId="0">
      <alignment horizontal="center"/>
    </xf>
    <xf numFmtId="0" fontId="15" fillId="17" borderId="31" applyAlignment="1" pivotButton="0" quotePrefix="0" xfId="0">
      <alignment horizontal="center" vertical="center"/>
    </xf>
    <xf numFmtId="166" fontId="16" fillId="17" borderId="31" applyAlignment="1" pivotButton="0" quotePrefix="0" xfId="0">
      <alignment horizontal="center" vertical="center"/>
    </xf>
    <xf numFmtId="172" fontId="29" fillId="17" borderId="31" applyAlignment="1" pivotButton="0" quotePrefix="0" xfId="0">
      <alignment horizontal="center"/>
    </xf>
    <xf numFmtId="173" fontId="29" fillId="17" borderId="31" applyAlignment="1" pivotButton="0" quotePrefix="0" xfId="0">
      <alignment horizontal="center"/>
    </xf>
    <xf numFmtId="0" fontId="14" fillId="0" borderId="0" pivotButton="0" quotePrefix="0" xfId="0"/>
    <xf numFmtId="0" fontId="30" fillId="6" borderId="31" applyAlignment="1" pivotButton="0" quotePrefix="0" xfId="0">
      <alignment horizontal="center" vertical="center"/>
    </xf>
    <xf numFmtId="174" fontId="30" fillId="6" borderId="31" applyAlignment="1" pivotButton="0" quotePrefix="0" xfId="0">
      <alignment horizontal="center" vertical="center"/>
    </xf>
    <xf numFmtId="0" fontId="30" fillId="0" borderId="59" applyAlignment="1" pivotButton="0" quotePrefix="0" xfId="0">
      <alignment vertical="center"/>
    </xf>
    <xf numFmtId="0" fontId="30" fillId="6" borderId="31" applyAlignment="1" pivotButton="0" quotePrefix="0" xfId="0">
      <alignment horizontal="center" vertical="center" wrapText="1"/>
    </xf>
    <xf numFmtId="174" fontId="14" fillId="0" borderId="31" applyAlignment="1" pivotButton="0" quotePrefix="0" xfId="0">
      <alignment horizontal="center" vertical="center"/>
    </xf>
    <xf numFmtId="0" fontId="14" fillId="0" borderId="31" applyAlignment="1" pivotButton="0" quotePrefix="0" xfId="0">
      <alignment horizontal="center" vertical="center"/>
    </xf>
    <xf numFmtId="3" fontId="31" fillId="0" borderId="31" applyAlignment="1" pivotButton="0" quotePrefix="0" xfId="0">
      <alignment horizontal="center" vertical="center"/>
    </xf>
    <xf numFmtId="165" fontId="14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3" fontId="14" fillId="0" borderId="31" applyAlignment="1" pivotButton="0" quotePrefix="0" xfId="0">
      <alignment horizontal="center" vertical="center"/>
    </xf>
    <xf numFmtId="174" fontId="32" fillId="0" borderId="31" applyAlignment="1" pivotButton="0" quotePrefix="0" xfId="0">
      <alignment horizontal="center" vertical="center"/>
    </xf>
    <xf numFmtId="165" fontId="14" fillId="0" borderId="31" applyAlignment="1" pivotButton="0" quotePrefix="0" xfId="0">
      <alignment horizontal="center" vertical="center"/>
    </xf>
    <xf numFmtId="174" fontId="32" fillId="4" borderId="31" applyAlignment="1" pivotButton="0" quotePrefix="0" xfId="0">
      <alignment horizontal="center" vertical="center"/>
    </xf>
    <xf numFmtId="165" fontId="14" fillId="4" borderId="31" applyAlignment="1" pivotButton="0" quotePrefix="0" xfId="0">
      <alignment horizontal="center" vertical="center"/>
    </xf>
    <xf numFmtId="0" fontId="14" fillId="4" borderId="31" applyAlignment="1" pivotButton="0" quotePrefix="0" xfId="0">
      <alignment horizontal="center" vertical="center" wrapText="1"/>
    </xf>
    <xf numFmtId="0" fontId="14" fillId="4" borderId="31" applyAlignment="1" pivotButton="0" quotePrefix="0" xfId="0">
      <alignment horizontal="center" vertical="center"/>
    </xf>
    <xf numFmtId="3" fontId="31" fillId="4" borderId="31" applyAlignment="1" pivotButton="0" quotePrefix="0" xfId="0">
      <alignment horizontal="center" vertical="center"/>
    </xf>
    <xf numFmtId="174" fontId="32" fillId="0" borderId="40" applyAlignment="1" pivotButton="0" quotePrefix="0" xfId="0">
      <alignment horizontal="center" vertical="center"/>
    </xf>
    <xf numFmtId="165" fontId="14" fillId="0" borderId="40" applyAlignment="1" pivotButton="0" quotePrefix="0" xfId="0">
      <alignment horizontal="center" vertical="center" wrapText="1"/>
    </xf>
    <xf numFmtId="0" fontId="14" fillId="0" borderId="40" applyAlignment="1" pivotButton="0" quotePrefix="0" xfId="0">
      <alignment horizontal="center" vertical="center" wrapText="1"/>
    </xf>
    <xf numFmtId="0" fontId="14" fillId="0" borderId="40" applyAlignment="1" pivotButton="0" quotePrefix="0" xfId="0">
      <alignment horizontal="center" vertical="center"/>
    </xf>
    <xf numFmtId="3" fontId="31" fillId="0" borderId="40" applyAlignment="1" pivotButton="0" quotePrefix="0" xfId="0">
      <alignment horizontal="center" vertical="center"/>
    </xf>
    <xf numFmtId="174" fontId="32" fillId="11" borderId="31" applyAlignment="1" pivotButton="0" quotePrefix="0" xfId="0">
      <alignment horizontal="center" vertical="center"/>
    </xf>
    <xf numFmtId="165" fontId="14" fillId="11" borderId="31" applyAlignment="1" pivotButton="0" quotePrefix="0" xfId="0">
      <alignment horizontal="center" vertical="center" wrapText="1"/>
    </xf>
    <xf numFmtId="0" fontId="14" fillId="11" borderId="31" applyAlignment="1" pivotButton="0" quotePrefix="0" xfId="0">
      <alignment horizontal="center" vertical="center" wrapText="1"/>
    </xf>
    <xf numFmtId="0" fontId="14" fillId="11" borderId="31" applyAlignment="1" pivotButton="0" quotePrefix="0" xfId="0">
      <alignment horizontal="center" vertical="center"/>
    </xf>
    <xf numFmtId="3" fontId="31" fillId="11" borderId="31" applyAlignment="1" pivotButton="0" quotePrefix="0" xfId="0">
      <alignment horizontal="center" vertical="center"/>
    </xf>
    <xf numFmtId="174" fontId="14" fillId="0" borderId="60" applyAlignment="1" pivotButton="0" quotePrefix="0" xfId="0">
      <alignment horizontal="center" vertical="center"/>
    </xf>
    <xf numFmtId="165" fontId="14" fillId="0" borderId="60" applyAlignment="1" pivotButton="0" quotePrefix="0" xfId="0">
      <alignment horizontal="center" vertical="center" wrapText="1"/>
    </xf>
    <xf numFmtId="0" fontId="14" fillId="0" borderId="60" applyAlignment="1" pivotButton="0" quotePrefix="0" xfId="0">
      <alignment horizontal="center" vertical="center" wrapText="1"/>
    </xf>
    <xf numFmtId="0" fontId="14" fillId="0" borderId="60" applyAlignment="1" pivotButton="0" quotePrefix="0" xfId="0">
      <alignment horizontal="center" vertical="center"/>
    </xf>
    <xf numFmtId="3" fontId="31" fillId="0" borderId="60" applyAlignment="1" pivotButton="0" quotePrefix="0" xfId="0">
      <alignment horizontal="center" vertical="center"/>
    </xf>
    <xf numFmtId="0" fontId="12" fillId="6" borderId="31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0" borderId="43" pivotButton="0" quotePrefix="0" xfId="0"/>
    <xf numFmtId="0" fontId="0" fillId="18" borderId="47" applyAlignment="1" pivotButton="0" quotePrefix="0" xfId="0">
      <alignment horizontal="center" vertical="center" wrapText="1"/>
    </xf>
    <xf numFmtId="0" fontId="0" fillId="18" borderId="31" applyAlignment="1" pivotButton="0" quotePrefix="0" xfId="0">
      <alignment horizontal="center" vertical="center" wrapText="1"/>
    </xf>
    <xf numFmtId="0" fontId="0" fillId="4" borderId="31" applyAlignment="1" pivotButton="0" quotePrefix="0" xfId="0">
      <alignment horizontal="center" vertical="center" wrapText="1"/>
    </xf>
    <xf numFmtId="0" fontId="0" fillId="0" borderId="61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2" pivotButton="0" quotePrefix="0" xfId="0"/>
    <xf numFmtId="165" fontId="0" fillId="0" borderId="49" applyAlignment="1" pivotButton="0" quotePrefix="0" xfId="0">
      <alignment horizontal="center" vertical="center"/>
    </xf>
    <xf numFmtId="2" fontId="0" fillId="0" borderId="47" applyAlignment="1" pivotButton="0" quotePrefix="0" xfId="0">
      <alignment horizontal="center" vertical="center"/>
    </xf>
    <xf numFmtId="2" fontId="0" fillId="0" borderId="14" applyAlignment="1" pivotButton="0" quotePrefix="0" xfId="0">
      <alignment horizontal="center" vertical="center"/>
    </xf>
    <xf numFmtId="2" fontId="0" fillId="0" borderId="45" applyAlignment="1" pivotButton="0" quotePrefix="0" xfId="0">
      <alignment horizontal="center" vertical="center"/>
    </xf>
    <xf numFmtId="2" fontId="0" fillId="0" borderId="46" applyAlignment="1" pivotButton="0" quotePrefix="0" xfId="0">
      <alignment horizontal="center" vertical="center"/>
    </xf>
    <xf numFmtId="0" fontId="0" fillId="18" borderId="47" applyAlignment="1" pivotButton="0" quotePrefix="0" xfId="0">
      <alignment horizontal="center" vertical="center"/>
    </xf>
    <xf numFmtId="0" fontId="0" fillId="18" borderId="31" applyAlignment="1" pivotButton="0" quotePrefix="0" xfId="0">
      <alignment horizontal="center" vertical="center"/>
    </xf>
    <xf numFmtId="0" fontId="0" fillId="19" borderId="49" applyAlignment="1" pivotButton="0" quotePrefix="0" xfId="0">
      <alignment horizontal="center" vertical="center"/>
    </xf>
    <xf numFmtId="0" fontId="0" fillId="19" borderId="51" applyAlignment="1" pivotButton="0" quotePrefix="0" xfId="0">
      <alignment horizontal="center" vertical="center"/>
    </xf>
    <xf numFmtId="2" fontId="0" fillId="19" borderId="52" applyAlignment="1" pivotButton="0" quotePrefix="0" xfId="0">
      <alignment horizontal="center" vertical="center"/>
    </xf>
    <xf numFmtId="2" fontId="0" fillId="19" borderId="67" applyAlignment="1" pivotButton="0" quotePrefix="0" xfId="0">
      <alignment horizontal="center" vertical="center"/>
    </xf>
    <xf numFmtId="2" fontId="0" fillId="19" borderId="68" applyAlignment="1" pivotButton="0" quotePrefix="0" xfId="0">
      <alignment horizontal="center" vertical="center"/>
    </xf>
    <xf numFmtId="2" fontId="0" fillId="19" borderId="51" applyAlignment="1" pivotButton="0" quotePrefix="0" xfId="0">
      <alignment horizontal="center" vertical="center"/>
    </xf>
    <xf numFmtId="0" fontId="0" fillId="18" borderId="52" applyAlignment="1" pivotButton="0" quotePrefix="0" xfId="0">
      <alignment horizontal="center" vertical="center"/>
    </xf>
    <xf numFmtId="0" fontId="0" fillId="18" borderId="49" applyAlignment="1" pivotButton="0" quotePrefix="0" xfId="0">
      <alignment horizontal="center" vertical="center"/>
    </xf>
    <xf numFmtId="0" fontId="0" fillId="4" borderId="49" applyAlignment="1" pivotButton="0" quotePrefix="0" xfId="0">
      <alignment horizontal="center" vertical="center"/>
    </xf>
    <xf numFmtId="165" fontId="0" fillId="0" borderId="69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vertical="center"/>
    </xf>
    <xf numFmtId="2" fontId="0" fillId="0" borderId="58" applyAlignment="1" pivotButton="0" quotePrefix="0" xfId="0">
      <alignment horizontal="center" vertical="center"/>
    </xf>
    <xf numFmtId="2" fontId="0" fillId="0" borderId="70" applyAlignment="1" pivotButton="0" quotePrefix="0" xfId="0">
      <alignment horizontal="center" vertical="center"/>
    </xf>
    <xf numFmtId="2" fontId="0" fillId="0" borderId="71" applyAlignment="1" pivotButton="0" quotePrefix="0" xfId="0">
      <alignment horizontal="center" vertical="center"/>
    </xf>
    <xf numFmtId="2" fontId="0" fillId="0" borderId="57" applyAlignment="1" pivotButton="0" quotePrefix="0" xfId="0">
      <alignment horizontal="center" vertical="center"/>
    </xf>
    <xf numFmtId="0" fontId="0" fillId="18" borderId="58" applyAlignment="1" pivotButton="0" quotePrefix="0" xfId="0">
      <alignment horizontal="center" vertical="center"/>
    </xf>
    <xf numFmtId="0" fontId="0" fillId="18" borderId="41" applyAlignment="1" pivotButton="0" quotePrefix="0" xfId="0">
      <alignment horizontal="center" vertical="center"/>
    </xf>
    <xf numFmtId="0" fontId="0" fillId="4" borderId="41" applyAlignment="1" pivotButton="0" quotePrefix="0" xfId="0">
      <alignment horizontal="center" vertical="center"/>
    </xf>
    <xf numFmtId="165" fontId="0" fillId="0" borderId="41" applyAlignment="1" pivotButton="0" quotePrefix="0" xfId="0">
      <alignment horizontal="center" vertical="center"/>
    </xf>
    <xf numFmtId="0" fontId="0" fillId="19" borderId="31" applyAlignment="1" pivotButton="0" quotePrefix="0" xfId="0">
      <alignment horizontal="center" vertical="center"/>
    </xf>
    <xf numFmtId="0" fontId="0" fillId="19" borderId="46" applyAlignment="1" pivotButton="0" quotePrefix="0" xfId="0">
      <alignment horizontal="center" vertical="center"/>
    </xf>
    <xf numFmtId="2" fontId="0" fillId="19" borderId="47" applyAlignment="1" pivotButton="0" quotePrefix="0" xfId="0">
      <alignment horizontal="center" vertical="center"/>
    </xf>
    <xf numFmtId="2" fontId="0" fillId="19" borderId="14" applyAlignment="1" pivotButton="0" quotePrefix="0" xfId="0">
      <alignment horizontal="center" vertical="center"/>
    </xf>
    <xf numFmtId="2" fontId="0" fillId="19" borderId="45" applyAlignment="1" pivotButton="0" quotePrefix="0" xfId="0">
      <alignment horizontal="center" vertical="center"/>
    </xf>
    <xf numFmtId="2" fontId="0" fillId="19" borderId="4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worksheet" Target="/xl/worksheets/sheet13.xml" Id="rId13" /><ns0:Relationship Type="http://schemas.openxmlformats.org/officeDocument/2006/relationships/worksheet" Target="/xl/worksheets/sheet14.xml" Id="rId14" /><ns0:Relationship Type="http://schemas.openxmlformats.org/officeDocument/2006/relationships/styles" Target="styles.xml" Id="rId15" /><ns0:Relationship Type="http://schemas.openxmlformats.org/officeDocument/2006/relationships/theme" Target="theme/theme1.xml" Id="rId1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_rels/sheet10.xml.rels><?xml version='1.0' encoding='utf-8'?>
<ns0:Relationships xmlns:ns0="http://schemas.openxmlformats.org/package/2006/relationships" />
</file>

<file path=xl/worksheets/_rels/sheet11.xml.rels><?xml version='1.0' encoding='utf-8'?>
<ns0:Relationships xmlns:ns0="http://schemas.openxmlformats.org/package/2006/relationships" />
</file>

<file path=xl/worksheets/_rels/sheet1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X637"/>
  <ns0:sheetViews>
    <ns0:sheetView workbookViewId="0">
      <ns0:selection activeCell="A1" sqref="A1"/>
    </ns0:sheetView>
  </ns0:sheetViews>
  <ns0:sheetFormatPr baseColWidth="8" defaultRowHeight="15"/>
  <ns0:cols>
    <ns0:col width="17.88" customWidth="1" min="1" max="1"/>
    <ns0:col width="26.5" customWidth="1" min="2" max="2"/>
    <ns0:col width="42.88" customWidth="1" min="3" max="3"/>
    <ns0:col width="74.25" customWidth="1" min="4" max="4"/>
    <ns0:col width="19.25" customWidth="1" min="5" max="5"/>
    <ns0:col width="19.25" customWidth="1" min="6" max="6"/>
    <ns0:col width="12.75" customWidth="1" min="7" max="7"/>
    <ns0:col width="12.75" customWidth="1" min="8" max="8"/>
    <ns0:col width="19" customWidth="1" min="9" max="9"/>
    <ns0:col width="22.88" customWidth="1" min="10" max="10"/>
    <ns0:col width="14.75" customWidth="1" min="11" max="11"/>
    <ns0:col width="14.75" customWidth="1" min="12" max="12"/>
    <ns0:col width="15.75" customWidth="1" min="13" max="13"/>
    <ns0:col width="22.75" customWidth="1" min="14" max="14"/>
    <ns0:col width="15.38" customWidth="1" min="15" max="15"/>
    <ns0:col width="15.38" customWidth="1" min="16" max="16"/>
    <ns0:col width="15.38" customWidth="1" min="17" max="17"/>
    <ns0:col width="22.88" customWidth="1" min="18" max="18"/>
    <ns0:col width="28" customWidth="1" min="19" max="19"/>
    <ns0:col width="32.88" customWidth="1" min="20" max="20"/>
    <ns0:col width="21.88" customWidth="1" min="21" max="21"/>
    <ns0:col width="21.88" customWidth="1" min="22" max="22"/>
    <ns0:col width="21.88" customWidth="1" min="23" max="23"/>
    <ns0:col width="26.88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  <ns0:col width="8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  <ns0:col width="8.5" customWidth="1" min="49" max="49"/>
    <ns0:col width="8.5" customWidth="1" min="50" max="50"/>
    <ns0:col width="8.5" customWidth="1" min="51" max="51"/>
    <ns0:col width="8.5" customWidth="1" min="52" max="52"/>
    <ns0:col width="8.5" customWidth="1" min="53" max="53"/>
    <ns0:col width="8.5" customWidth="1" min="54" max="54"/>
    <ns0:col width="8.5" customWidth="1" min="55" max="55"/>
    <ns0:col width="8.5" customWidth="1" min="56" max="56"/>
    <ns0:col width="8.5" customWidth="1" min="57" max="57"/>
    <ns0:col width="8.5" customWidth="1" min="58" max="58"/>
    <ns0:col width="8.5" customWidth="1" min="59" max="59"/>
    <ns0:col width="8.5" customWidth="1" min="60" max="60"/>
    <ns0:col width="8.5" customWidth="1" min="61" max="61"/>
    <ns0:col width="8.5" customWidth="1" min="62" max="62"/>
    <ns0:col width="8.5" customWidth="1" min="63" max="63"/>
    <ns0:col width="8.5" customWidth="1" min="64" max="64"/>
    <ns0:col width="8.5" customWidth="1" min="65" max="65"/>
    <ns0:col width="8.5" customWidth="1" min="66" max="66"/>
    <ns0:col width="8.5" customWidth="1" min="67" max="67"/>
  </ns0:cols>
  <ns0:sheetData>
    <ns0:row r="1" ht="16.5" customHeight="1"/>
    <ns0:row r="2" ht="40.75" customHeight="1">
      <ns0:c r="A2" s="1" t="inlineStr">
        <ns0:is>
          <ns0:t>TITLE</ns0:t>
        </ns0:is>
      </ns0:c>
      <ns0:c r="C2" s="1" t="inlineStr">
        <ns0:is>
          <ns0:t>REPORT CHECKING AND TEST REDUCE HEIGHT DIMENSION COIL  OF MODEL BRS-201506</ns0:t>
        </ns0:is>
      </ns0:c>
      <ns0:c r="W2" s="1" t="inlineStr">
        <ns0:is>
          <ns0:t>Dept</ns0:t>
        </ns0:is>
      </ns0:c>
      <ns0:c r="X2" s="1" t="inlineStr">
        <ns0:is>
          <ns0:t>ME</ns0:t>
        </ns0:is>
      </ns0:c>
    </ns0:row>
    <ns0:row r="3" ht="40.75" customHeight="1">
      <ns0:c r="W3" s="1" t="inlineStr">
        <ns0:is>
          <ns0:t>Date</ns0:t>
        </ns0:is>
      </ns0:c>
      <ns0:c r="X3" s="2" t="n">
        <ns0:v>45457</ns0:v>
      </ns0:c>
    </ns0:row>
    <ns0:row r="4" ht="40.75" customHeight="1">
      <ns0:c r="W4" s="1" t="inlineStr">
        <ns0:is>
          <ns0:t>Marker</ns0:t>
        </ns0:is>
      </ns0:c>
      <ns0:c r="X4" s="1" t="inlineStr">
        <ns0:is>
          <ns0:t>Thao</ns0:t>
        </ns0:is>
      </ns0:c>
    </ns0:row>
    <ns0:row r="5" ht="40.75" customHeight="1">
      <ns0:c r="A5" s="1" t="inlineStr">
        <ns0:is>
          <ns0:t>I. Purpose.</ns0:t>
        </ns0:is>
      </ns0:c>
    </ns0:row>
    <ns0:row r="6" ht="40.75" customHeight="1">
      <ns0:c r="A6" s="1" t="inlineStr">
        <ns0:is>
          <ns0:t xml:space="preserve"> - Find reason NG Function</ns0:t>
        </ns0:is>
      </ns0:c>
    </ns0:row>
    <ns0:row r="7" ht="40.75" customHeight="1">
      <ns0:c r="A7" s="1" t="inlineStr">
        <ns0:is>
          <ns0:t>II. Content.</ns0:t>
        </ns0:is>
      </ns0:c>
    </ns0:row>
    <ns0:row r="8" ht="40.75" customHeight="1"/>
    <ns0:row r="9" ht="40.75" customHeight="1"/>
    <ns0:row r="10" ht="40.75" customHeight="1"/>
    <ns0:row r="11" ht="40.75" customHeight="1"/>
    <ns0:row r="12" ht="40.75" customHeight="1"/>
    <ns0:row r="13" ht="40.75" customHeight="1"/>
    <ns0:row r="14" ht="40.75" customHeight="1">
      <ns0:c r="A14" s="1" t="inlineStr">
        <ns0:is>
          <ns0:t xml:space="preserve">3.Result </ns0:t>
        </ns0:is>
      </ns0:c>
    </ns0:row>
    <ns0:row r="15" ht="48" customHeight="1">
      <ns0:c r="B15" s="1" t="inlineStr">
        <ns0:is>
          <ns0:t>RESULT CHECKING FUNCTION OF MODEL BRS-2015</ns0:t>
        </ns0:is>
      </ns0:c>
    </ns0:row>
    <ns0:row r="16" ht="48" customHeight="1">
      <ns0:c r="B16" s="1" t="inlineStr">
        <ns0:is>
          <ns0:t>Date</ns0:t>
        </ns0:is>
      </ns0:c>
      <ns0:c r="C16" s="1" t="inlineStr">
        <ns0:is>
          <ns0:t>Type</ns0:t>
        </ns0:is>
      </ns0:c>
      <ns0:c r="E16" s="1" t="inlineStr">
        <ns0:is>
          <ns0:t>Q'ty</ns0:t>
        </ns0:is>
      </ns0:c>
      <ns0:c r="F16" s="1" t="inlineStr">
        <ns0:is>
          <ns0:t>OK</ns0:t>
        </ns0:is>
      </ns0:c>
      <ns0:c r="G16" s="1" t="inlineStr">
        <ns0:is>
          <ns0:t xml:space="preserve">Sigma </ns0:t>
        </ns0:is>
      </ns0:c>
      <ns0:c r="K16" s="1" t="inlineStr">
        <ns0:is>
          <ns0:t>Hearing up 10%</ns0:t>
        </ns0:is>
      </ns0:c>
      <ns0:c r="M16" s="1" t="inlineStr">
        <ns0:is>
          <ns0:t>Total NG</ns0:t>
        </ns0:is>
      </ns0:c>
      <ns0:c r="N16" s="1" t="inlineStr">
        <ns0:is>
          <ns0:t>Total NG rate</ns0:t>
        </ns0:is>
      </ns0:c>
      <ns0:c r="O16" s="1" t="inlineStr">
        <ns0:is>
          <ns0:t>Recheck Hearing</ns0:t>
        </ns0:is>
      </ns0:c>
      <ns0:c r="Q16" s="1" t="inlineStr">
        <ns0:is>
          <ns0:t>Total NG</ns0:t>
        </ns0:is>
      </ns0:c>
      <ns0:c r="R16" s="1" t="inlineStr">
        <ns0:is>
          <ns0:t>Total NG rate</ns0:t>
        </ns0:is>
      </ns0:c>
      <ns0:c r="S16" s="1" t="inlineStr">
        <ns0:is>
          <ns0:t>Note</ns0:t>
        </ns0:is>
      </ns0:c>
    </ns0:row>
    <ns0:row r="17" ht="48" customHeight="1">
      <ns0:c r="G17" s="1" t="inlineStr">
        <ns0:is>
          <ns0:t xml:space="preserve">SPL </ns0:t>
        </ns0:is>
      </ns0:c>
      <ns0:c r="H17" s="1" t="inlineStr">
        <ns0:is>
          <ns0:t xml:space="preserve">THD </ns0:t>
        </ns0:is>
      </ns0:c>
      <ns0:c r="I17" s="1" t="inlineStr">
        <ns0:is>
          <ns0:t xml:space="preserve">SPL+THD </ns0:t>
        </ns0:is>
      </ns0:c>
      <ns0:c r="J17" s="1" t="inlineStr">
        <ns0:is>
          <ns0:t>SPL+THD+F0</ns0:t>
        </ns0:is>
      </ns0:c>
      <ns0:c r="K17" s="1" t="inlineStr">
        <ns0:is>
          <ns0:t xml:space="preserve">Noise </ns0:t>
        </ns0:is>
      </ns0:c>
      <ns0:c r="L17" s="1" t="inlineStr">
        <ns0:is>
          <ns0:t xml:space="preserve">Touch </ns0:t>
        </ns0:is>
      </ns0:c>
      <ns0:c r="O17" s="1" t="inlineStr">
        <ns0:is>
          <ns0:t xml:space="preserve">Noise </ns0:t>
        </ns0:is>
      </ns0:c>
      <ns0:c r="P17" s="1" t="inlineStr">
        <ns0:is>
          <ns0:t xml:space="preserve">Touch </ns0:t>
        </ns0:is>
      </ns0:c>
    </ns0:row>
    <ns0:row r="18" ht="24" customHeight="1">
      <ns0:c r="B18" s="2" t="n">
        <ns0:v>45457</ns0:v>
      </ns0:c>
      <ns0:c r="C18" s="1" t="inlineStr">
        <ns0:is>
          <ns0:t>VP</ns0:t>
        </ns0:is>
      </ns0:c>
      <ns0:c r="D18" s="1" t="inlineStr">
        <ns0:is>
          <ns0:t>VP IR 240517014-00004 
Date 01/06/2024</ns0:t>
        </ns0:is>
      </ns0:c>
      <ns0:c r="E18" s="1" t="n">
        <ns0:v>250</ns0:v>
      </ns0:c>
      <ns0:c r="F18" s="1">
        <ns0:f>+E18-M18</ns0:f>
        <ns0:v/>
      </ns0:c>
      <ns0:c r="G18" s="1" t="n">
        <ns0:v>0</ns0:v>
      </ns0:c>
      <ns0:c r="H18" s="1" t="n">
        <ns0:v>0</ns0:v>
      </ns0:c>
      <ns0:c r="I18" s="1" t="n">
        <ns0:v>1</ns0:v>
      </ns0:c>
      <ns0:c r="J18" s="1" t="n">
        <ns0:v>0</ns0:v>
      </ns0:c>
      <ns0:c r="K18" s="1" t="n">
        <ns0:v>8</ns0:v>
      </ns0:c>
      <ns0:c r="L18" s="1" t="n">
        <ns0:v>15</ns0:v>
      </ns0:c>
      <ns0:c r="M18" s="1">
        <ns0:f>SUM(G18:L18)</ns0:f>
        <ns0:v/>
      </ns0:c>
      <ns0:c r="N18" s="1">
        <ns0:f>M18/E18</ns0:f>
        <ns0:v/>
      </ns0:c>
      <ns0:c r="Q18" s="1">
        <ns0:f>+O18+P18</ns0:f>
        <ns0:v/>
      </ns0:c>
      <ns0:c r="R18" s="1">
        <ns0:f>+Q18/E18</ns0:f>
        <ns0:v/>
      </ns0:c>
      <ns0:c r="S18" s="1" t="inlineStr">
        <ns0:is>
          <ns0:t>VP Stock Last time Function rate 1%</ns0:t>
        </ns0:is>
      </ns0:c>
    </ns0:row>
    <ns0:row r="19" ht="24" customHeight="1">
      <ns0:c r="G19" s="1">
        <ns0:f>+G18/M18</ns0:f>
        <ns0:v/>
      </ns0:c>
      <ns0:c r="H19" s="1">
        <ns0:f>+H18/M18</ns0:f>
        <ns0:v/>
      </ns0:c>
      <ns0:c r="I19" s="1">
        <ns0:f>+I18/M18</ns0:f>
        <ns0:v/>
      </ns0:c>
      <ns0:c r="J19" s="1">
        <ns0:f>+J18/M18</ns0:f>
        <ns0:v/>
      </ns0:c>
      <ns0:c r="K19" s="1">
        <ns0:f>+K18/M18</ns0:f>
        <ns0:v/>
      </ns0:c>
      <ns0:c r="L19" s="1">
        <ns0:f>+L18/M18</ns0:f>
        <ns0:v/>
      </ns0:c>
      <ns0:c r="O19" s="1">
        <ns0:f>+O18/Q18</ns0:f>
        <ns0:v/>
      </ns0:c>
      <ns0:c r="P19" s="1">
        <ns0:f>+P18/Q18</ns0:f>
        <ns0:v/>
      </ns0:c>
    </ns0:row>
    <ns0:row r="20" ht="24" customHeight="1">
      <ns0:c r="D20" s="1" t="inlineStr">
        <ns0:is>
          <ns0:t>VP IR 240523059 - 00001 date 7/6/2024</ns0:t>
        </ns0:is>
      </ns0:c>
      <ns0:c r="E20" s="1" t="n">
        <ns0:v>475</ns0:v>
      </ns0:c>
      <ns0:c r="F20" s="1">
        <ns0:f>+E20-M20</ns0:f>
        <ns0:v/>
      </ns0:c>
      <ns0:c r="G20" s="1" t="n">
        <ns0:v>0</ns0:v>
      </ns0:c>
      <ns0:c r="H20" s="1" t="n">
        <ns0:v>1</ns0:v>
      </ns0:c>
      <ns0:c r="I20" s="1" t="n">
        <ns0:v>3</ns0:v>
      </ns0:c>
      <ns0:c r="J20" s="1" t="n">
        <ns0:v>0</ns0:v>
      </ns0:c>
      <ns0:c r="K20" s="1" t="n">
        <ns0:v>11</ns0:v>
      </ns0:c>
      <ns0:c r="L20" s="1" t="n">
        <ns0:v>33</ns0:v>
      </ns0:c>
      <ns0:c r="M20" s="1">
        <ns0:f>SUM(G20:L20)</ns0:f>
        <ns0:v/>
      </ns0:c>
      <ns0:c r="N20" s="1">
        <ns0:f>M20/E20</ns0:f>
        <ns0:v/>
      </ns0:c>
      <ns0:c r="Q20" s="1">
        <ns0:f>+O20+P20</ns0:f>
        <ns0:v/>
      </ns0:c>
      <ns0:c r="R20" s="1">
        <ns0:f>+Q20/E20</ns0:f>
        <ns0:v/>
      </ns0:c>
      <ns0:c r="S20" s="1" t="inlineStr">
        <ns0:is>
          <ns0:t>Stock Line Function NG rate 3%</ns0:t>
        </ns0:is>
      </ns0:c>
    </ns0:row>
    <ns0:row r="21" ht="24" customHeight="1">
      <ns0:c r="G21" s="1">
        <ns0:f>+G20/M20</ns0:f>
        <ns0:v/>
      </ns0:c>
      <ns0:c r="H21" s="1">
        <ns0:f>+H20/M20</ns0:f>
        <ns0:v/>
      </ns0:c>
      <ns0:c r="I21" s="1">
        <ns0:f>+I20/M20</ns0:f>
        <ns0:v/>
      </ns0:c>
      <ns0:c r="J21" s="1">
        <ns0:f>+J20/M20</ns0:f>
        <ns0:v/>
      </ns0:c>
      <ns0:c r="K21" s="1">
        <ns0:f>+K20/M20</ns0:f>
        <ns0:v/>
      </ns0:c>
      <ns0:c r="L21" s="1">
        <ns0:f>+L20/M20</ns0:f>
        <ns0:v/>
      </ns0:c>
      <ns0:c r="O21" s="1">
        <ns0:f>+O20/Q20</ns0:f>
        <ns0:v/>
      </ns0:c>
      <ns0:c r="P21" s="1">
        <ns0:f>+P20/Q20</ns0:f>
        <ns0:v/>
      </ns0:c>
    </ns0:row>
    <ns0:row r="22" ht="24" customHeight="1">
      <ns0:c r="D22" s="1" t="inlineStr">
        <ns0:is>
          <ns0:t>VP IR 240517014-00004 
Date 31/05/2024</ns0:t>
        </ns0:is>
      </ns0:c>
      <ns0:c r="E22" s="1" t="n">
        <ns0:v>116</ns0:v>
      </ns0:c>
      <ns0:c r="F22" s="1">
        <ns0:f>+E22-M22</ns0:f>
        <ns0:v/>
      </ns0:c>
      <ns0:c r="G22" s="1" t="n">
        <ns0:v>0</ns0:v>
      </ns0:c>
      <ns0:c r="H22" s="1" t="n">
        <ns0:v>0</ns0:v>
      </ns0:c>
      <ns0:c r="I22" s="1" t="n">
        <ns0:v>0</ns0:v>
      </ns0:c>
      <ns0:c r="J22" s="1" t="n">
        <ns0:v>0</ns0:v>
      </ns0:c>
      <ns0:c r="K22" s="1" t="n">
        <ns0:v>0</ns0:v>
      </ns0:c>
      <ns0:c r="L22" s="1" t="n">
        <ns0:v>10</ns0:v>
      </ns0:c>
      <ns0:c r="M22" s="1">
        <ns0:f>SUM(G22:L22)</ns0:f>
        <ns0:v/>
      </ns0:c>
      <ns0:c r="N22" s="1">
        <ns0:f>M22/E22</ns0:f>
        <ns0:v/>
      </ns0:c>
      <ns0:c r="Q22" s="1">
        <ns0:f>+O22+P22</ns0:f>
        <ns0:v/>
      </ns0:c>
      <ns0:c r="R22" s="1">
        <ns0:f>+Q22/E22</ns0:f>
        <ns0:v/>
      </ns0:c>
      <ns0:c r="S22" s="1" t="inlineStr">
        <ns0:is>
          <ns0:t>Stock Line Function NG rate 3%</ns0:t>
        </ns0:is>
      </ns0:c>
    </ns0:row>
    <ns0:row r="23" ht="24" customHeight="1">
      <ns0:c r="G23" s="1">
        <ns0:f>+G22/M22</ns0:f>
        <ns0:v/>
      </ns0:c>
      <ns0:c r="H23" s="1">
        <ns0:f>+H22/M22</ns0:f>
        <ns0:v/>
      </ns0:c>
      <ns0:c r="I23" s="1">
        <ns0:f>+I22/M22</ns0:f>
        <ns0:v/>
      </ns0:c>
      <ns0:c r="J23" s="1">
        <ns0:f>+J22/M22</ns0:f>
        <ns0:v/>
      </ns0:c>
      <ns0:c r="K23" s="1">
        <ns0:f>+K22/M22</ns0:f>
        <ns0:v/>
      </ns0:c>
      <ns0:c r="L23" s="1">
        <ns0:f>+L22/M22</ns0:f>
        <ns0:v/>
      </ns0:c>
      <ns0:c r="O23" s="1">
        <ns0:f>+O22/Q22</ns0:f>
        <ns0:v/>
      </ns0:c>
      <ns0:c r="P23" s="1">
        <ns0:f>+P22/Q22</ns0:f>
        <ns0:v/>
      </ns0:c>
    </ns0:row>
    <ns0:row r="24" ht="24" customHeight="1">
      <ns0:c r="C24" s="1" t="inlineStr">
        <ns0:is>
          <ns0:t>Process VP+Frame</ns0:t>
        </ns0:is>
      </ns0:c>
      <ns0:c r="D24" s="1" t="inlineStr">
        <ns0:is>
          <ns0:t xml:space="preserve">Down UV press VP+Coil </ns0:t>
        </ns0:is>
      </ns0:c>
      <ns0:c r="E24" s="1" t="n">
        <ns0:v>440</ns0:v>
      </ns0:c>
      <ns0:c r="F24" s="1">
        <ns0:f>+E24-M24</ns0:f>
        <ns0:v/>
      </ns0:c>
      <ns0:c r="G24" s="1" t="n">
        <ns0:v>0</ns0:v>
      </ns0:c>
      <ns0:c r="H24" s="1" t="n">
        <ns0:v>0</ns0:v>
      </ns0:c>
      <ns0:c r="I24" s="1" t="n">
        <ns0:v>0</ns0:v>
      </ns0:c>
      <ns0:c r="J24" s="1" t="n">
        <ns0:v>0</ns0:v>
      </ns0:c>
      <ns0:c r="K24" s="1" t="n">
        <ns0:v>38</ns0:v>
      </ns0:c>
      <ns0:c r="L24" s="1" t="n">
        <ns0:v>29</ns0:v>
      </ns0:c>
      <ns0:c r="M24" s="1">
        <ns0:f>SUM(G24:L24)</ns0:f>
        <ns0:v/>
      </ns0:c>
      <ns0:c r="N24" s="1">
        <ns0:f>M24/E24</ns0:f>
        <ns0:v/>
      </ns0:c>
      <ns0:c r="Q24" s="1">
        <ns0:f>+O24+P24</ns0:f>
        <ns0:v/>
      </ns0:c>
      <ns0:c r="R24" s="1">
        <ns0:f>+Q24/E24</ns0:f>
        <ns0:v/>
      </ns0:c>
      <ns0:c r="S24" s="1" t="inlineStr">
        <ns0:is>
          <ns0:t>Checking other reason NG</ns0:t>
        </ns0:is>
      </ns0:c>
    </ns0:row>
    <ns0:row r="25" ht="24" customHeight="1">
      <ns0:c r="G25" s="1">
        <ns0:f>+G24/M24</ns0:f>
        <ns0:v/>
      </ns0:c>
      <ns0:c r="H25" s="1">
        <ns0:f>+H24/M24</ns0:f>
        <ns0:v/>
      </ns0:c>
      <ns0:c r="I25" s="1">
        <ns0:f>+I24/M24</ns0:f>
        <ns0:v/>
      </ns0:c>
      <ns0:c r="J25" s="1">
        <ns0:f>+J24/M24</ns0:f>
        <ns0:v/>
      </ns0:c>
      <ns0:c r="K25" s="1">
        <ns0:f>+K24/M24</ns0:f>
        <ns0:v/>
      </ns0:c>
      <ns0:c r="L25" s="1">
        <ns0:f>+L24/M24</ns0:f>
        <ns0:v/>
      </ns0:c>
      <ns0:c r="O25" s="1">
        <ns0:f>+O24/Q24</ns0:f>
        <ns0:v/>
      </ns0:c>
      <ns0:c r="P25" s="1">
        <ns0:f>+P24/Q24</ns0:f>
        <ns0:v/>
      </ns0:c>
    </ns0:row>
    <ns0:row r="26" ht="24" customHeight="1">
      <ns0:c r="D26" s="1" t="inlineStr">
        <ns0:is>
          <ns0:t>Change Delay bonding VP outside 37 =&gt; 40
( Reduce bond )</ns0:t>
        </ns0:is>
      </ns0:c>
      <ns0:c r="E26" s="1" t="n">
        <ns0:v>200</ns0:v>
      </ns0:c>
      <ns0:c r="F26" s="1">
        <ns0:f>+E26-M26</ns0:f>
        <ns0:v/>
      </ns0:c>
      <ns0:c r="G26" s="1" t="n">
        <ns0:v>0</ns0:v>
      </ns0:c>
      <ns0:c r="H26" s="1" t="n">
        <ns0:v>0</ns0:v>
      </ns0:c>
      <ns0:c r="I26" s="1" t="n">
        <ns0:v>0</ns0:v>
      </ns0:c>
      <ns0:c r="J26" s="1" t="n">
        <ns0:v>0</ns0:v>
      </ns0:c>
      <ns0:c r="K26" s="1" t="n">
        <ns0:v>17</ns0:v>
      </ns0:c>
      <ns0:c r="L26" s="1" t="n">
        <ns0:v>12</ns0:v>
      </ns0:c>
      <ns0:c r="M26" s="1">
        <ns0:f>SUM(G26:L26)</ns0:f>
        <ns0:v/>
      </ns0:c>
      <ns0:c r="N26" s="1">
        <ns0:f>M26/E26</ns0:f>
        <ns0:v/>
      </ns0:c>
      <ns0:c r="Q26" s="1">
        <ns0:f>+O26+P26</ns0:f>
        <ns0:v/>
      </ns0:c>
      <ns0:c r="R26" s="1">
        <ns0:f>+Q26/E26</ns0:f>
        <ns0:v/>
      </ns0:c>
    </ns0:row>
    <ns0:row r="27" ht="24" customHeight="1">
      <ns0:c r="G27" s="1">
        <ns0:f>+G26/M26</ns0:f>
        <ns0:v/>
      </ns0:c>
      <ns0:c r="H27" s="1">
        <ns0:f>+H26/M26</ns0:f>
        <ns0:v/>
      </ns0:c>
      <ns0:c r="I27" s="1">
        <ns0:f>+I26/M26</ns0:f>
        <ns0:v/>
      </ns0:c>
      <ns0:c r="J27" s="1">
        <ns0:f>+J26/M26</ns0:f>
        <ns0:v/>
      </ns0:c>
      <ns0:c r="K27" s="1">
        <ns0:f>+K26/M26</ns0:f>
        <ns0:v/>
      </ns0:c>
      <ns0:c r="L27" s="1">
        <ns0:f>+L26/M26</ns0:f>
        <ns0:v/>
      </ns0:c>
      <ns0:c r="O27" s="1">
        <ns0:f>+O26/Q26</ns0:f>
        <ns0:v/>
      </ns0:c>
      <ns0:c r="P27" s="1">
        <ns0:f>+P26/Q26</ns0:f>
        <ns0:v/>
      </ns0:c>
    </ns0:row>
    <ns0:row r="28" ht="24" customHeight="1">
      <ns0:c r="D28" s="1" t="inlineStr">
        <ns0:is>
          <ns0:t>Normal</ns0:t>
        </ns0:is>
      </ns0:c>
      <ns0:c r="E28" s="1" t="n">
        <ns0:v>311</ns0:v>
      </ns0:c>
      <ns0:c r="F28" s="1">
        <ns0:f>+E28-M28</ns0:f>
        <ns0:v/>
      </ns0:c>
      <ns0:c r="G28" s="1" t="n">
        <ns0:v>0</ns0:v>
      </ns0:c>
      <ns0:c r="H28" s="1" t="n">
        <ns0:v>0</ns0:v>
      </ns0:c>
      <ns0:c r="I28" s="1" t="n">
        <ns0:v>0</ns0:v>
      </ns0:c>
      <ns0:c r="J28" s="1" t="n">
        <ns0:v>0</ns0:v>
      </ns0:c>
      <ns0:c r="K28" s="1" t="n">
        <ns0:v>25</ns0:v>
      </ns0:c>
      <ns0:c r="L28" s="1" t="n">
        <ns0:v>39</ns0:v>
      </ns0:c>
      <ns0:c r="M28" s="1">
        <ns0:f>SUM(G28:L28)</ns0:f>
        <ns0:v/>
      </ns0:c>
      <ns0:c r="N28" s="1">
        <ns0:f>M28/E28</ns0:f>
        <ns0:v/>
      </ns0:c>
      <ns0:c r="Q28" s="1">
        <ns0:f>+O28+P28</ns0:f>
        <ns0:v/>
      </ns0:c>
      <ns0:c r="R28" s="1">
        <ns0:f>+Q28/E28</ns0:f>
        <ns0:v/>
      </ns0:c>
    </ns0:row>
    <ns0:row r="29" ht="24" customHeight="1">
      <ns0:c r="G29" s="1">
        <ns0:f>+G28/M28</ns0:f>
        <ns0:v/>
      </ns0:c>
      <ns0:c r="H29" s="1">
        <ns0:f>+H28/M28</ns0:f>
        <ns0:v/>
      </ns0:c>
      <ns0:c r="I29" s="1">
        <ns0:f>+I28/M28</ns0:f>
        <ns0:v/>
      </ns0:c>
      <ns0:c r="J29" s="1">
        <ns0:f>+J28/M28</ns0:f>
        <ns0:v/>
      </ns0:c>
      <ns0:c r="K29" s="1">
        <ns0:f>+K28/M28</ns0:f>
        <ns0:v/>
      </ns0:c>
      <ns0:c r="L29" s="1">
        <ns0:f>+L28/M28</ns0:f>
        <ns0:v/>
      </ns0:c>
      <ns0:c r="O29" s="1">
        <ns0:f>+O28/Q28</ns0:f>
        <ns0:v/>
      </ns0:c>
      <ns0:c r="P29" s="1">
        <ns0:f>+P28/Q28</ns0:f>
        <ns0:v/>
      </ns0:c>
    </ns0:row>
    <ns0:row r="30" ht="24" customHeight="1">
      <ns0:c r="C30" s="1" t="inlineStr">
        <ns0:is>
          <ns0:t xml:space="preserve">Frame </ns0:t>
        </ns0:is>
      </ns0:c>
      <ns0:c r="D30" s="1" t="inlineStr">
        <ns0:is>
          <ns0:t xml:space="preserve">Frame NG Ring Plate bavia
Line Stock </ns0:t>
        </ns0:is>
      </ns0:c>
      <ns0:c r="E30" s="1" t="n">
        <ns0:v>140</ns0:v>
      </ns0:c>
      <ns0:c r="F30" s="1">
        <ns0:f>+E30-M30</ns0:f>
        <ns0:v/>
      </ns0:c>
      <ns0:c r="G30" s="1" t="n">
        <ns0:v>0</ns0:v>
      </ns0:c>
      <ns0:c r="H30" s="1" t="n">
        <ns0:v>1</ns0:v>
      </ns0:c>
      <ns0:c r="I30" s="1" t="n">
        <ns0:v>0</ns0:v>
      </ns0:c>
      <ns0:c r="J30" s="1" t="n">
        <ns0:v>0</ns0:v>
      </ns0:c>
      <ns0:c r="K30" s="1" t="n">
        <ns0:v>3</ns0:v>
      </ns0:c>
      <ns0:c r="L30" s="1" t="n">
        <ns0:v>7</ns0:v>
      </ns0:c>
      <ns0:c r="M30" s="1">
        <ns0:f>SUM(G30:L30)</ns0:f>
        <ns0:v/>
      </ns0:c>
      <ns0:c r="N30" s="1">
        <ns0:f>M30/E30</ns0:f>
        <ns0:v/>
      </ns0:c>
      <ns0:c r="Q30" s="1">
        <ns0:f>+O30+P30</ns0:f>
        <ns0:v/>
      </ns0:c>
      <ns0:c r="R30" s="1">
        <ns0:f>+Q30/E30</ns0:f>
        <ns0:v/>
      </ns0:c>
    </ns0:row>
    <ns0:row r="31" ht="24" customHeight="1">
      <ns0:c r="G31" s="1">
        <ns0:f>+G30/M30</ns0:f>
        <ns0:v/>
      </ns0:c>
      <ns0:c r="H31" s="1">
        <ns0:f>+H30/M30</ns0:f>
        <ns0:v/>
      </ns0:c>
      <ns0:c r="I31" s="1">
        <ns0:f>+I30/M30</ns0:f>
        <ns0:v/>
      </ns0:c>
      <ns0:c r="J31" s="1">
        <ns0:f>+J30/M30</ns0:f>
        <ns0:v/>
      </ns0:c>
      <ns0:c r="K31" s="1">
        <ns0:f>+K30/M30</ns0:f>
        <ns0:v/>
      </ns0:c>
      <ns0:c r="L31" s="1">
        <ns0:f>+L30/M30</ns0:f>
        <ns0:v/>
      </ns0:c>
      <ns0:c r="O31" s="1">
        <ns0:f>+O30/Q30</ns0:f>
        <ns0:v/>
      </ns0:c>
      <ns0:c r="P31" s="1">
        <ns0:f>+P30/Q30</ns0:f>
        <ns0:v/>
      </ns0:c>
    </ns0:row>
    <ns0:row r="32" ht="24" customHeight="1">
      <ns0:c r="D32" s="1" t="inlineStr">
        <ns0:is>
          <ns0:t>Normal</ns0:t>
        </ns0:is>
      </ns0:c>
      <ns0:c r="E32" s="1" t="n">
        <ns0:v>800</ns0:v>
      </ns0:c>
      <ns0:c r="F32" s="1">
        <ns0:f>+E32-M32</ns0:f>
        <ns0:v/>
      </ns0:c>
      <ns0:c r="G32" s="1" t="n">
        <ns0:v>0</ns0:v>
      </ns0:c>
      <ns0:c r="H32" s="1" t="n">
        <ns0:v>1</ns0:v>
      </ns0:c>
      <ns0:c r="I32" s="1" t="n">
        <ns0:v>0</ns0:v>
      </ns0:c>
      <ns0:c r="J32" s="1" t="n">
        <ns0:v>0</ns0:v>
      </ns0:c>
      <ns0:c r="K32" s="1" t="n">
        <ns0:v>70</ns0:v>
      </ns0:c>
      <ns0:c r="L32" s="1" t="n">
        <ns0:v>45</ns0:v>
      </ns0:c>
      <ns0:c r="M32" s="1">
        <ns0:f>SUM(G32:L32)</ns0:f>
        <ns0:v/>
      </ns0:c>
      <ns0:c r="N32" s="1">
        <ns0:f>M32/E32:E33</ns0:f>
        <ns0:v/>
      </ns0:c>
      <ns0:c r="Q32" s="1">
        <ns0:f>+O32+P32</ns0:f>
        <ns0:v/>
      </ns0:c>
      <ns0:c r="R32" s="1">
        <ns0:f>+Q32/E32</ns0:f>
        <ns0:v/>
      </ns0:c>
    </ns0:row>
    <ns0:row r="33" ht="24" customHeight="1">
      <ns0:c r="G33" s="1">
        <ns0:f>+G32/M32</ns0:f>
        <ns0:v/>
      </ns0:c>
      <ns0:c r="H33" s="1">
        <ns0:f>+H32/M32</ns0:f>
        <ns0:v/>
      </ns0:c>
      <ns0:c r="I33" s="1">
        <ns0:f>+I32/M32</ns0:f>
        <ns0:v/>
      </ns0:c>
      <ns0:c r="J33" s="1">
        <ns0:f>+J32/M32</ns0:f>
        <ns0:v/>
      </ns0:c>
      <ns0:c r="K33" s="1">
        <ns0:f>+K32/M32</ns0:f>
        <ns0:v/>
      </ns0:c>
      <ns0:c r="L33" s="1">
        <ns0:f>+L32/M32</ns0:f>
        <ns0:v/>
      </ns0:c>
      <ns0:c r="O33" s="1">
        <ns0:f>+O32/Q32</ns0:f>
        <ns0:v/>
      </ns0:c>
      <ns0:c r="P33" s="1">
        <ns0:f>+P32/Q32</ns0:f>
        <ns0:v/>
      </ns0:c>
    </ns0:row>
    <ns0:row r="34" ht="24" customHeight="1">
      <ns0:c r="D34" s="1" t="inlineStr">
        <ns0:is>
          <ns0:t>Test Frame improve Ring Plate date 4/06/2024 ( Stock )</ns0:t>
        </ns0:is>
      </ns0:c>
      <ns0:c r="E34" s="1" t="n">
        <ns0:v>188</ns0:v>
      </ns0:c>
      <ns0:c r="F34" s="1">
        <ns0:f>+E34-M34</ns0:f>
        <ns0:v/>
      </ns0:c>
      <ns0:c r="G34" s="1" t="n">
        <ns0:v>0</ns0:v>
      </ns0:c>
      <ns0:c r="H34" s="1" t="n">
        <ns0:v>0</ns0:v>
      </ns0:c>
      <ns0:c r="I34" s="1" t="n">
        <ns0:v>0</ns0:v>
      </ns0:c>
      <ns0:c r="J34" s="1" t="n">
        <ns0:v>0</ns0:v>
      </ns0:c>
      <ns0:c r="K34" s="1" t="n">
        <ns0:v>12</ns0:v>
      </ns0:c>
      <ns0:c r="L34" s="1" t="n">
        <ns0:v>13</ns0:v>
      </ns0:c>
      <ns0:c r="M34" s="1">
        <ns0:f>SUM(G34:L34)</ns0:f>
        <ns0:v/>
      </ns0:c>
      <ns0:c r="N34" s="1">
        <ns0:f>M34/E34</ns0:f>
        <ns0:v/>
      </ns0:c>
      <ns0:c r="Q34" s="1">
        <ns0:f>+O34+P34</ns0:f>
        <ns0:v/>
      </ns0:c>
      <ns0:c r="R34" s="1">
        <ns0:f>+Q34/E34</ns0:f>
        <ns0:v/>
      </ns0:c>
    </ns0:row>
    <ns0:row r="35" ht="24" customHeight="1">
      <ns0:c r="G35" s="1">
        <ns0:f>+G34/M34</ns0:f>
        <ns0:v/>
      </ns0:c>
      <ns0:c r="H35" s="1">
        <ns0:f>+H34/M34</ns0:f>
        <ns0:v/>
      </ns0:c>
      <ns0:c r="I35" s="1">
        <ns0:f>+I34/M34</ns0:f>
        <ns0:v/>
      </ns0:c>
      <ns0:c r="J35" s="1">
        <ns0:f>+J34/M34</ns0:f>
        <ns0:v/>
      </ns0:c>
      <ns0:c r="K35" s="1">
        <ns0:f>+K34/M34</ns0:f>
        <ns0:v/>
      </ns0:c>
      <ns0:c r="L35" s="1">
        <ns0:f>+L34/M34</ns0:f>
        <ns0:v/>
      </ns0:c>
      <ns0:c r="O35" s="1">
        <ns0:f>+O34/Q34</ns0:f>
        <ns0:v/>
      </ns0:c>
      <ns0:c r="P35" s="1">
        <ns0:f>+P34/Q34</ns0:f>
        <ns0:v/>
      </ns0:c>
    </ns0:row>
    <ns0:row r="36" ht="24" customHeight="1">
      <ns0:c r="B36" s="2" t="n">
        <ns0:v>45397</ns0:v>
      </ns0:c>
      <ns0:c r="C36" s="1" t="inlineStr">
        <ns0:is>
          <ns0:t>Semi Yoke</ns0:t>
        </ns0:is>
      </ns0:c>
      <ns0:c r="D36" s="1" t="inlineStr">
        <ns0:is>
          <ns0:t>Yoke Class 1</ns0:t>
        </ns0:is>
      </ns0:c>
      <ns0:c r="E36" s="1" t="n">
        <ns0:v>297</ns0:v>
      </ns0:c>
      <ns0:c r="F36" s="1">
        <ns0:f>+E36-M36</ns0:f>
        <ns0:v/>
      </ns0:c>
      <ns0:c r="G36" s="1" t="n">
        <ns0:v>0</ns0:v>
      </ns0:c>
      <ns0:c r="H36" s="1" t="n">
        <ns0:v>0</ns0:v>
      </ns0:c>
      <ns0:c r="I36" s="1" t="n">
        <ns0:v>0</ns0:v>
      </ns0:c>
      <ns0:c r="J36" s="1" t="n">
        <ns0:v>0</ns0:v>
      </ns0:c>
      <ns0:c r="K36" s="1" t="n">
        <ns0:v>8</ns0:v>
      </ns0:c>
      <ns0:c r="L36" s="1" t="n">
        <ns0:v>18</ns0:v>
      </ns0:c>
      <ns0:c r="M36" s="1">
        <ns0:f>SUM(G36:L36)</ns0:f>
        <ns0:v/>
      </ns0:c>
      <ns0:c r="N36" s="1">
        <ns0:f>M36/E36</ns0:f>
        <ns0:v/>
      </ns0:c>
      <ns0:c r="Q36" s="1">
        <ns0:f>+O36+P36</ns0:f>
        <ns0:v/>
      </ns0:c>
      <ns0:c r="R36" s="1">
        <ns0:f>+Q36/E36</ns0:f>
        <ns0:v/>
      </ns0:c>
      <ns0:c r="S36" s="1" t="inlineStr">
        <ns0:is>
          <ns0:t>Not reason NG  High</ns0:t>
        </ns0:is>
      </ns0:c>
    </ns0:row>
    <ns0:row r="37" ht="24" customHeight="1">
      <ns0:c r="G37" s="1">
        <ns0:f>+G36/M36</ns0:f>
        <ns0:v/>
      </ns0:c>
      <ns0:c r="H37" s="1">
        <ns0:f>+H36/M36</ns0:f>
        <ns0:v/>
      </ns0:c>
      <ns0:c r="I37" s="1">
        <ns0:f>+I36/M36</ns0:f>
        <ns0:v/>
      </ns0:c>
      <ns0:c r="J37" s="1">
        <ns0:f>+J36/M36</ns0:f>
        <ns0:v/>
      </ns0:c>
      <ns0:c r="K37" s="1">
        <ns0:f>+K36/M36</ns0:f>
        <ns0:v/>
      </ns0:c>
      <ns0:c r="L37" s="1">
        <ns0:f>+L36/M36</ns0:f>
        <ns0:v/>
      </ns0:c>
      <ns0:c r="O37" s="1">
        <ns0:f>+O36/Q36</ns0:f>
        <ns0:v/>
      </ns0:c>
      <ns0:c r="P37" s="1">
        <ns0:f>+P36/Q36</ns0:f>
        <ns0:v/>
      </ns0:c>
    </ns0:row>
    <ns0:row r="38" ht="24" customHeight="1">
      <ns0:c r="D38" s="1" t="inlineStr">
        <ns0:is>
          <ns0:t>Yoke Claas 2</ns0:t>
        </ns0:is>
      </ns0:c>
      <ns0:c r="E38" s="1" t="n">
        <ns0:v>296</ns0:v>
      </ns0:c>
      <ns0:c r="F38" s="1">
        <ns0:f>+E38-M38</ns0:f>
        <ns0:v/>
      </ns0:c>
      <ns0:c r="G38" s="1" t="n">
        <ns0:v>0</ns0:v>
      </ns0:c>
      <ns0:c r="H38" s="1" t="n">
        <ns0:v>0</ns0:v>
      </ns0:c>
      <ns0:c r="I38" s="1" t="n">
        <ns0:v>0</ns0:v>
      </ns0:c>
      <ns0:c r="J38" s="1" t="n">
        <ns0:v>0</ns0:v>
      </ns0:c>
      <ns0:c r="K38" s="1" t="n">
        <ns0:v>2</ns0:v>
      </ns0:c>
      <ns0:c r="L38" s="1" t="n">
        <ns0:v>43</ns0:v>
      </ns0:c>
      <ns0:c r="M38" s="1">
        <ns0:f>SUM(G38:L38)</ns0:f>
        <ns0:v/>
      </ns0:c>
      <ns0:c r="N38" s="1">
        <ns0:f>M38/E38</ns0:f>
        <ns0:v/>
      </ns0:c>
      <ns0:c r="Q38" s="1">
        <ns0:f>+O38+P38</ns0:f>
        <ns0:v/>
      </ns0:c>
      <ns0:c r="R38" s="1">
        <ns0:f>+Q38/E38</ns0:f>
        <ns0:v/>
      </ns0:c>
    </ns0:row>
    <ns0:row r="39" ht="24" customHeight="1">
      <ns0:c r="G39" s="1">
        <ns0:f>+G38/M38</ns0:f>
        <ns0:v/>
      </ns0:c>
      <ns0:c r="H39" s="1">
        <ns0:f>+H38/M38</ns0:f>
        <ns0:v/>
      </ns0:c>
      <ns0:c r="I39" s="1">
        <ns0:f>+I38/M38</ns0:f>
        <ns0:v/>
      </ns0:c>
      <ns0:c r="J39" s="1">
        <ns0:f>+J38/M38</ns0:f>
        <ns0:v/>
      </ns0:c>
      <ns0:c r="K39" s="1">
        <ns0:f>+K38/M38</ns0:f>
        <ns0:v/>
      </ns0:c>
      <ns0:c r="L39" s="1">
        <ns0:f>+L38/M38</ns0:f>
        <ns0:v/>
      </ns0:c>
      <ns0:c r="O39" s="1">
        <ns0:f>+O38/Q38</ns0:f>
        <ns0:v/>
      </ns0:c>
      <ns0:c r="P39" s="1">
        <ns0:f>+P38/Q38</ns0:f>
        <ns0:v/>
      </ns0:c>
    </ns0:row>
    <ns0:row r="40" ht="24" customHeight="1">
      <ns0:c r="C40" s="1" t="inlineStr">
        <ns0:is>
          <ns0:t>UV Led Coil + SP</ns0:t>
        </ns0:is>
      </ns0:c>
      <ns0:c r="D40" s="1" t="inlineStr">
        <ns0:is>
          <ns0:t>Down UV Press Coil + Suspension</ns0:t>
        </ns0:is>
      </ns0:c>
      <ns0:c r="E40" s="1" t="n">
        <ns0:v>399</ns0:v>
      </ns0:c>
      <ns0:c r="F40" s="1">
        <ns0:f>+E40-M40</ns0:f>
        <ns0:v/>
      </ns0:c>
      <ns0:c r="G40" s="1" t="n">
        <ns0:v>0</ns0:v>
      </ns0:c>
      <ns0:c r="H40" s="1" t="n">
        <ns0:v>1</ns0:v>
      </ns0:c>
      <ns0:c r="I40" s="1" t="n">
        <ns0:v>0</ns0:v>
      </ns0:c>
      <ns0:c r="J40" s="1" t="n">
        <ns0:v>0</ns0:v>
      </ns0:c>
      <ns0:c r="K40" s="1" t="n">
        <ns0:v>5</ns0:v>
      </ns0:c>
      <ns0:c r="L40" s="1" t="n">
        <ns0:v>27</ns0:v>
      </ns0:c>
      <ns0:c r="M40" s="1">
        <ns0:f>SUM(G40:L40)</ns0:f>
        <ns0:v/>
      </ns0:c>
      <ns0:c r="N40" s="1">
        <ns0:f>M40/E40</ns0:f>
        <ns0:v/>
      </ns0:c>
      <ns0:c r="Q40" s="1">
        <ns0:f>+O40+P40</ns0:f>
        <ns0:v/>
      </ns0:c>
      <ns0:c r="R40" s="1">
        <ns0:f>+Q40/E40</ns0:f>
        <ns0:v/>
      </ns0:c>
    </ns0:row>
    <ns0:row r="41" ht="24" customHeight="1">
      <ns0:c r="G41" s="1">
        <ns0:f>+G40/M40</ns0:f>
        <ns0:v/>
      </ns0:c>
      <ns0:c r="H41" s="1">
        <ns0:f>+H40/M40</ns0:f>
        <ns0:v/>
      </ns0:c>
      <ns0:c r="I41" s="1">
        <ns0:f>+I40/M40</ns0:f>
        <ns0:v/>
      </ns0:c>
      <ns0:c r="J41" s="1">
        <ns0:f>+J40/M40</ns0:f>
        <ns0:v/>
      </ns0:c>
      <ns0:c r="K41" s="1">
        <ns0:f>+K40/M40</ns0:f>
        <ns0:v/>
      </ns0:c>
      <ns0:c r="L41" s="1">
        <ns0:f>+L40/M40</ns0:f>
        <ns0:v/>
      </ns0:c>
      <ns0:c r="O41" s="1">
        <ns0:f>+O40/Q40</ns0:f>
        <ns0:v/>
      </ns0:c>
      <ns0:c r="P41" s="1">
        <ns0:f>+P40/Q40</ns0:f>
        <ns0:v/>
      </ns0:c>
    </ns0:row>
    <ns0:row r="42" ht="24" customHeight="1">
      <ns0:c r="C42" s="1" t="inlineStr">
        <ns0:is>
          <ns0:t>Normal</ns0:t>
        </ns0:is>
      </ns0:c>
      <ns0:c r="E42" s="1" t="n">
        <ns0:v>195</ns0:v>
      </ns0:c>
      <ns0:c r="F42" s="1">
        <ns0:f>+E42-M42</ns0:f>
        <ns0:v/>
      </ns0:c>
      <ns0:c r="G42" s="1" t="n">
        <ns0:v>0</ns0:v>
      </ns0:c>
      <ns0:c r="H42" s="1" t="n">
        <ns0:v>1</ns0:v>
      </ns0:c>
      <ns0:c r="I42" s="1" t="n">
        <ns0:v>0</ns0:v>
      </ns0:c>
      <ns0:c r="J42" s="1" t="n">
        <ns0:v>0</ns0:v>
      </ns0:c>
      <ns0:c r="K42" s="1" t="n">
        <ns0:v>16</ns0:v>
      </ns0:c>
      <ns0:c r="L42" s="1" t="n">
        <ns0:v>17</ns0:v>
      </ns0:c>
      <ns0:c r="M42" s="1">
        <ns0:f>SUM(G42:L42)</ns0:f>
        <ns0:v/>
      </ns0:c>
      <ns0:c r="N42" s="1">
        <ns0:f>M42/E42:E43</ns0:f>
        <ns0:v/>
      </ns0:c>
      <ns0:c r="Q42" s="1">
        <ns0:f>+O42+P42</ns0:f>
        <ns0:v/>
      </ns0:c>
      <ns0:c r="R42" s="1">
        <ns0:f>+Q42/E42</ns0:f>
        <ns0:v/>
      </ns0:c>
    </ns0:row>
    <ns0:row r="43" ht="24" customHeight="1">
      <ns0:c r="G43" s="1">
        <ns0:f>+G42/M42</ns0:f>
        <ns0:v/>
      </ns0:c>
      <ns0:c r="H43" s="1">
        <ns0:f>+H42/M42</ns0:f>
        <ns0:v/>
      </ns0:c>
      <ns0:c r="I43" s="1">
        <ns0:f>+I42/M42</ns0:f>
        <ns0:v/>
      </ns0:c>
      <ns0:c r="J43" s="1">
        <ns0:f>+J42/M42</ns0:f>
        <ns0:v/>
      </ns0:c>
      <ns0:c r="K43" s="1">
        <ns0:f>+K42/M42</ns0:f>
        <ns0:v/>
      </ns0:c>
      <ns0:c r="L43" s="1">
        <ns0:f>+L42/M42</ns0:f>
        <ns0:v/>
      </ns0:c>
      <ns0:c r="O43" s="1">
        <ns0:f>+O42/Q42</ns0:f>
        <ns0:v/>
      </ns0:c>
      <ns0:c r="P43" s="1">
        <ns0:f>+P42/Q42</ns0:f>
        <ns0:v/>
      </ns0:c>
    </ns0:row>
    <ns0:row r="44" ht="24" customHeight="1">
      <ns0:c r="C44" s="1" t="inlineStr">
        <ns0:is>
          <ns0:t>COIL AWF#1 ( OK )</ns0:t>
        </ns0:is>
      </ns0:c>
      <ns0:c r="D44" s="1" t="inlineStr">
        <ns0:is>
          <ns0:t>Wire ø 0.110mm</ns0:t>
        </ns0:is>
      </ns0:c>
      <ns0:c r="E44" s="1" t="n">
        <ns0:v>208</ns0:v>
      </ns0:c>
      <ns0:c r="F44" s="1">
        <ns0:f>+E44-M44</ns0:f>
        <ns0:v/>
      </ns0:c>
      <ns0:c r="G44" s="1" t="n">
        <ns0:v>0</ns0:v>
      </ns0:c>
      <ns0:c r="H44" s="1" t="n">
        <ns0:v>0</ns0:v>
      </ns0:c>
      <ns0:c r="I44" s="1" t="n">
        <ns0:v>0</ns0:v>
      </ns0:c>
      <ns0:c r="J44" s="1" t="n">
        <ns0:v>0</ns0:v>
      </ns0:c>
      <ns0:c r="K44" s="1" t="n">
        <ns0:v>4</ns0:v>
      </ns0:c>
      <ns0:c r="L44" s="1" t="n">
        <ns0:v>5</ns0:v>
      </ns0:c>
      <ns0:c r="M44" s="1">
        <ns0:f>SUM(G44:L44)</ns0:f>
        <ns0:v/>
      </ns0:c>
      <ns0:c r="N44" s="1">
        <ns0:f>M44/E44</ns0:f>
        <ns0:v/>
      </ns0:c>
      <ns0:c r="Q44" s="1">
        <ns0:f>+O44+P44</ns0:f>
        <ns0:v/>
      </ns0:c>
      <ns0:c r="R44" s="1">
        <ns0:f>+Q44/E44</ns0:f>
        <ns0:v/>
      </ns0:c>
      <ns0:c r="S44" s="1" t="inlineStr">
        <ns0:is>
          <ns0:t xml:space="preserve">Using wire Wire ø112mm Function NG reduce </ns0:t>
        </ns0:is>
      </ns0:c>
    </ns0:row>
    <ns0:row r="45" ht="24" customHeight="1">
      <ns0:c r="G45" s="1">
        <ns0:f>+G44/M44</ns0:f>
        <ns0:v/>
      </ns0:c>
      <ns0:c r="H45" s="1">
        <ns0:f>+H44/M44</ns0:f>
        <ns0:v/>
      </ns0:c>
      <ns0:c r="I45" s="1">
        <ns0:f>+I44/M44</ns0:f>
        <ns0:v/>
      </ns0:c>
      <ns0:c r="J45" s="1">
        <ns0:f>+J44/M44</ns0:f>
        <ns0:v/>
      </ns0:c>
      <ns0:c r="K45" s="1">
        <ns0:f>+K44/M44</ns0:f>
        <ns0:v/>
      </ns0:c>
      <ns0:c r="L45" s="1">
        <ns0:f>+L44/M44</ns0:f>
        <ns0:v/>
      </ns0:c>
      <ns0:c r="O45" s="1">
        <ns0:f>+O44/Q44</ns0:f>
        <ns0:v/>
      </ns0:c>
      <ns0:c r="P45" s="1">
        <ns0:f>+P44/Q44</ns0:f>
        <ns0:v/>
      </ns0:c>
    </ns0:row>
    <ns0:row r="46" ht="24" customHeight="1">
      <ns0:c r="D46" s="1" t="inlineStr">
        <ns0:is>
          <ns0:t>Wire ø 0.111mm</ns0:t>
        </ns0:is>
      </ns0:c>
      <ns0:c r="E46" s="1" t="n">
        <ns0:v>204</ns0:v>
      </ns0:c>
      <ns0:c r="F46" s="1">
        <ns0:f>+E46-M46</ns0:f>
        <ns0:v/>
      </ns0:c>
      <ns0:c r="G46" s="1" t="n">
        <ns0:v>1</ns0:v>
      </ns0:c>
      <ns0:c r="H46" s="1" t="n">
        <ns0:v>0</ns0:v>
      </ns0:c>
      <ns0:c r="I46" s="1" t="n">
        <ns0:v>0</ns0:v>
      </ns0:c>
      <ns0:c r="J46" s="1" t="n">
        <ns0:v>0</ns0:v>
      </ns0:c>
      <ns0:c r="K46" s="1" t="n">
        <ns0:v>4</ns0:v>
      </ns0:c>
      <ns0:c r="L46" s="1" t="n">
        <ns0:v>1</ns0:v>
      </ns0:c>
      <ns0:c r="M46" s="1">
        <ns0:f>SUM(G46:L46)</ns0:f>
        <ns0:v/>
      </ns0:c>
      <ns0:c r="N46" s="1">
        <ns0:f>M46/E46</ns0:f>
        <ns0:v/>
      </ns0:c>
      <ns0:c r="Q46" s="1">
        <ns0:f>+O46+P46</ns0:f>
        <ns0:v/>
      </ns0:c>
      <ns0:c r="R46" s="1">
        <ns0:f>+Q46/E46</ns0:f>
        <ns0:v/>
      </ns0:c>
    </ns0:row>
    <ns0:row r="47" ht="24" customHeight="1">
      <ns0:c r="G47" s="1">
        <ns0:f>+G46/M46</ns0:f>
        <ns0:v/>
      </ns0:c>
      <ns0:c r="H47" s="1">
        <ns0:f>+H46/M46</ns0:f>
        <ns0:v/>
      </ns0:c>
      <ns0:c r="I47" s="1">
        <ns0:f>+I46/M46</ns0:f>
        <ns0:v/>
      </ns0:c>
      <ns0:c r="J47" s="1">
        <ns0:f>+J46/M46</ns0:f>
        <ns0:v/>
      </ns0:c>
      <ns0:c r="K47" s="1">
        <ns0:f>+K46/M46</ns0:f>
        <ns0:v/>
      </ns0:c>
      <ns0:c r="L47" s="1">
        <ns0:f>+L46/M46</ns0:f>
        <ns0:v/>
      </ns0:c>
      <ns0:c r="O47" s="1">
        <ns0:f>+O46/Q46</ns0:f>
        <ns0:v/>
      </ns0:c>
      <ns0:c r="P47" s="1">
        <ns0:f>+P46/Q46</ns0:f>
        <ns0:v/>
      </ns0:c>
    </ns0:row>
    <ns0:row r="48" ht="24" customHeight="1">
      <ns0:c r="D48" s="1" t="inlineStr">
        <ns0:is>
          <ns0:t>Wire ø 0.112mm</ns0:t>
        </ns0:is>
      </ns0:c>
      <ns0:c r="E48" s="1" t="n">
        <ns0:v>214</ns0:v>
      </ns0:c>
      <ns0:c r="F48" s="1">
        <ns0:f>+E48-M48</ns0:f>
        <ns0:v/>
      </ns0:c>
      <ns0:c r="G48" s="1" t="n">
        <ns0:v>0</ns0:v>
      </ns0:c>
      <ns0:c r="H48" s="1" t="n">
        <ns0:v>0</ns0:v>
      </ns0:c>
      <ns0:c r="I48" s="1" t="n">
        <ns0:v>0</ns0:v>
      </ns0:c>
      <ns0:c r="J48" s="1" t="n">
        <ns0:v>0</ns0:v>
      </ns0:c>
      <ns0:c r="K48" s="1" t="n">
        <ns0:v>1</ns0:v>
      </ns0:c>
      <ns0:c r="L48" s="1" t="n">
        <ns0:v>1</ns0:v>
      </ns0:c>
      <ns0:c r="M48" s="1">
        <ns0:f>SUM(G48:L48)</ns0:f>
        <ns0:v/>
      </ns0:c>
      <ns0:c r="N48" s="1">
        <ns0:f>M48/E48</ns0:f>
        <ns0:v/>
      </ns0:c>
      <ns0:c r="Q48" s="1">
        <ns0:f>+O48+P48</ns0:f>
        <ns0:v/>
      </ns0:c>
      <ns0:c r="R48" s="1">
        <ns0:f>+Q48/E48</ns0:f>
        <ns0:v/>
      </ns0:c>
    </ns0:row>
    <ns0:row r="49" ht="24" customHeight="1">
      <ns0:c r="G49" s="1">
        <ns0:f>+G48/M48</ns0:f>
        <ns0:v/>
      </ns0:c>
      <ns0:c r="H49" s="1">
        <ns0:f>+H48/M48</ns0:f>
        <ns0:v/>
      </ns0:c>
      <ns0:c r="I49" s="1">
        <ns0:f>+I48/M48</ns0:f>
        <ns0:v/>
      </ns0:c>
      <ns0:c r="J49" s="1">
        <ns0:f>+J48/M48</ns0:f>
        <ns0:v/>
      </ns0:c>
      <ns0:c r="K49" s="1">
        <ns0:f>+K48/M48</ns0:f>
        <ns0:v/>
      </ns0:c>
      <ns0:c r="L49" s="1">
        <ns0:f>+L48/M48</ns0:f>
        <ns0:v/>
      </ns0:c>
      <ns0:c r="O49" s="1">
        <ns0:f>+O48/Q48</ns0:f>
        <ns0:v/>
      </ns0:c>
      <ns0:c r="P49" s="1">
        <ns0:f>+P48/Q48</ns0:f>
        <ns0:v/>
      </ns0:c>
    </ns0:row>
    <ns0:row r="50" ht="24" customHeight="1">
      <ns0:c r="B50" s="2" t="n">
        <ns0:v>45460</ns0:v>
      </ns0:c>
      <ns0:c r="C50" s="1" t="inlineStr">
        <ns0:is>
          <ns0:t>COIL AWF#2 ( NG )</ns0:t>
        </ns0:is>
      </ns0:c>
      <ns0:c r="D50" s="1" t="inlineStr">
        <ns0:is>
          <ns0:t>Wire ø  0.12mm</ns0:t>
        </ns0:is>
      </ns0:c>
      <ns0:c r="E50" s="1" t="n">
        <ns0:v>200</ns0:v>
      </ns0:c>
      <ns0:c r="F50" s="1">
        <ns0:f>+E50-M50</ns0:f>
        <ns0:v/>
      </ns0:c>
      <ns0:c r="G50" s="1" t="n">
        <ns0:v>0</ns0:v>
      </ns0:c>
      <ns0:c r="H50" s="1" t="n">
        <ns0:v>0</ns0:v>
      </ns0:c>
      <ns0:c r="I50" s="1" t="n">
        <ns0:v>0</ns0:v>
      </ns0:c>
      <ns0:c r="J50" s="1" t="n">
        <ns0:v>0</ns0:v>
      </ns0:c>
      <ns0:c r="K50" s="1" t="n">
        <ns0:v>15</ns0:v>
      </ns0:c>
      <ns0:c r="L50" s="1" t="n">
        <ns0:v>16</ns0:v>
      </ns0:c>
      <ns0:c r="M50" s="1">
        <ns0:f>SUM(G50:L50)</ns0:f>
        <ns0:v/>
      </ns0:c>
      <ns0:c r="N50" s="1">
        <ns0:f>M50/E50</ns0:f>
        <ns0:v/>
      </ns0:c>
      <ns0:c r="Q50" s="1">
        <ns0:f>+O50+P50</ns0:f>
        <ns0:v/>
      </ns0:c>
      <ns0:c r="R50" s="1">
        <ns0:f>+Q50/E50</ns0:f>
        <ns0:v/>
      </ns0:c>
    </ns0:row>
    <ns0:row r="51" ht="24" customHeight="1">
      <ns0:c r="G51" s="1">
        <ns0:f>+G50/M50</ns0:f>
        <ns0:v/>
      </ns0:c>
      <ns0:c r="H51" s="1">
        <ns0:f>+H50/M50</ns0:f>
        <ns0:v/>
      </ns0:c>
      <ns0:c r="I51" s="1">
        <ns0:f>+I50/M50</ns0:f>
        <ns0:v/>
      </ns0:c>
      <ns0:c r="J51" s="1">
        <ns0:f>+J50/M50</ns0:f>
        <ns0:v/>
      </ns0:c>
      <ns0:c r="K51" s="1">
        <ns0:f>+K50/M50</ns0:f>
        <ns0:v/>
      </ns0:c>
      <ns0:c r="L51" s="1">
        <ns0:f>+L50/M50</ns0:f>
        <ns0:v/>
      </ns0:c>
      <ns0:c r="O51" s="1">
        <ns0:f>+O50/Q50</ns0:f>
        <ns0:v/>
      </ns0:c>
      <ns0:c r="P51" s="1">
        <ns0:f>+P50/Q50</ns0:f>
        <ns0:v/>
      </ns0:c>
    </ns0:row>
    <ns0:row r="52" ht="24" customHeight="1">
      <ns0:c r="D52" s="1" t="inlineStr">
        <ns0:is>
          <ns0:t>Wire ø 0.111mm</ns0:t>
        </ns0:is>
      </ns0:c>
      <ns0:c r="E52" s="1" t="n">
        <ns0:v>218</ns0:v>
      </ns0:c>
      <ns0:c r="F52" s="1">
        <ns0:f>+E52-M52</ns0:f>
        <ns0:v/>
      </ns0:c>
      <ns0:c r="G52" s="1" t="n">
        <ns0:v>0</ns0:v>
      </ns0:c>
      <ns0:c r="H52" s="1" t="n">
        <ns0:v>0</ns0:v>
      </ns0:c>
      <ns0:c r="I52" s="1" t="n">
        <ns0:v>0</ns0:v>
      </ns0:c>
      <ns0:c r="J52" s="1" t="n">
        <ns0:v>0</ns0:v>
      </ns0:c>
      <ns0:c r="K52" s="1" t="n">
        <ns0:v>8</ns0:v>
      </ns0:c>
      <ns0:c r="L52" s="1" t="n">
        <ns0:v>12</ns0:v>
      </ns0:c>
      <ns0:c r="M52" s="1">
        <ns0:f>SUM(G52:L52)</ns0:f>
        <ns0:v/>
      </ns0:c>
      <ns0:c r="N52" s="1">
        <ns0:f>M52/E52</ns0:f>
        <ns0:v/>
      </ns0:c>
      <ns0:c r="Q52" s="1">
        <ns0:f>+O52+P52</ns0:f>
        <ns0:v/>
      </ns0:c>
      <ns0:c r="R52" s="1">
        <ns0:f>+Q52/E52</ns0:f>
        <ns0:v/>
      </ns0:c>
    </ns0:row>
    <ns0:row r="53" ht="24" customHeight="1">
      <ns0:c r="G53" s="1">
        <ns0:f>+G52/M52</ns0:f>
        <ns0:v/>
      </ns0:c>
      <ns0:c r="H53" s="1">
        <ns0:f>+H52/M52</ns0:f>
        <ns0:v/>
      </ns0:c>
      <ns0:c r="I53" s="1">
        <ns0:f>+I52/M52</ns0:f>
        <ns0:v/>
      </ns0:c>
      <ns0:c r="J53" s="1">
        <ns0:f>+J52/M52</ns0:f>
        <ns0:v/>
      </ns0:c>
      <ns0:c r="K53" s="1">
        <ns0:f>+K52/M52</ns0:f>
        <ns0:v/>
      </ns0:c>
      <ns0:c r="L53" s="1">
        <ns0:f>+L52/M52</ns0:f>
        <ns0:v/>
      </ns0:c>
      <ns0:c r="O53" s="1">
        <ns0:f>+O52/Q52</ns0:f>
        <ns0:v/>
      </ns0:c>
      <ns0:c r="P53" s="1">
        <ns0:f>+P52/Q52</ns0:f>
        <ns0:v/>
      </ns0:c>
    </ns0:row>
    <ns0:row r="54" ht="24" customHeight="1">
      <ns0:c r="D54" s="1" t="inlineStr">
        <ns0:is>
          <ns0:t>Wire ø 0.110mm</ns0:t>
        </ns0:is>
      </ns0:c>
      <ns0:c r="E54" s="1" t="n">
        <ns0:v>212</ns0:v>
      </ns0:c>
      <ns0:c r="F54" s="1">
        <ns0:f>+E54-M54</ns0:f>
        <ns0:v/>
      </ns0:c>
      <ns0:c r="G54" s="1" t="n">
        <ns0:v>0</ns0:v>
      </ns0:c>
      <ns0:c r="H54" s="1" t="n">
        <ns0:v>0</ns0:v>
      </ns0:c>
      <ns0:c r="I54" s="1" t="n">
        <ns0:v>0</ns0:v>
      </ns0:c>
      <ns0:c r="J54" s="1" t="n">
        <ns0:v>1</ns0:v>
      </ns0:c>
      <ns0:c r="K54" s="1" t="n">
        <ns0:v>0</ns0:v>
      </ns0:c>
      <ns0:c r="L54" s="1" t="n">
        <ns0:v>9</ns0:v>
      </ns0:c>
      <ns0:c r="M54" s="1">
        <ns0:f>SUM(G54:L54)</ns0:f>
        <ns0:v/>
      </ns0:c>
      <ns0:c r="N54" s="1">
        <ns0:f>M54/E54</ns0:f>
        <ns0:v/>
      </ns0:c>
      <ns0:c r="Q54" s="1">
        <ns0:f>+O54+P54</ns0:f>
        <ns0:v/>
      </ns0:c>
      <ns0:c r="R54" s="1">
        <ns0:f>+Q54/E54</ns0:f>
        <ns0:v/>
      </ns0:c>
    </ns0:row>
    <ns0:row r="55" ht="24" customHeight="1">
      <ns0:c r="G55" s="1">
        <ns0:f>+G54/M54</ns0:f>
        <ns0:v/>
      </ns0:c>
      <ns0:c r="H55" s="1">
        <ns0:f>+H54/M54</ns0:f>
        <ns0:v/>
      </ns0:c>
      <ns0:c r="I55" s="1">
        <ns0:f>+I54/M54</ns0:f>
        <ns0:v/>
      </ns0:c>
      <ns0:c r="J55" s="1">
        <ns0:f>+J54/M54</ns0:f>
        <ns0:v/>
      </ns0:c>
      <ns0:c r="K55" s="1">
        <ns0:f>+K54/M54</ns0:f>
        <ns0:v/>
      </ns0:c>
      <ns0:c r="L55" s="1">
        <ns0:f>+L54/M54</ns0:f>
        <ns0:v/>
      </ns0:c>
      <ns0:c r="O55" s="1">
        <ns0:f>+O54/Q54</ns0:f>
        <ns0:v/>
      </ns0:c>
      <ns0:c r="P55" s="1">
        <ns0:f>+P54/Q54</ns0:f>
        <ns0:v/>
      </ns0:c>
    </ns0:row>
    <ns0:row r="56" ht="37" customHeight="1">
      <ns0:c r="C56" s="1" t="inlineStr">
        <ns0:is>
          <ns0:t>AWF machine</ns0:t>
        </ns0:is>
      </ns0:c>
      <ns0:c r="D56" s="1" t="inlineStr">
        <ns0:is>
          <ns0:t>Run AWF #1 and #3 ( Machine OK )</ns0:t>
        </ns0:is>
      </ns0:c>
      <ns0:c r="E56" s="1" t="n">
        <ns0:v>420</ns0:v>
      </ns0:c>
      <ns0:c r="F56" s="1">
        <ns0:f>+E56-M56</ns0:f>
        <ns0:v/>
      </ns0:c>
      <ns0:c r="G56" s="1" t="n">
        <ns0:v>0</ns0:v>
      </ns0:c>
      <ns0:c r="H56" s="1" t="n">
        <ns0:v>1</ns0:v>
      </ns0:c>
      <ns0:c r="I56" s="1" t="n">
        <ns0:v>0</ns0:v>
      </ns0:c>
      <ns0:c r="J56" s="1" t="n">
        <ns0:v>0</ns0:v>
      </ns0:c>
      <ns0:c r="K56" s="1" t="n">
        <ns0:v>6</ns0:v>
      </ns0:c>
      <ns0:c r="L56" s="1" t="n">
        <ns0:v>41</ns0:v>
      </ns0:c>
      <ns0:c r="M56" s="1">
        <ns0:f>SUM(G56:L56)</ns0:f>
        <ns0:v/>
      </ns0:c>
      <ns0:c r="N56" s="1">
        <ns0:f>M56/E56</ns0:f>
        <ns0:v/>
      </ns0:c>
      <ns0:c r="Q56" s="1">
        <ns0:f>+O56+P56</ns0:f>
        <ns0:v/>
      </ns0:c>
      <ns0:c r="R56" s="1">
        <ns0:f>+Q56/E56</ns0:f>
        <ns0:v/>
      </ns0:c>
    </ns0:row>
    <ns0:row r="57" ht="37.25" customHeight="1">
      <ns0:c r="G57" s="1">
        <ns0:f>+G56/M56</ns0:f>
        <ns0:v/>
      </ns0:c>
      <ns0:c r="H57" s="1">
        <ns0:f>+H56/M56</ns0:f>
        <ns0:v/>
      </ns0:c>
      <ns0:c r="I57" s="1">
        <ns0:f>+I56/M56</ns0:f>
        <ns0:v/>
      </ns0:c>
      <ns0:c r="J57" s="1">
        <ns0:f>+J56/M56</ns0:f>
        <ns0:v/>
      </ns0:c>
      <ns0:c r="K57" s="1">
        <ns0:f>+K56/M56</ns0:f>
        <ns0:v/>
      </ns0:c>
      <ns0:c r="L57" s="1">
        <ns0:f>+L56/M56</ns0:f>
        <ns0:v/>
      </ns0:c>
      <ns0:c r="O57" s="1">
        <ns0:f>+O56/Q56</ns0:f>
        <ns0:v/>
      </ns0:c>
      <ns0:c r="P57" s="1">
        <ns0:f>+P56/Q56</ns0:f>
        <ns0:v/>
      </ns0:c>
    </ns0:row>
    <ns0:row r="58" ht="37.25" customHeight="1">
      <ns0:c r="D58" s="1" t="inlineStr">
        <ns0:is>
          <ns0:t>Run AWF #2,4,5 ( Machine NG )</ns0:t>
        </ns0:is>
      </ns0:c>
      <ns0:c r="E58" s="1" t="n">
        <ns0:v>180</ns0:v>
      </ns0:c>
      <ns0:c r="F58" s="1">
        <ns0:f>+E58-M58</ns0:f>
        <ns0:v/>
      </ns0:c>
      <ns0:c r="G58" s="1" t="n">
        <ns0:v>0</ns0:v>
      </ns0:c>
      <ns0:c r="H58" s="1" t="n">
        <ns0:v>1</ns0:v>
      </ns0:c>
      <ns0:c r="I58" s="1" t="n">
        <ns0:v>0</ns0:v>
      </ns0:c>
      <ns0:c r="J58" s="1" t="n">
        <ns0:v>0</ns0:v>
      </ns0:c>
      <ns0:c r="K58" s="1" t="n">
        <ns0:v>9</ns0:v>
      </ns0:c>
      <ns0:c r="L58" s="1" t="n">
        <ns0:v>14</ns0:v>
      </ns0:c>
      <ns0:c r="M58" s="1">
        <ns0:f>SUM(G58:L58)</ns0:f>
        <ns0:v/>
      </ns0:c>
      <ns0:c r="N58" s="1">
        <ns0:f>M58/E58</ns0:f>
        <ns0:v/>
      </ns0:c>
      <ns0:c r="Q58" s="1">
        <ns0:f>+O58+P58</ns0:f>
        <ns0:v/>
      </ns0:c>
      <ns0:c r="R58" s="1">
        <ns0:f>+Q58/E58</ns0:f>
        <ns0:v/>
      </ns0:c>
    </ns0:row>
    <ns0:row r="59" ht="37.25" customHeight="1">
      <ns0:c r="G59" s="1">
        <ns0:f>+G58/M58</ns0:f>
        <ns0:v/>
      </ns0:c>
      <ns0:c r="H59" s="1">
        <ns0:f>+H58/M58</ns0:f>
        <ns0:v/>
      </ns0:c>
      <ns0:c r="I59" s="1">
        <ns0:f>+I58/M58</ns0:f>
        <ns0:v/>
      </ns0:c>
      <ns0:c r="J59" s="1">
        <ns0:f>+J58/M58</ns0:f>
        <ns0:v/>
      </ns0:c>
      <ns0:c r="K59" s="1">
        <ns0:f>+K58/M58</ns0:f>
        <ns0:v/>
      </ns0:c>
      <ns0:c r="L59" s="1">
        <ns0:f>+L58/M58</ns0:f>
        <ns0:v/>
      </ns0:c>
      <ns0:c r="O59" s="1">
        <ns0:f>+O58/Q58</ns0:f>
        <ns0:v/>
      </ns0:c>
      <ns0:c r="P59" s="1">
        <ns0:f>+P58/Q58</ns0:f>
        <ns0:v/>
      </ns0:c>
    </ns0:row>
    <ns0:row r="60" ht="37.25" customHeight="1">
      <ns0:c r="C60" s="1" t="inlineStr">
        <ns0:is>
          <ns0:t xml:space="preserve">Frame </ns0:t>
        </ns0:is>
      </ns0:c>
      <ns0:c r="D60" s="1" t="inlineStr">
        <ns0:is>
          <ns0:t>Frame stock 24/11/2023</ns0:t>
        </ns0:is>
      </ns0:c>
      <ns0:c r="E60" s="1" t="n">
        <ns0:v>195</ns0:v>
      </ns0:c>
      <ns0:c r="F60" s="1">
        <ns0:f>+E60-M60</ns0:f>
        <ns0:v/>
      </ns0:c>
      <ns0:c r="G60" s="1" t="n">
        <ns0:v>0</ns0:v>
      </ns0:c>
      <ns0:c r="H60" s="1" t="n">
        <ns0:v>0</ns0:v>
      </ns0:c>
      <ns0:c r="I60" s="1" t="n">
        <ns0:v>0</ns0:v>
      </ns0:c>
      <ns0:c r="J60" s="1" t="n">
        <ns0:v>0</ns0:v>
      </ns0:c>
      <ns0:c r="K60" s="1" t="n">
        <ns0:v>7</ns0:v>
      </ns0:c>
      <ns0:c r="L60" s="1" t="n">
        <ns0:v>11</ns0:v>
      </ns0:c>
      <ns0:c r="M60" s="1">
        <ns0:f>SUM(G60:L60)</ns0:f>
        <ns0:v/>
      </ns0:c>
      <ns0:c r="N60" s="1">
        <ns0:f>M60/E60</ns0:f>
        <ns0:v/>
      </ns0:c>
      <ns0:c r="Q60" s="1">
        <ns0:f>+O60+P60</ns0:f>
        <ns0:v/>
      </ns0:c>
      <ns0:c r="R60" s="1">
        <ns0:f>+Q60/E60</ns0:f>
        <ns0:v/>
      </ns0:c>
    </ns0:row>
    <ns0:row r="61" ht="37.25" customHeight="1">
      <ns0:c r="G61" s="1">
        <ns0:f>+G60/M60</ns0:f>
        <ns0:v/>
      </ns0:c>
      <ns0:c r="H61" s="1">
        <ns0:f>+H60/M60</ns0:f>
        <ns0:v/>
      </ns0:c>
      <ns0:c r="I61" s="1">
        <ns0:f>+I60/M60</ns0:f>
        <ns0:v/>
      </ns0:c>
      <ns0:c r="J61" s="1">
        <ns0:f>+J60/M60</ns0:f>
        <ns0:v/>
      </ns0:c>
      <ns0:c r="K61" s="1">
        <ns0:f>+K60/M60</ns0:f>
        <ns0:v/>
      </ns0:c>
      <ns0:c r="L61" s="1">
        <ns0:f>+L60/M60</ns0:f>
        <ns0:v/>
      </ns0:c>
      <ns0:c r="O61" s="1">
        <ns0:f>+O60/Q60</ns0:f>
        <ns0:v/>
      </ns0:c>
      <ns0:c r="P61" s="1">
        <ns0:f>+P60/Q60</ns0:f>
        <ns0:v/>
      </ns0:c>
    </ns0:row>
    <ns0:row r="62" ht="27" customHeight="1">
      <ns0:c r="B62" s="2" t="n">
        <ns0:v>45460</ns0:v>
      </ns0:c>
      <ns0:c r="C62" s="1" t="inlineStr">
        <ns0:is>
          <ns0:t>AWF #1</ns0:t>
        </ns0:is>
      </ns0:c>
      <ns0:c r="D62" s="1" t="inlineStr">
        <ns0:is>
          <ns0:t>Wire ø 0.110mm</ns0:t>
        </ns0:is>
      </ns0:c>
      <ns0:c r="E62" s="1" t="n">
        <ns0:v>228</ns0:v>
      </ns0:c>
      <ns0:c r="F62" s="1">
        <ns0:f>+E62-M62</ns0:f>
        <ns0:v/>
      </ns0:c>
      <ns0:c r="G62" s="1" t="n">
        <ns0:v>0</ns0:v>
      </ns0:c>
      <ns0:c r="H62" s="1" t="n">
        <ns0:v>0</ns0:v>
      </ns0:c>
      <ns0:c r="I62" s="1" t="n">
        <ns0:v>0</ns0:v>
      </ns0:c>
      <ns0:c r="J62" s="1" t="n">
        <ns0:v>0</ns0:v>
      </ns0:c>
      <ns0:c r="K62" s="1" t="n">
        <ns0:v>2</ns0:v>
      </ns0:c>
      <ns0:c r="L62" s="1" t="n">
        <ns0:v>13</ns0:v>
      </ns0:c>
      <ns0:c r="M62" s="1">
        <ns0:f>SUM(G62:L62)</ns0:f>
        <ns0:v/>
      </ns0:c>
      <ns0:c r="N62" s="1">
        <ns0:f>M62/E62</ns0:f>
        <ns0:v/>
      </ns0:c>
      <ns0:c r="Q62" s="1">
        <ns0:f>+O62+P62</ns0:f>
        <ns0:v/>
      </ns0:c>
      <ns0:c r="R62" s="1">
        <ns0:f>+Q62/E62</ns0:f>
        <ns0:v/>
      </ns0:c>
    </ns0:row>
    <ns0:row r="63" ht="27" customHeight="1">
      <ns0:c r="G63" s="1">
        <ns0:f>+G62/M62</ns0:f>
        <ns0:v/>
      </ns0:c>
      <ns0:c r="H63" s="1">
        <ns0:f>+H62/M62</ns0:f>
        <ns0:v/>
      </ns0:c>
      <ns0:c r="I63" s="1">
        <ns0:f>+I62/M62</ns0:f>
        <ns0:v/>
      </ns0:c>
      <ns0:c r="J63" s="1">
        <ns0:f>+J62/M62</ns0:f>
        <ns0:v/>
      </ns0:c>
      <ns0:c r="K63" s="1">
        <ns0:f>+K62/M62</ns0:f>
        <ns0:v/>
      </ns0:c>
      <ns0:c r="L63" s="1">
        <ns0:f>+L62/M62</ns0:f>
        <ns0:v/>
      </ns0:c>
      <ns0:c r="O63" s="1">
        <ns0:f>+O62/Q62</ns0:f>
        <ns0:v/>
      </ns0:c>
      <ns0:c r="P63" s="1">
        <ns0:f>+P62/Q62</ns0:f>
        <ns0:v/>
      </ns0:c>
    </ns0:row>
    <ns0:row r="64" ht="27" customHeight="1">
      <ns0:c r="D64" s="1" t="inlineStr">
        <ns0:is>
          <ns0:t>Wire ø 0.111mm</ns0:t>
        </ns0:is>
      </ns0:c>
      <ns0:c r="E64" s="1" t="n">
        <ns0:v>228</ns0:v>
      </ns0:c>
      <ns0:c r="F64" s="1">
        <ns0:f>+E64-M64</ns0:f>
        <ns0:v/>
      </ns0:c>
      <ns0:c r="G64" s="1" t="n">
        <ns0:v>0</ns0:v>
      </ns0:c>
      <ns0:c r="H64" s="1" t="n">
        <ns0:v>0</ns0:v>
      </ns0:c>
      <ns0:c r="I64" s="1" t="n">
        <ns0:v>0</ns0:v>
      </ns0:c>
      <ns0:c r="J64" s="1" t="n">
        <ns0:v>0</ns0:v>
      </ns0:c>
      <ns0:c r="K64" s="1" t="n">
        <ns0:v>5</ns0:v>
      </ns0:c>
      <ns0:c r="L64" s="1" t="n">
        <ns0:v>12</ns0:v>
      </ns0:c>
      <ns0:c r="M64" s="1">
        <ns0:f>SUM(G64:L64)</ns0:f>
        <ns0:v/>
      </ns0:c>
      <ns0:c r="N64" s="1">
        <ns0:f>M64/E64</ns0:f>
        <ns0:v/>
      </ns0:c>
      <ns0:c r="Q64" s="1">
        <ns0:f>+O64+P64</ns0:f>
        <ns0:v/>
      </ns0:c>
      <ns0:c r="R64" s="1">
        <ns0:f>+Q64/E64</ns0:f>
        <ns0:v/>
      </ns0:c>
    </ns0:row>
    <ns0:row r="65" ht="27" customHeight="1">
      <ns0:c r="G65" s="1">
        <ns0:f>+G64/M64</ns0:f>
        <ns0:v/>
      </ns0:c>
      <ns0:c r="H65" s="1">
        <ns0:f>+H64/M64</ns0:f>
        <ns0:v/>
      </ns0:c>
      <ns0:c r="I65" s="1">
        <ns0:f>+I64/M64</ns0:f>
        <ns0:v/>
      </ns0:c>
      <ns0:c r="J65" s="1">
        <ns0:f>+J64/M64</ns0:f>
        <ns0:v/>
      </ns0:c>
      <ns0:c r="K65" s="1">
        <ns0:f>+K64/M64</ns0:f>
        <ns0:v/>
      </ns0:c>
      <ns0:c r="L65" s="1">
        <ns0:f>+L64/M64</ns0:f>
        <ns0:v/>
      </ns0:c>
      <ns0:c r="O65" s="1">
        <ns0:f>+O64/Q64</ns0:f>
        <ns0:v/>
      </ns0:c>
      <ns0:c r="P65" s="1">
        <ns0:f>+P64/Q64</ns0:f>
        <ns0:v/>
      </ns0:c>
    </ns0:row>
    <ns0:row r="66" ht="27" customHeight="1">
      <ns0:c r="D66" s="1" t="inlineStr">
        <ns0:is>
          <ns0:t>Wire ø 0.112mm</ns0:t>
        </ns0:is>
      </ns0:c>
      <ns0:c r="E66" s="1" t="n">
        <ns0:v>238</ns0:v>
      </ns0:c>
      <ns0:c r="F66" s="1">
        <ns0:f>+E66-M66</ns0:f>
        <ns0:v/>
      </ns0:c>
      <ns0:c r="G66" s="1" t="n">
        <ns0:v>0</ns0:v>
      </ns0:c>
      <ns0:c r="H66" s="1" t="n">
        <ns0:v>0</ns0:v>
      </ns0:c>
      <ns0:c r="I66" s="1" t="n">
        <ns0:v>0</ns0:v>
      </ns0:c>
      <ns0:c r="J66" s="1" t="n">
        <ns0:v>0</ns0:v>
      </ns0:c>
      <ns0:c r="K66" s="1" t="n">
        <ns0:v>8</ns0:v>
      </ns0:c>
      <ns0:c r="L66" s="1" t="n">
        <ns0:v>10</ns0:v>
      </ns0:c>
      <ns0:c r="M66" s="1">
        <ns0:f>SUM(G66:L66)</ns0:f>
        <ns0:v/>
      </ns0:c>
      <ns0:c r="N66" s="1">
        <ns0:f>M66/E66</ns0:f>
        <ns0:v/>
      </ns0:c>
      <ns0:c r="Q66" s="1">
        <ns0:f>+O66+P66</ns0:f>
        <ns0:v/>
      </ns0:c>
      <ns0:c r="R66" s="1">
        <ns0:f>+Q66/E66</ns0:f>
        <ns0:v/>
      </ns0:c>
    </ns0:row>
    <ns0:row r="67" ht="27" customHeight="1">
      <ns0:c r="G67" s="1">
        <ns0:f>+G66/M66</ns0:f>
        <ns0:v/>
      </ns0:c>
      <ns0:c r="H67" s="1">
        <ns0:f>+H66/M66</ns0:f>
        <ns0:v/>
      </ns0:c>
      <ns0:c r="I67" s="1">
        <ns0:f>+I66/M66</ns0:f>
        <ns0:v/>
      </ns0:c>
      <ns0:c r="J67" s="1">
        <ns0:f>+J66/M66</ns0:f>
        <ns0:v/>
      </ns0:c>
      <ns0:c r="K67" s="1">
        <ns0:f>+K66/M66</ns0:f>
        <ns0:v/>
      </ns0:c>
      <ns0:c r="L67" s="1">
        <ns0:f>+L66/M66</ns0:f>
        <ns0:v/>
      </ns0:c>
      <ns0:c r="O67" s="1">
        <ns0:f>+O66/Q66</ns0:f>
        <ns0:v/>
      </ns0:c>
      <ns0:c r="P67" s="1">
        <ns0:f>+P66/Q66</ns0:f>
        <ns0:v/>
      </ns0:c>
    </ns0:row>
    <ns0:row r="68" ht="27" customHeight="1">
      <ns0:c r="D68" s="1" t="inlineStr">
        <ns0:is>
          <ns0:t>Total</ns0:t>
        </ns0:is>
      </ns0:c>
      <ns0:c r="E68" s="1">
        <ns0:f>SUM(E62:E67)</ns0:f>
        <ns0:v/>
      </ns0:c>
      <ns0:c r="F68" s="1">
        <ns0:f>+E68-M68</ns0:f>
        <ns0:v/>
      </ns0:c>
      <ns0:c r="G68" s="1">
        <ns0:f>+G66+G64+G62</ns0:f>
        <ns0:v/>
      </ns0:c>
      <ns0:c r="H68" s="1">
        <ns0:f>+H66+H64+H62</ns0:f>
        <ns0:v/>
      </ns0:c>
      <ns0:c r="I68" s="1">
        <ns0:f>+I66+I64+I62</ns0:f>
        <ns0:v/>
      </ns0:c>
      <ns0:c r="J68" s="1">
        <ns0:f>+J66+J64+J62</ns0:f>
        <ns0:v/>
      </ns0:c>
      <ns0:c r="K68" s="1">
        <ns0:f>+K66+K64+K62</ns0:f>
        <ns0:v/>
      </ns0:c>
      <ns0:c r="L68" s="1">
        <ns0:f>+L66+L64+L62</ns0:f>
        <ns0:v/>
      </ns0:c>
      <ns0:c r="M68" s="1">
        <ns0:f>SUM(G68:L68)</ns0:f>
        <ns0:v/>
      </ns0:c>
      <ns0:c r="N68" s="1">
        <ns0:f>M68/E68</ns0:f>
        <ns0:v/>
      </ns0:c>
      <ns0:c r="Q68" s="1">
        <ns0:f>+O68+P68</ns0:f>
        <ns0:v/>
      </ns0:c>
      <ns0:c r="R68" s="1">
        <ns0:f>+Q68/E68</ns0:f>
        <ns0:v/>
      </ns0:c>
    </ns0:row>
    <ns0:row r="69" ht="27" customHeight="1">
      <ns0:c r="G69" s="1">
        <ns0:f>+G68/M68</ns0:f>
        <ns0:v/>
      </ns0:c>
      <ns0:c r="H69" s="1">
        <ns0:f>+H68/M68</ns0:f>
        <ns0:v/>
      </ns0:c>
      <ns0:c r="I69" s="1">
        <ns0:f>+I68/M68</ns0:f>
        <ns0:v/>
      </ns0:c>
      <ns0:c r="J69" s="1">
        <ns0:f>+J68/M68</ns0:f>
        <ns0:v/>
      </ns0:c>
      <ns0:c r="K69" s="1">
        <ns0:f>+K68/M68</ns0:f>
        <ns0:v/>
      </ns0:c>
      <ns0:c r="L69" s="1">
        <ns0:f>+L68/M68</ns0:f>
        <ns0:v/>
      </ns0:c>
      <ns0:c r="O69" s="1">
        <ns0:f>+O68/Q68</ns0:f>
        <ns0:v/>
      </ns0:c>
      <ns0:c r="P69" s="1">
        <ns0:f>+P68/Q68</ns0:f>
        <ns0:v/>
      </ns0:c>
    </ns0:row>
    <ns0:row r="70" ht="27" customHeight="1">
      <ns0:c r="C70" s="1" t="inlineStr">
        <ns0:is>
          <ns0:t>AWF #2</ns0:t>
        </ns0:is>
      </ns0:c>
      <ns0:c r="D70" s="1" t="inlineStr">
        <ns0:is>
          <ns0:t>Wire ø 0.110mm</ns0:t>
        </ns0:is>
      </ns0:c>
      <ns0:c r="E70" s="1" t="n">
        <ns0:v>230</ns0:v>
      </ns0:c>
      <ns0:c r="F70" s="1">
        <ns0:f>+E70-M70</ns0:f>
        <ns0:v/>
      </ns0:c>
      <ns0:c r="G70" s="1" t="n">
        <ns0:v>0</ns0:v>
      </ns0:c>
      <ns0:c r="H70" s="1" t="n">
        <ns0:v>0</ns0:v>
      </ns0:c>
      <ns0:c r="I70" s="1" t="n">
        <ns0:v>0</ns0:v>
      </ns0:c>
      <ns0:c r="J70" s="1" t="n">
        <ns0:v>0</ns0:v>
      </ns0:c>
      <ns0:c r="K70" s="1" t="n">
        <ns0:v>7</ns0:v>
      </ns0:c>
      <ns0:c r="L70" s="1" t="n">
        <ns0:v>5</ns0:v>
      </ns0:c>
      <ns0:c r="M70" s="1">
        <ns0:f>SUM(G70:L70)</ns0:f>
        <ns0:v/>
      </ns0:c>
      <ns0:c r="N70" s="1">
        <ns0:f>M70/E70</ns0:f>
        <ns0:v/>
      </ns0:c>
      <ns0:c r="Q70" s="1">
        <ns0:f>+O70+P70</ns0:f>
        <ns0:v/>
      </ns0:c>
      <ns0:c r="R70" s="1">
        <ns0:f>+Q70/E70</ns0:f>
        <ns0:v/>
      </ns0:c>
    </ns0:row>
    <ns0:row r="71" ht="27" customHeight="1">
      <ns0:c r="G71" s="1">
        <ns0:f>+G70/M70</ns0:f>
        <ns0:v/>
      </ns0:c>
      <ns0:c r="H71" s="1">
        <ns0:f>+H70/M70</ns0:f>
        <ns0:v/>
      </ns0:c>
      <ns0:c r="I71" s="1">
        <ns0:f>+I70/M70</ns0:f>
        <ns0:v/>
      </ns0:c>
      <ns0:c r="J71" s="1">
        <ns0:f>+J70/M70</ns0:f>
        <ns0:v/>
      </ns0:c>
      <ns0:c r="K71" s="1">
        <ns0:f>+K70/M70</ns0:f>
        <ns0:v/>
      </ns0:c>
      <ns0:c r="L71" s="1">
        <ns0:f>+L70/M70</ns0:f>
        <ns0:v/>
      </ns0:c>
      <ns0:c r="O71" s="1">
        <ns0:f>+O70/Q70</ns0:f>
        <ns0:v/>
      </ns0:c>
      <ns0:c r="P71" s="1">
        <ns0:f>+P70/Q70</ns0:f>
        <ns0:v/>
      </ns0:c>
    </ns0:row>
    <ns0:row r="72" ht="27" customHeight="1">
      <ns0:c r="D72" s="1" t="inlineStr">
        <ns0:is>
          <ns0:t>Wire ø 0.111mm</ns0:t>
        </ns0:is>
      </ns0:c>
      <ns0:c r="E72" s="1" t="n">
        <ns0:v>236</ns0:v>
      </ns0:c>
      <ns0:c r="F72" s="1">
        <ns0:f>+E72-M72</ns0:f>
        <ns0:v/>
      </ns0:c>
      <ns0:c r="G72" s="1" t="n">
        <ns0:v>0</ns0:v>
      </ns0:c>
      <ns0:c r="H72" s="1" t="n">
        <ns0:v>0</ns0:v>
      </ns0:c>
      <ns0:c r="I72" s="1" t="n">
        <ns0:v>0</ns0:v>
      </ns0:c>
      <ns0:c r="J72" s="1" t="n">
        <ns0:v>0</ns0:v>
      </ns0:c>
      <ns0:c r="K72" s="1" t="n">
        <ns0:v>9</ns0:v>
      </ns0:c>
      <ns0:c r="L72" s="1" t="n">
        <ns0:v>16</ns0:v>
      </ns0:c>
      <ns0:c r="M72" s="1">
        <ns0:f>SUM(G72:L72)</ns0:f>
        <ns0:v/>
      </ns0:c>
      <ns0:c r="N72" s="1">
        <ns0:f>M72/E72</ns0:f>
        <ns0:v/>
      </ns0:c>
      <ns0:c r="Q72" s="1">
        <ns0:f>+O72+P72</ns0:f>
        <ns0:v/>
      </ns0:c>
      <ns0:c r="R72" s="1">
        <ns0:f>+Q72/E72</ns0:f>
        <ns0:v/>
      </ns0:c>
    </ns0:row>
    <ns0:row r="73" ht="27" customHeight="1">
      <ns0:c r="G73" s="1">
        <ns0:f>+G72/M72</ns0:f>
        <ns0:v/>
      </ns0:c>
      <ns0:c r="H73" s="1">
        <ns0:f>+H72/M72</ns0:f>
        <ns0:v/>
      </ns0:c>
      <ns0:c r="I73" s="1">
        <ns0:f>+I72/M72</ns0:f>
        <ns0:v/>
      </ns0:c>
      <ns0:c r="J73" s="1">
        <ns0:f>+J72/M72</ns0:f>
        <ns0:v/>
      </ns0:c>
      <ns0:c r="K73" s="1">
        <ns0:f>+K72/M72</ns0:f>
        <ns0:v/>
      </ns0:c>
      <ns0:c r="L73" s="1">
        <ns0:f>+L72/M72</ns0:f>
        <ns0:v/>
      </ns0:c>
      <ns0:c r="O73" s="1">
        <ns0:f>+O72/Q72</ns0:f>
        <ns0:v/>
      </ns0:c>
      <ns0:c r="P73" s="1">
        <ns0:f>+P72/Q72</ns0:f>
        <ns0:v/>
      </ns0:c>
    </ns0:row>
    <ns0:row r="74" ht="27" customHeight="1">
      <ns0:c r="D74" s="1" t="inlineStr">
        <ns0:is>
          <ns0:t>Wire ø 0.112mm</ns0:t>
        </ns0:is>
      </ns0:c>
      <ns0:c r="E74" s="1" t="n">
        <ns0:v>200</ns0:v>
      </ns0:c>
      <ns0:c r="F74" s="1">
        <ns0:f>+E74-M74</ns0:f>
        <ns0:v/>
      </ns0:c>
      <ns0:c r="G74" s="1" t="n">
        <ns0:v>0</ns0:v>
      </ns0:c>
      <ns0:c r="H74" s="1" t="n">
        <ns0:v>0</ns0:v>
      </ns0:c>
      <ns0:c r="I74" s="1" t="n">
        <ns0:v>0</ns0:v>
      </ns0:c>
      <ns0:c r="J74" s="1" t="n">
        <ns0:v>0</ns0:v>
      </ns0:c>
      <ns0:c r="K74" s="1" t="n">
        <ns0:v>5</ns0:v>
      </ns0:c>
      <ns0:c r="L74" s="1" t="n">
        <ns0:v>16</ns0:v>
      </ns0:c>
      <ns0:c r="M74" s="1">
        <ns0:f>SUM(G74:L74)</ns0:f>
        <ns0:v/>
      </ns0:c>
      <ns0:c r="N74" s="1">
        <ns0:f>M74/E74</ns0:f>
        <ns0:v/>
      </ns0:c>
      <ns0:c r="Q74" s="1">
        <ns0:f>+O74+P74</ns0:f>
        <ns0:v/>
      </ns0:c>
      <ns0:c r="R74" s="1">
        <ns0:f>+Q74/E74</ns0:f>
        <ns0:v/>
      </ns0:c>
    </ns0:row>
    <ns0:row r="75" ht="27" customHeight="1">
      <ns0:c r="G75" s="1">
        <ns0:f>+G74/M74</ns0:f>
        <ns0:v/>
      </ns0:c>
      <ns0:c r="H75" s="1">
        <ns0:f>+H74/M74</ns0:f>
        <ns0:v/>
      </ns0:c>
      <ns0:c r="I75" s="1">
        <ns0:f>+I74/M74</ns0:f>
        <ns0:v/>
      </ns0:c>
      <ns0:c r="J75" s="1">
        <ns0:f>+J74/M74</ns0:f>
        <ns0:v/>
      </ns0:c>
      <ns0:c r="K75" s="1">
        <ns0:f>+K74/M74</ns0:f>
        <ns0:v/>
      </ns0:c>
      <ns0:c r="L75" s="1">
        <ns0:f>+L74/M74</ns0:f>
        <ns0:v/>
      </ns0:c>
      <ns0:c r="O75" s="1">
        <ns0:f>+O74/Q74</ns0:f>
        <ns0:v/>
      </ns0:c>
      <ns0:c r="P75" s="1">
        <ns0:f>+P74/Q74</ns0:f>
        <ns0:v/>
      </ns0:c>
    </ns0:row>
    <ns0:row r="76" ht="27" customHeight="1">
      <ns0:c r="D76" s="1" t="inlineStr">
        <ns0:is>
          <ns0:t>Total</ns0:t>
        </ns0:is>
      </ns0:c>
      <ns0:c r="E76" s="1">
        <ns0:f>SUM(E70:E75)</ns0:f>
        <ns0:v/>
      </ns0:c>
      <ns0:c r="F76" s="1">
        <ns0:f>+E76-M76</ns0:f>
        <ns0:v/>
      </ns0:c>
      <ns0:c r="G76" s="1">
        <ns0:f>+G74+G72+G70</ns0:f>
        <ns0:v/>
      </ns0:c>
      <ns0:c r="H76" s="1">
        <ns0:f>+H74+H72+H70</ns0:f>
        <ns0:v/>
      </ns0:c>
      <ns0:c r="I76" s="1">
        <ns0:f>+I74+I72+I70</ns0:f>
        <ns0:v/>
      </ns0:c>
      <ns0:c r="J76" s="1">
        <ns0:f>+J74+J72+J70</ns0:f>
        <ns0:v/>
      </ns0:c>
      <ns0:c r="K76" s="1">
        <ns0:f>+K74+K72+K70</ns0:f>
        <ns0:v/>
      </ns0:c>
      <ns0:c r="L76" s="1">
        <ns0:f>+L74+L72+L70</ns0:f>
        <ns0:v/>
      </ns0:c>
      <ns0:c r="M76" s="1">
        <ns0:f>SUM(G76:L76)</ns0:f>
        <ns0:v/>
      </ns0:c>
      <ns0:c r="N76" s="1">
        <ns0:f>M76/E76</ns0:f>
        <ns0:v/>
      </ns0:c>
      <ns0:c r="Q76" s="1">
        <ns0:f>+O76+P76</ns0:f>
        <ns0:v/>
      </ns0:c>
      <ns0:c r="R76" s="1">
        <ns0:f>+Q76/E76</ns0:f>
        <ns0:v/>
      </ns0:c>
    </ns0:row>
    <ns0:row r="77" ht="27" customHeight="1">
      <ns0:c r="G77" s="1">
        <ns0:f>+G76/M76</ns0:f>
        <ns0:v/>
      </ns0:c>
      <ns0:c r="H77" s="1">
        <ns0:f>+H76/M76</ns0:f>
        <ns0:v/>
      </ns0:c>
      <ns0:c r="I77" s="1">
        <ns0:f>+I76/M76</ns0:f>
        <ns0:v/>
      </ns0:c>
      <ns0:c r="J77" s="1">
        <ns0:f>+J76/M76</ns0:f>
        <ns0:v/>
      </ns0:c>
      <ns0:c r="K77" s="1">
        <ns0:f>+K76/M76</ns0:f>
        <ns0:v/>
      </ns0:c>
      <ns0:c r="L77" s="1">
        <ns0:f>+L76/M76</ns0:f>
        <ns0:v/>
      </ns0:c>
      <ns0:c r="O77" s="1">
        <ns0:f>+O76/Q76</ns0:f>
        <ns0:v/>
      </ns0:c>
      <ns0:c r="P77" s="1">
        <ns0:f>+P76/Q76</ns0:f>
        <ns0:v/>
      </ns0:c>
    </ns0:row>
    <ns0:row r="78" ht="27" customHeight="1">
      <ns0:c r="C78" s="1" t="inlineStr">
        <ns0:is>
          <ns0:t>AWF #3</ns0:t>
        </ns0:is>
      </ns0:c>
      <ns0:c r="D78" s="1" t="inlineStr">
        <ns0:is>
          <ns0:t>Wire ø 0.110mm</ns0:t>
        </ns0:is>
      </ns0:c>
      <ns0:c r="E78" s="1" t="n">
        <ns0:v>232</ns0:v>
      </ns0:c>
      <ns0:c r="F78" s="1">
        <ns0:f>+E78-M78</ns0:f>
        <ns0:v/>
      </ns0:c>
      <ns0:c r="G78" s="1" t="n">
        <ns0:v>0</ns0:v>
      </ns0:c>
      <ns0:c r="H78" s="1" t="n">
        <ns0:v>0</ns0:v>
      </ns0:c>
      <ns0:c r="I78" s="1" t="n">
        <ns0:v>0</ns0:v>
      </ns0:c>
      <ns0:c r="J78" s="1" t="n">
        <ns0:v>0</ns0:v>
      </ns0:c>
      <ns0:c r="K78" s="1" t="n">
        <ns0:v>12</ns0:v>
      </ns0:c>
      <ns0:c r="L78" s="1" t="n">
        <ns0:v>20</ns0:v>
      </ns0:c>
      <ns0:c r="M78" s="1">
        <ns0:f>SUM(G78:L78)</ns0:f>
        <ns0:v/>
      </ns0:c>
      <ns0:c r="N78" s="1">
        <ns0:f>M78/E78</ns0:f>
        <ns0:v/>
      </ns0:c>
      <ns0:c r="Q78" s="1">
        <ns0:f>+O78+P78</ns0:f>
        <ns0:v/>
      </ns0:c>
      <ns0:c r="R78" s="1">
        <ns0:f>+Q78/E78</ns0:f>
        <ns0:v/>
      </ns0:c>
    </ns0:row>
    <ns0:row r="79" ht="27" customHeight="1">
      <ns0:c r="G79" s="1">
        <ns0:f>+G78/M78</ns0:f>
        <ns0:v/>
      </ns0:c>
      <ns0:c r="H79" s="1">
        <ns0:f>+H78/M78</ns0:f>
        <ns0:v/>
      </ns0:c>
      <ns0:c r="I79" s="1">
        <ns0:f>+I78/M78</ns0:f>
        <ns0:v/>
      </ns0:c>
      <ns0:c r="J79" s="1">
        <ns0:f>+J78/M78</ns0:f>
        <ns0:v/>
      </ns0:c>
      <ns0:c r="K79" s="1">
        <ns0:f>+K78/M78</ns0:f>
        <ns0:v/>
      </ns0:c>
      <ns0:c r="L79" s="1">
        <ns0:f>+L78/M78</ns0:f>
        <ns0:v/>
      </ns0:c>
      <ns0:c r="O79" s="1">
        <ns0:f>+O78/Q78</ns0:f>
        <ns0:v/>
      </ns0:c>
      <ns0:c r="P79" s="1">
        <ns0:f>+P78/Q78</ns0:f>
        <ns0:v/>
      </ns0:c>
    </ns0:row>
    <ns0:row r="80" ht="27" customHeight="1">
      <ns0:c r="D80" s="1" t="inlineStr">
        <ns0:is>
          <ns0:t>Wire ø 0.111mm</ns0:t>
        </ns0:is>
      </ns0:c>
      <ns0:c r="E80" s="1" t="n">
        <ns0:v>191</ns0:v>
      </ns0:c>
      <ns0:c r="F80" s="1">
        <ns0:f>+E80-M80</ns0:f>
        <ns0:v/>
      </ns0:c>
      <ns0:c r="G80" s="1" t="n">
        <ns0:v>0</ns0:v>
      </ns0:c>
      <ns0:c r="H80" s="1" t="n">
        <ns0:v>0</ns0:v>
      </ns0:c>
      <ns0:c r="I80" s="1" t="n">
        <ns0:v>0</ns0:v>
      </ns0:c>
      <ns0:c r="J80" s="1" t="n">
        <ns0:v>0</ns0:v>
      </ns0:c>
      <ns0:c r="K80" s="1" t="n">
        <ns0:v>3</ns0:v>
      </ns0:c>
      <ns0:c r="L80" s="1" t="n">
        <ns0:v>12</ns0:v>
      </ns0:c>
      <ns0:c r="M80" s="1">
        <ns0:f>SUM(G80:L80)</ns0:f>
        <ns0:v/>
      </ns0:c>
      <ns0:c r="N80" s="1">
        <ns0:f>M80/E80</ns0:f>
        <ns0:v/>
      </ns0:c>
      <ns0:c r="Q80" s="1">
        <ns0:f>+O80+P80</ns0:f>
        <ns0:v/>
      </ns0:c>
      <ns0:c r="R80" s="1">
        <ns0:f>+Q80/E80</ns0:f>
        <ns0:v/>
      </ns0:c>
    </ns0:row>
    <ns0:row r="81" ht="27" customHeight="1">
      <ns0:c r="G81" s="1">
        <ns0:f>+G80/M80</ns0:f>
        <ns0:v/>
      </ns0:c>
      <ns0:c r="H81" s="1">
        <ns0:f>+H80/M80</ns0:f>
        <ns0:v/>
      </ns0:c>
      <ns0:c r="I81" s="1">
        <ns0:f>+I80/M80</ns0:f>
        <ns0:v/>
      </ns0:c>
      <ns0:c r="J81" s="1">
        <ns0:f>+J80/M80</ns0:f>
        <ns0:v/>
      </ns0:c>
      <ns0:c r="K81" s="1">
        <ns0:f>+K80/M80</ns0:f>
        <ns0:v/>
      </ns0:c>
      <ns0:c r="L81" s="1">
        <ns0:f>+L80/M80</ns0:f>
        <ns0:v/>
      </ns0:c>
      <ns0:c r="O81" s="1">
        <ns0:f>+O80/Q80</ns0:f>
        <ns0:v/>
      </ns0:c>
      <ns0:c r="P81" s="1">
        <ns0:f>+P80/Q80</ns0:f>
        <ns0:v/>
      </ns0:c>
    </ns0:row>
    <ns0:row r="82" ht="27" customHeight="1">
      <ns0:c r="D82" s="1" t="inlineStr">
        <ns0:is>
          <ns0:t>Wire ø 0.112mm</ns0:t>
        </ns0:is>
      </ns0:c>
      <ns0:c r="E82" s="1" t="n">
        <ns0:v>220</ns0:v>
      </ns0:c>
      <ns0:c r="F82" s="1">
        <ns0:f>+E82-M82</ns0:f>
        <ns0:v/>
      </ns0:c>
      <ns0:c r="G82" s="1" t="n">
        <ns0:v>0</ns0:v>
      </ns0:c>
      <ns0:c r="H82" s="1" t="n">
        <ns0:v>0</ns0:v>
      </ns0:c>
      <ns0:c r="I82" s="1" t="n">
        <ns0:v>0</ns0:v>
      </ns0:c>
      <ns0:c r="J82" s="1" t="n">
        <ns0:v>0</ns0:v>
      </ns0:c>
      <ns0:c r="K82" s="1" t="n">
        <ns0:v>14</ns0:v>
      </ns0:c>
      <ns0:c r="L82" s="1" t="n">
        <ns0:v>8</ns0:v>
      </ns0:c>
      <ns0:c r="M82" s="1">
        <ns0:f>SUM(G82:L82)</ns0:f>
        <ns0:v/>
      </ns0:c>
      <ns0:c r="N82" s="1">
        <ns0:f>M82/E82</ns0:f>
        <ns0:v/>
      </ns0:c>
      <ns0:c r="Q82" s="1">
        <ns0:f>+O82+P82</ns0:f>
        <ns0:v/>
      </ns0:c>
      <ns0:c r="R82" s="1">
        <ns0:f>+Q82/E82</ns0:f>
        <ns0:v/>
      </ns0:c>
    </ns0:row>
    <ns0:row r="83" ht="27" customHeight="1">
      <ns0:c r="G83" s="1">
        <ns0:f>+G82/M82</ns0:f>
        <ns0:v/>
      </ns0:c>
      <ns0:c r="H83" s="1">
        <ns0:f>+H82/M82</ns0:f>
        <ns0:v/>
      </ns0:c>
      <ns0:c r="I83" s="1">
        <ns0:f>+I82/M82</ns0:f>
        <ns0:v/>
      </ns0:c>
      <ns0:c r="J83" s="1">
        <ns0:f>+J82/M82</ns0:f>
        <ns0:v/>
      </ns0:c>
      <ns0:c r="K83" s="1">
        <ns0:f>+K82/M82</ns0:f>
        <ns0:v/>
      </ns0:c>
      <ns0:c r="L83" s="1">
        <ns0:f>+L82/M82</ns0:f>
        <ns0:v/>
      </ns0:c>
      <ns0:c r="O83" s="1">
        <ns0:f>+O82/Q82</ns0:f>
        <ns0:v/>
      </ns0:c>
      <ns0:c r="P83" s="1">
        <ns0:f>+P82/Q82</ns0:f>
        <ns0:v/>
      </ns0:c>
    </ns0:row>
    <ns0:row r="84" ht="27" customHeight="1">
      <ns0:c r="D84" s="1" t="inlineStr">
        <ns0:is>
          <ns0:t>Total</ns0:t>
        </ns0:is>
      </ns0:c>
      <ns0:c r="E84" s="1">
        <ns0:f>SUM(E78:E83)</ns0:f>
        <ns0:v/>
      </ns0:c>
      <ns0:c r="F84" s="1">
        <ns0:f>+E84-M84</ns0:f>
        <ns0:v/>
      </ns0:c>
      <ns0:c r="G84" s="1">
        <ns0:f>+G82+G80+G78</ns0:f>
        <ns0:v/>
      </ns0:c>
      <ns0:c r="H84" s="1">
        <ns0:f>+H82+H80+H78</ns0:f>
        <ns0:v/>
      </ns0:c>
      <ns0:c r="I84" s="1">
        <ns0:f>+I82+I80+I78</ns0:f>
        <ns0:v/>
      </ns0:c>
      <ns0:c r="J84" s="1">
        <ns0:f>+J82+J80+J78</ns0:f>
        <ns0:v/>
      </ns0:c>
      <ns0:c r="K84" s="1">
        <ns0:f>+K82+K80+K78</ns0:f>
        <ns0:v/>
      </ns0:c>
      <ns0:c r="L84" s="1">
        <ns0:f>+L82+L80+L78</ns0:f>
        <ns0:v/>
      </ns0:c>
      <ns0:c r="M84" s="1">
        <ns0:f>SUM(G84:L84)</ns0:f>
        <ns0:v/>
      </ns0:c>
      <ns0:c r="N84" s="1">
        <ns0:f>M84/E84</ns0:f>
        <ns0:v/>
      </ns0:c>
      <ns0:c r="Q84" s="1">
        <ns0:f>+O84+P84</ns0:f>
        <ns0:v/>
      </ns0:c>
      <ns0:c r="R84" s="1">
        <ns0:f>+Q84/E84</ns0:f>
        <ns0:v/>
      </ns0:c>
    </ns0:row>
    <ns0:row r="85" ht="27" customHeight="1">
      <ns0:c r="G85" s="1">
        <ns0:f>+G84/M84</ns0:f>
        <ns0:v/>
      </ns0:c>
      <ns0:c r="H85" s="1">
        <ns0:f>+H84/M84</ns0:f>
        <ns0:v/>
      </ns0:c>
      <ns0:c r="I85" s="1">
        <ns0:f>+I84/M84</ns0:f>
        <ns0:v/>
      </ns0:c>
      <ns0:c r="J85" s="1">
        <ns0:f>+J84/M84</ns0:f>
        <ns0:v/>
      </ns0:c>
      <ns0:c r="K85" s="1">
        <ns0:f>+K84/M84</ns0:f>
        <ns0:v/>
      </ns0:c>
      <ns0:c r="L85" s="1">
        <ns0:f>+L84/M84</ns0:f>
        <ns0:v/>
      </ns0:c>
      <ns0:c r="O85" s="1">
        <ns0:f>+O84/Q84</ns0:f>
        <ns0:v/>
      </ns0:c>
      <ns0:c r="P85" s="1">
        <ns0:f>+P84/Q84</ns0:f>
        <ns0:v/>
      </ns0:c>
    </ns0:row>
    <ns0:row r="86" ht="27" customHeight="1">
      <ns0:c r="C86" s="1" t="inlineStr">
        <ns0:is>
          <ns0:t>AWF #4</ns0:t>
        </ns0:is>
      </ns0:c>
      <ns0:c r="D86" s="1" t="inlineStr">
        <ns0:is>
          <ns0:t>Wire ø 0.110mm</ns0:t>
        </ns0:is>
      </ns0:c>
      <ns0:c r="E86" s="1" t="n">
        <ns0:v>213</ns0:v>
      </ns0:c>
      <ns0:c r="F86" s="1">
        <ns0:f>+E86-M86</ns0:f>
        <ns0:v/>
      </ns0:c>
      <ns0:c r="G86" s="1" t="n">
        <ns0:v>0</ns0:v>
      </ns0:c>
      <ns0:c r="H86" s="1" t="n">
        <ns0:v>0</ns0:v>
      </ns0:c>
      <ns0:c r="I86" s="1" t="n">
        <ns0:v>0</ns0:v>
      </ns0:c>
      <ns0:c r="J86" s="1" t="n">
        <ns0:v>0</ns0:v>
      </ns0:c>
      <ns0:c r="K86" s="1" t="n">
        <ns0:v>8</ns0:v>
      </ns0:c>
      <ns0:c r="L86" s="1" t="n">
        <ns0:v>15</ns0:v>
      </ns0:c>
      <ns0:c r="M86" s="1">
        <ns0:f>SUM(G86:L86)</ns0:f>
        <ns0:v/>
      </ns0:c>
      <ns0:c r="N86" s="1">
        <ns0:f>M86/E86</ns0:f>
        <ns0:v/>
      </ns0:c>
      <ns0:c r="Q86" s="1">
        <ns0:f>+O86+P86</ns0:f>
        <ns0:v/>
      </ns0:c>
      <ns0:c r="R86" s="1">
        <ns0:f>+Q86/E86</ns0:f>
        <ns0:v/>
      </ns0:c>
    </ns0:row>
    <ns0:row r="87" ht="27" customHeight="1">
      <ns0:c r="G87" s="1">
        <ns0:f>+G86/M86</ns0:f>
        <ns0:v/>
      </ns0:c>
      <ns0:c r="H87" s="1">
        <ns0:f>+H86/M86</ns0:f>
        <ns0:v/>
      </ns0:c>
      <ns0:c r="I87" s="1">
        <ns0:f>+I86/M86</ns0:f>
        <ns0:v/>
      </ns0:c>
      <ns0:c r="J87" s="1">
        <ns0:f>+J86/M86</ns0:f>
        <ns0:v/>
      </ns0:c>
      <ns0:c r="K87" s="1">
        <ns0:f>+K86/M86</ns0:f>
        <ns0:v/>
      </ns0:c>
      <ns0:c r="L87" s="1">
        <ns0:f>+L86/M86</ns0:f>
        <ns0:v/>
      </ns0:c>
      <ns0:c r="O87" s="1">
        <ns0:f>+O86/Q86</ns0:f>
        <ns0:v/>
      </ns0:c>
      <ns0:c r="P87" s="1">
        <ns0:f>+P86/Q86</ns0:f>
        <ns0:v/>
      </ns0:c>
    </ns0:row>
    <ns0:row r="88" ht="27" customHeight="1">
      <ns0:c r="D88" s="1" t="inlineStr">
        <ns0:is>
          <ns0:t>Wire ø 0.111mm</ns0:t>
        </ns0:is>
      </ns0:c>
      <ns0:c r="E88" s="1" t="n">
        <ns0:v>208</ns0:v>
      </ns0:c>
      <ns0:c r="F88" s="1">
        <ns0:f>+E88-M88</ns0:f>
        <ns0:v/>
      </ns0:c>
      <ns0:c r="G88" s="1" t="n">
        <ns0:v>0</ns0:v>
      </ns0:c>
      <ns0:c r="H88" s="1" t="n">
        <ns0:v>0</ns0:v>
      </ns0:c>
      <ns0:c r="I88" s="1" t="n">
        <ns0:v>0</ns0:v>
      </ns0:c>
      <ns0:c r="J88" s="1" t="n">
        <ns0:v>0</ns0:v>
      </ns0:c>
      <ns0:c r="K88" s="1" t="n">
        <ns0:v>5</ns0:v>
      </ns0:c>
      <ns0:c r="L88" s="1" t="n">
        <ns0:v>13</ns0:v>
      </ns0:c>
      <ns0:c r="M88" s="1">
        <ns0:f>SUM(G88:L88)</ns0:f>
        <ns0:v/>
      </ns0:c>
      <ns0:c r="N88" s="1">
        <ns0:f>M88/E88</ns0:f>
        <ns0:v/>
      </ns0:c>
      <ns0:c r="Q88" s="1">
        <ns0:f>+O88+P88</ns0:f>
        <ns0:v/>
      </ns0:c>
      <ns0:c r="R88" s="1">
        <ns0:f>+Q88/E88</ns0:f>
        <ns0:v/>
      </ns0:c>
    </ns0:row>
    <ns0:row r="89" ht="27" customHeight="1">
      <ns0:c r="G89" s="1">
        <ns0:f>+G88/M88</ns0:f>
        <ns0:v/>
      </ns0:c>
      <ns0:c r="H89" s="1">
        <ns0:f>+H88/M88</ns0:f>
        <ns0:v/>
      </ns0:c>
      <ns0:c r="I89" s="1">
        <ns0:f>+I88/M88</ns0:f>
        <ns0:v/>
      </ns0:c>
      <ns0:c r="J89" s="1">
        <ns0:f>+J88/M88</ns0:f>
        <ns0:v/>
      </ns0:c>
      <ns0:c r="K89" s="1">
        <ns0:f>+K88/M88</ns0:f>
        <ns0:v/>
      </ns0:c>
      <ns0:c r="L89" s="1">
        <ns0:f>+L88/M88</ns0:f>
        <ns0:v/>
      </ns0:c>
      <ns0:c r="O89" s="1">
        <ns0:f>+O88/Q88</ns0:f>
        <ns0:v/>
      </ns0:c>
      <ns0:c r="P89" s="1">
        <ns0:f>+P88/Q88</ns0:f>
        <ns0:v/>
      </ns0:c>
    </ns0:row>
    <ns0:row r="90" ht="27" customHeight="1">
      <ns0:c r="D90" s="1" t="inlineStr">
        <ns0:is>
          <ns0:t>Wire ø 0.112mm</ns0:t>
        </ns0:is>
      </ns0:c>
      <ns0:c r="E90" s="1" t="n">
        <ns0:v>224</ns0:v>
      </ns0:c>
      <ns0:c r="F90" s="1">
        <ns0:f>+E90-M90</ns0:f>
        <ns0:v/>
      </ns0:c>
      <ns0:c r="G90" s="1" t="n">
        <ns0:v>0</ns0:v>
      </ns0:c>
      <ns0:c r="H90" s="1" t="n">
        <ns0:v>0</ns0:v>
      </ns0:c>
      <ns0:c r="I90" s="1" t="n">
        <ns0:v>0</ns0:v>
      </ns0:c>
      <ns0:c r="J90" s="1" t="n">
        <ns0:v>0</ns0:v>
      </ns0:c>
      <ns0:c r="K90" s="1" t="n">
        <ns0:v>3</ns0:v>
      </ns0:c>
      <ns0:c r="L90" s="1" t="n">
        <ns0:v>16</ns0:v>
      </ns0:c>
      <ns0:c r="M90" s="1">
        <ns0:f>SUM(G90:L90)</ns0:f>
        <ns0:v/>
      </ns0:c>
      <ns0:c r="N90" s="1">
        <ns0:f>M90/E90</ns0:f>
        <ns0:v/>
      </ns0:c>
      <ns0:c r="Q90" s="1">
        <ns0:f>+O90+P90</ns0:f>
        <ns0:v/>
      </ns0:c>
      <ns0:c r="R90" s="1">
        <ns0:f>+Q90/E90</ns0:f>
        <ns0:v/>
      </ns0:c>
    </ns0:row>
    <ns0:row r="91" ht="27" customHeight="1">
      <ns0:c r="G91" s="1">
        <ns0:f>+G90/M90</ns0:f>
        <ns0:v/>
      </ns0:c>
      <ns0:c r="H91" s="1">
        <ns0:f>+H90/M90</ns0:f>
        <ns0:v/>
      </ns0:c>
      <ns0:c r="I91" s="1">
        <ns0:f>+I90/M90</ns0:f>
        <ns0:v/>
      </ns0:c>
      <ns0:c r="J91" s="1">
        <ns0:f>+J90/M90</ns0:f>
        <ns0:v/>
      </ns0:c>
      <ns0:c r="K91" s="1">
        <ns0:f>+K90/M90</ns0:f>
        <ns0:v/>
      </ns0:c>
      <ns0:c r="L91" s="1">
        <ns0:f>+L90/M90</ns0:f>
        <ns0:v/>
      </ns0:c>
      <ns0:c r="O91" s="1">
        <ns0:f>+O90/Q90</ns0:f>
        <ns0:v/>
      </ns0:c>
      <ns0:c r="P91" s="1">
        <ns0:f>+P90/Q90</ns0:f>
        <ns0:v/>
      </ns0:c>
    </ns0:row>
    <ns0:row r="92" ht="27" customHeight="1">
      <ns0:c r="D92" s="1" t="inlineStr">
        <ns0:is>
          <ns0:t>Total</ns0:t>
        </ns0:is>
      </ns0:c>
      <ns0:c r="E92" s="1">
        <ns0:f>SUM(E86:E91)</ns0:f>
        <ns0:v/>
      </ns0:c>
      <ns0:c r="F92" s="1">
        <ns0:f>+E92-M92</ns0:f>
        <ns0:v/>
      </ns0:c>
      <ns0:c r="G92" s="1">
        <ns0:f>+G90+G88+G86</ns0:f>
        <ns0:v/>
      </ns0:c>
      <ns0:c r="H92" s="1">
        <ns0:f>+H90+H88+H86</ns0:f>
        <ns0:v/>
      </ns0:c>
      <ns0:c r="I92" s="1">
        <ns0:f>+I90+I88+I86</ns0:f>
        <ns0:v/>
      </ns0:c>
      <ns0:c r="J92" s="1">
        <ns0:f>+J90+J88+J86</ns0:f>
        <ns0:v/>
      </ns0:c>
      <ns0:c r="K92" s="1">
        <ns0:f>+K90+K88+K86</ns0:f>
        <ns0:v/>
      </ns0:c>
      <ns0:c r="L92" s="1">
        <ns0:f>+L90+L88+L86</ns0:f>
        <ns0:v/>
      </ns0:c>
      <ns0:c r="M92" s="1">
        <ns0:f>SUM(G92:L92)</ns0:f>
        <ns0:v/>
      </ns0:c>
      <ns0:c r="N92" s="1">
        <ns0:f>M92/E92</ns0:f>
        <ns0:v/>
      </ns0:c>
      <ns0:c r="Q92" s="1">
        <ns0:f>+O92+P92</ns0:f>
        <ns0:v/>
      </ns0:c>
      <ns0:c r="R92" s="1">
        <ns0:f>+Q92/E92</ns0:f>
        <ns0:v/>
      </ns0:c>
    </ns0:row>
    <ns0:row r="93" ht="27" customHeight="1">
      <ns0:c r="G93" s="1">
        <ns0:f>+G92/M92</ns0:f>
        <ns0:v/>
      </ns0:c>
      <ns0:c r="H93" s="1">
        <ns0:f>+H92/M92</ns0:f>
        <ns0:v/>
      </ns0:c>
      <ns0:c r="I93" s="1">
        <ns0:f>+I92/M92</ns0:f>
        <ns0:v/>
      </ns0:c>
      <ns0:c r="J93" s="1">
        <ns0:f>+J92/M92</ns0:f>
        <ns0:v/>
      </ns0:c>
      <ns0:c r="K93" s="1">
        <ns0:f>+K92/M92</ns0:f>
        <ns0:v/>
      </ns0:c>
      <ns0:c r="L93" s="1">
        <ns0:f>+L92/M92</ns0:f>
        <ns0:v/>
      </ns0:c>
      <ns0:c r="O93" s="1">
        <ns0:f>+O92/Q92</ns0:f>
        <ns0:v/>
      </ns0:c>
      <ns0:c r="P93" s="1">
        <ns0:f>+P92/Q92</ns0:f>
        <ns0:v/>
      </ns0:c>
    </ns0:row>
    <ns0:row r="94" ht="27" customHeight="1">
      <ns0:c r="C94" s="1" t="inlineStr">
        <ns0:is>
          <ns0:t>AWF #5</ns0:t>
        </ns0:is>
      </ns0:c>
      <ns0:c r="D94" s="1" t="inlineStr">
        <ns0:is>
          <ns0:t>Wire ø 0.110mm</ns0:t>
        </ns0:is>
      </ns0:c>
      <ns0:c r="E94" s="1" t="n">
        <ns0:v>226</ns0:v>
      </ns0:c>
      <ns0:c r="F94" s="1">
        <ns0:f>+E94-M94</ns0:f>
        <ns0:v/>
      </ns0:c>
      <ns0:c r="G94" s="1" t="n">
        <ns0:v>0</ns0:v>
      </ns0:c>
      <ns0:c r="H94" s="1" t="n">
        <ns0:v>0</ns0:v>
      </ns0:c>
      <ns0:c r="I94" s="1" t="n">
        <ns0:v>0</ns0:v>
      </ns0:c>
      <ns0:c r="J94" s="1" t="n">
        <ns0:v>0</ns0:v>
      </ns0:c>
      <ns0:c r="K94" s="1" t="n">
        <ns0:v>8</ns0:v>
      </ns0:c>
      <ns0:c r="L94" s="1" t="n">
        <ns0:v>18</ns0:v>
      </ns0:c>
      <ns0:c r="M94" s="1">
        <ns0:f>SUM(G94:L94)</ns0:f>
        <ns0:v/>
      </ns0:c>
      <ns0:c r="N94" s="1">
        <ns0:f>M94/E94</ns0:f>
        <ns0:v/>
      </ns0:c>
      <ns0:c r="Q94" s="1">
        <ns0:f>+O94+P94</ns0:f>
        <ns0:v/>
      </ns0:c>
      <ns0:c r="R94" s="1">
        <ns0:f>+Q94/E94</ns0:f>
        <ns0:v/>
      </ns0:c>
    </ns0:row>
    <ns0:row r="95" ht="27" customHeight="1">
      <ns0:c r="G95" s="1">
        <ns0:f>+G94/M94</ns0:f>
        <ns0:v/>
      </ns0:c>
      <ns0:c r="H95" s="1">
        <ns0:f>+H94/M94</ns0:f>
        <ns0:v/>
      </ns0:c>
      <ns0:c r="I95" s="1">
        <ns0:f>+I94/M94</ns0:f>
        <ns0:v/>
      </ns0:c>
      <ns0:c r="J95" s="1">
        <ns0:f>+J94/M94</ns0:f>
        <ns0:v/>
      </ns0:c>
      <ns0:c r="K95" s="1">
        <ns0:f>+K94/M94</ns0:f>
        <ns0:v/>
      </ns0:c>
      <ns0:c r="L95" s="1">
        <ns0:f>+L94/M94</ns0:f>
        <ns0:v/>
      </ns0:c>
      <ns0:c r="O95" s="1">
        <ns0:f>+O94/Q94</ns0:f>
        <ns0:v/>
      </ns0:c>
      <ns0:c r="P95" s="1">
        <ns0:f>+P94/Q94</ns0:f>
        <ns0:v/>
      </ns0:c>
    </ns0:row>
    <ns0:row r="96" ht="27" customHeight="1">
      <ns0:c r="D96" s="1" t="inlineStr">
        <ns0:is>
          <ns0:t>Wire ø 0.111mm</ns0:t>
        </ns0:is>
      </ns0:c>
      <ns0:c r="E96" s="1" t="n">
        <ns0:v>198</ns0:v>
      </ns0:c>
      <ns0:c r="F96" s="1">
        <ns0:f>+E96-M96</ns0:f>
        <ns0:v/>
      </ns0:c>
      <ns0:c r="G96" s="1" t="n">
        <ns0:v>0</ns0:v>
      </ns0:c>
      <ns0:c r="H96" s="1" t="n">
        <ns0:v>0</ns0:v>
      </ns0:c>
      <ns0:c r="I96" s="1" t="n">
        <ns0:v>0</ns0:v>
      </ns0:c>
      <ns0:c r="J96" s="1" t="n">
        <ns0:v>0</ns0:v>
      </ns0:c>
      <ns0:c r="K96" s="1" t="n">
        <ns0:v>0</ns0:v>
      </ns0:c>
      <ns0:c r="L96" s="1" t="n">
        <ns0:v>17</ns0:v>
      </ns0:c>
      <ns0:c r="M96" s="1">
        <ns0:f>SUM(G96:L96)</ns0:f>
        <ns0:v/>
      </ns0:c>
      <ns0:c r="N96" s="1">
        <ns0:f>M96/E96</ns0:f>
        <ns0:v/>
      </ns0:c>
      <ns0:c r="Q96" s="1">
        <ns0:f>+O96+P96</ns0:f>
        <ns0:v/>
      </ns0:c>
      <ns0:c r="R96" s="1">
        <ns0:f>+Q96/E96</ns0:f>
        <ns0:v/>
      </ns0:c>
    </ns0:row>
    <ns0:row r="97" ht="27" customHeight="1">
      <ns0:c r="G97" s="1">
        <ns0:f>+G96/M96</ns0:f>
        <ns0:v/>
      </ns0:c>
      <ns0:c r="H97" s="1">
        <ns0:f>+H96/M96</ns0:f>
        <ns0:v/>
      </ns0:c>
      <ns0:c r="I97" s="1">
        <ns0:f>+I96/M96</ns0:f>
        <ns0:v/>
      </ns0:c>
      <ns0:c r="J97" s="1">
        <ns0:f>+J96/M96</ns0:f>
        <ns0:v/>
      </ns0:c>
      <ns0:c r="K97" s="1">
        <ns0:f>+K96/M96</ns0:f>
        <ns0:v/>
      </ns0:c>
      <ns0:c r="L97" s="1">
        <ns0:f>+L96/M96</ns0:f>
        <ns0:v/>
      </ns0:c>
      <ns0:c r="O97" s="1">
        <ns0:f>+O96/Q96</ns0:f>
        <ns0:v/>
      </ns0:c>
      <ns0:c r="P97" s="1">
        <ns0:f>+P96/Q96</ns0:f>
        <ns0:v/>
      </ns0:c>
    </ns0:row>
    <ns0:row r="98" ht="27" customHeight="1">
      <ns0:c r="D98" s="1" t="inlineStr">
        <ns0:is>
          <ns0:t>Wire ø 0.112mm</ns0:t>
        </ns0:is>
      </ns0:c>
      <ns0:c r="E98" s="1" t="n">
        <ns0:v>122</ns0:v>
      </ns0:c>
      <ns0:c r="F98" s="1">
        <ns0:f>+E98-M98</ns0:f>
        <ns0:v/>
      </ns0:c>
      <ns0:c r="G98" s="1" t="n">
        <ns0:v>0</ns0:v>
      </ns0:c>
      <ns0:c r="H98" s="1" t="n">
        <ns0:v>0</ns0:v>
      </ns0:c>
      <ns0:c r="I98" s="1" t="n">
        <ns0:v>0</ns0:v>
      </ns0:c>
      <ns0:c r="J98" s="1" t="n">
        <ns0:v>0</ns0:v>
      </ns0:c>
      <ns0:c r="K98" s="1" t="n">
        <ns0:v>2</ns0:v>
      </ns0:c>
      <ns0:c r="L98" s="1" t="n">
        <ns0:v>5</ns0:v>
      </ns0:c>
      <ns0:c r="M98" s="1">
        <ns0:f>SUM(G98:L98)</ns0:f>
        <ns0:v/>
      </ns0:c>
      <ns0:c r="N98" s="1">
        <ns0:f>M98/E98</ns0:f>
        <ns0:v/>
      </ns0:c>
      <ns0:c r="Q98" s="1">
        <ns0:f>+O98+P98</ns0:f>
        <ns0:v/>
      </ns0:c>
      <ns0:c r="R98" s="1">
        <ns0:f>+Q98/E98</ns0:f>
        <ns0:v/>
      </ns0:c>
    </ns0:row>
    <ns0:row r="99" ht="27" customHeight="1">
      <ns0:c r="G99" s="1">
        <ns0:f>+G98/M98</ns0:f>
        <ns0:v/>
      </ns0:c>
      <ns0:c r="H99" s="1">
        <ns0:f>+H98/M98</ns0:f>
        <ns0:v/>
      </ns0:c>
      <ns0:c r="I99" s="1">
        <ns0:f>+I98/M98</ns0:f>
        <ns0:v/>
      </ns0:c>
      <ns0:c r="J99" s="1">
        <ns0:f>+J98/M98</ns0:f>
        <ns0:v/>
      </ns0:c>
      <ns0:c r="K99" s="1">
        <ns0:f>+K98/M98</ns0:f>
        <ns0:v/>
      </ns0:c>
      <ns0:c r="L99" s="1">
        <ns0:f>+L98/M98</ns0:f>
        <ns0:v/>
      </ns0:c>
      <ns0:c r="O99" s="1">
        <ns0:f>+O98/Q98</ns0:f>
        <ns0:v/>
      </ns0:c>
      <ns0:c r="P99" s="1">
        <ns0:f>+P98/Q98</ns0:f>
        <ns0:v/>
      </ns0:c>
    </ns0:row>
    <ns0:row r="100" ht="27" customHeight="1">
      <ns0:c r="D100" s="1" t="inlineStr">
        <ns0:is>
          <ns0:t>Total</ns0:t>
        </ns0:is>
      </ns0:c>
      <ns0:c r="E100" s="1">
        <ns0:f>SUM(E94:E99)</ns0:f>
        <ns0:v/>
      </ns0:c>
      <ns0:c r="F100" s="1">
        <ns0:f>+E100-M100</ns0:f>
        <ns0:v/>
      </ns0:c>
      <ns0:c r="G100" s="1">
        <ns0:f>+G98+G96+G94</ns0:f>
        <ns0:v/>
      </ns0:c>
      <ns0:c r="H100" s="1">
        <ns0:f>+H98+H96+H94</ns0:f>
        <ns0:v/>
      </ns0:c>
      <ns0:c r="I100" s="1">
        <ns0:f>+I98+I96+I94</ns0:f>
        <ns0:v/>
      </ns0:c>
      <ns0:c r="J100" s="1">
        <ns0:f>+J98+J96+J94</ns0:f>
        <ns0:v/>
      </ns0:c>
      <ns0:c r="K100" s="1">
        <ns0:f>+K98+K96+K94</ns0:f>
        <ns0:v/>
      </ns0:c>
      <ns0:c r="L100" s="1">
        <ns0:f>+L98+L96+L94</ns0:f>
        <ns0:v/>
      </ns0:c>
      <ns0:c r="M100" s="1">
        <ns0:f>SUM(G100:L100)</ns0:f>
        <ns0:v/>
      </ns0:c>
      <ns0:c r="N100" s="1">
        <ns0:f>M100/E100</ns0:f>
        <ns0:v/>
      </ns0:c>
      <ns0:c r="Q100" s="1">
        <ns0:f>+O100+P100</ns0:f>
        <ns0:v/>
      </ns0:c>
      <ns0:c r="R100" s="1">
        <ns0:f>+Q100/E100</ns0:f>
        <ns0:v/>
      </ns0:c>
    </ns0:row>
    <ns0:row r="101" ht="27" customHeight="1">
      <ns0:c r="G101" s="1">
        <ns0:f>+G100/M100</ns0:f>
        <ns0:v/>
      </ns0:c>
      <ns0:c r="H101" s="1">
        <ns0:f>+H100/M100</ns0:f>
        <ns0:v/>
      </ns0:c>
      <ns0:c r="I101" s="1">
        <ns0:f>+I100/M100</ns0:f>
        <ns0:v/>
      </ns0:c>
      <ns0:c r="J101" s="1">
        <ns0:f>+J100/M100</ns0:f>
        <ns0:v/>
      </ns0:c>
      <ns0:c r="K101" s="1">
        <ns0:f>+K100/M100</ns0:f>
        <ns0:v/>
      </ns0:c>
      <ns0:c r="L101" s="1">
        <ns0:f>+L100/M100</ns0:f>
        <ns0:v/>
      </ns0:c>
      <ns0:c r="O101" s="1">
        <ns0:f>+O100/Q100</ns0:f>
        <ns0:v/>
      </ns0:c>
      <ns0:c r="P101" s="1">
        <ns0:f>+P100/Q100</ns0:f>
        <ns0:v/>
      </ns0:c>
    </ns0:row>
    <ns0:row r="102" ht="30.5" customHeight="1">
      <ns0:c r="B102" s="2" t="n">
        <ns0:v>45461</ns0:v>
      </ns0:c>
      <ns0:c r="C102" s="1" t="inlineStr">
        <ns0:is>
          <ns0:t>Frame + VP After laser cutting</ns0:t>
        </ns0:is>
      </ns0:c>
      <ns0:c r="D102" s="1" t="inlineStr">
        <ns0:is>
          <ns0:t>Frame + VP cutting OK</ns0:t>
        </ns0:is>
      </ns0:c>
      <ns0:c r="E102" s="1" t="n">
        <ns0:v>90</ns0:v>
      </ns0:c>
      <ns0:c r="F102" s="1">
        <ns0:f>+E102-M102</ns0:f>
        <ns0:v/>
      </ns0:c>
      <ns0:c r="G102" s="1" t="n">
        <ns0:v>0</ns0:v>
      </ns0:c>
      <ns0:c r="H102" s="1" t="n">
        <ns0:v>0</ns0:v>
      </ns0:c>
      <ns0:c r="I102" s="1" t="n">
        <ns0:v>0</ns0:v>
      </ns0:c>
      <ns0:c r="J102" s="1" t="n">
        <ns0:v>0</ns0:v>
      </ns0:c>
      <ns0:c r="K102" s="1" t="n">
        <ns0:v>4</ns0:v>
      </ns0:c>
      <ns0:c r="L102" s="1" t="n">
        <ns0:v>11</ns0:v>
      </ns0:c>
      <ns0:c r="M102" s="1">
        <ns0:f>SUM(G102:L102)</ns0:f>
        <ns0:v/>
      </ns0:c>
      <ns0:c r="N102" s="1">
        <ns0:f>M102/E102</ns0:f>
        <ns0:v/>
      </ns0:c>
      <ns0:c r="Q102" s="1">
        <ns0:f>+O102+P102</ns0:f>
        <ns0:v/>
      </ns0:c>
      <ns0:c r="R102" s="1">
        <ns0:f>+Q102/E102</ns0:f>
        <ns0:v/>
      </ns0:c>
    </ns0:row>
    <ns0:row r="103" ht="30.5" customHeight="1">
      <ns0:c r="G103" s="1">
        <ns0:f>+G102/M102</ns0:f>
        <ns0:v/>
      </ns0:c>
      <ns0:c r="H103" s="1">
        <ns0:f>+H102/M102</ns0:f>
        <ns0:v/>
      </ns0:c>
      <ns0:c r="I103" s="1">
        <ns0:f>+I102/M102</ns0:f>
        <ns0:v/>
      </ns0:c>
      <ns0:c r="J103" s="1">
        <ns0:f>+J102/M102</ns0:f>
        <ns0:v/>
      </ns0:c>
      <ns0:c r="K103" s="1">
        <ns0:f>+K102/M102</ns0:f>
        <ns0:v/>
      </ns0:c>
      <ns0:c r="L103" s="1">
        <ns0:f>+L102/M102</ns0:f>
        <ns0:v/>
      </ns0:c>
      <ns0:c r="O103" s="1">
        <ns0:f>+O102/Q102</ns0:f>
        <ns0:v/>
      </ns0:c>
      <ns0:c r="P103" s="1">
        <ns0:f>+P102/Q102</ns0:f>
        <ns0:v/>
      </ns0:c>
    </ns0:row>
    <ns0:row r="104" ht="30.5" customHeight="1">
      <ns0:c r="D104" s="1" t="inlineStr">
        <ns0:is>
          <ns0:t>Frame + VP cutting Offset</ns0:t>
        </ns0:is>
      </ns0:c>
      <ns0:c r="E104" s="1" t="n">
        <ns0:v>44</ns0:v>
      </ns0:c>
      <ns0:c r="F104" s="1">
        <ns0:f>+E104-M104</ns0:f>
        <ns0:v/>
      </ns0:c>
      <ns0:c r="G104" s="1" t="n">
        <ns0:v>0</ns0:v>
      </ns0:c>
      <ns0:c r="H104" s="1" t="n">
        <ns0:v>0</ns0:v>
      </ns0:c>
      <ns0:c r="I104" s="1" t="n">
        <ns0:v>0</ns0:v>
      </ns0:c>
      <ns0:c r="J104" s="1" t="n">
        <ns0:v>0</ns0:v>
      </ns0:c>
      <ns0:c r="K104" s="1" t="n">
        <ns0:v>1</ns0:v>
      </ns0:c>
      <ns0:c r="L104" s="1" t="n">
        <ns0:v>5</ns0:v>
      </ns0:c>
      <ns0:c r="M104" s="1">
        <ns0:f>SUM(G104:L104)</ns0:f>
        <ns0:v/>
      </ns0:c>
      <ns0:c r="N104" s="1">
        <ns0:f>M104/E104</ns0:f>
        <ns0:v/>
      </ns0:c>
      <ns0:c r="Q104" s="1">
        <ns0:f>+O104+P104</ns0:f>
        <ns0:v/>
      </ns0:c>
      <ns0:c r="R104" s="1">
        <ns0:f>+Q104/E104</ns0:f>
        <ns0:v/>
      </ns0:c>
    </ns0:row>
    <ns0:row r="105" ht="30.5" customHeight="1">
      <ns0:c r="G105" s="1">
        <ns0:f>+G104/M104</ns0:f>
        <ns0:v/>
      </ns0:c>
      <ns0:c r="H105" s="1">
        <ns0:f>+H104/M104</ns0:f>
        <ns0:v/>
      </ns0:c>
      <ns0:c r="I105" s="1">
        <ns0:f>+I104/M104</ns0:f>
        <ns0:v/>
      </ns0:c>
      <ns0:c r="J105" s="1">
        <ns0:f>+J104/M104</ns0:f>
        <ns0:v/>
      </ns0:c>
      <ns0:c r="K105" s="1">
        <ns0:f>+K104/M104</ns0:f>
        <ns0:v/>
      </ns0:c>
      <ns0:c r="L105" s="1">
        <ns0:f>+L104/M104</ns0:f>
        <ns0:v/>
      </ns0:c>
      <ns0:c r="O105" s="1">
        <ns0:f>+O104/Q104</ns0:f>
        <ns0:v/>
      </ns0:c>
      <ns0:c r="P105" s="1">
        <ns0:f>+P104/Q104</ns0:f>
        <ns0:v/>
      </ns0:c>
    </ns0:row>
    <ns0:row r="106" ht="30.5" customHeight="1">
      <ns0:c r="C106" s="1" t="inlineStr">
        <ns0:is>
          <ns0:t>UV Led Press Coil+VP</ns0:t>
        </ns0:is>
      </ns0:c>
      <ns0:c r="D106" s="1" t="inlineStr">
        <ns0:is>
          <ns0:t>UV Press #1</ns0:t>
        </ns0:is>
      </ns0:c>
      <ns0:c r="E106" s="1" t="n">
        <ns0:v>199</ns0:v>
      </ns0:c>
      <ns0:c r="F106" s="1">
        <ns0:f>+E106-M106</ns0:f>
        <ns0:v/>
      </ns0:c>
      <ns0:c r="G106" s="1" t="n">
        <ns0:v>0</ns0:v>
      </ns0:c>
      <ns0:c r="H106" s="1" t="n">
        <ns0:v>2</ns0:v>
      </ns0:c>
      <ns0:c r="I106" s="1" t="n">
        <ns0:v>0</ns0:v>
      </ns0:c>
      <ns0:c r="J106" s="1" t="n">
        <ns0:v>0</ns0:v>
      </ns0:c>
      <ns0:c r="K106" s="1" t="n">
        <ns0:v>4</ns0:v>
      </ns0:c>
      <ns0:c r="L106" s="1" t="n">
        <ns0:v>13</ns0:v>
      </ns0:c>
      <ns0:c r="M106" s="1">
        <ns0:f>SUM(G106:L106)</ns0:f>
        <ns0:v/>
      </ns0:c>
      <ns0:c r="N106" s="1">
        <ns0:f>M106/E106</ns0:f>
        <ns0:v/>
      </ns0:c>
      <ns0:c r="Q106" s="1">
        <ns0:f>+O106+P106</ns0:f>
        <ns0:v/>
      </ns0:c>
      <ns0:c r="R106" s="1">
        <ns0:f>+Q106/E106</ns0:f>
        <ns0:v/>
      </ns0:c>
    </ns0:row>
    <ns0:row r="107" ht="30.5" customHeight="1">
      <ns0:c r="G107" s="1">
        <ns0:f>+G106/M106</ns0:f>
        <ns0:v/>
      </ns0:c>
      <ns0:c r="H107" s="1">
        <ns0:f>+H106/M106</ns0:f>
        <ns0:v/>
      </ns0:c>
      <ns0:c r="I107" s="1">
        <ns0:f>+I106/M106</ns0:f>
        <ns0:v/>
      </ns0:c>
      <ns0:c r="J107" s="1">
        <ns0:f>+J106/M106</ns0:f>
        <ns0:v/>
      </ns0:c>
      <ns0:c r="K107" s="1">
        <ns0:f>+K106/M106</ns0:f>
        <ns0:v/>
      </ns0:c>
      <ns0:c r="L107" s="1">
        <ns0:f>+L106/M106</ns0:f>
        <ns0:v/>
      </ns0:c>
      <ns0:c r="O107" s="1">
        <ns0:f>+O106/Q106</ns0:f>
        <ns0:v/>
      </ns0:c>
      <ns0:c r="P107" s="1">
        <ns0:f>+P106/Q106</ns0:f>
        <ns0:v/>
      </ns0:c>
    </ns0:row>
    <ns0:row r="108" ht="30.5" customHeight="1">
      <ns0:c r="D108" s="1" t="inlineStr">
        <ns0:is>
          <ns0:t>UV Press #2</ns0:t>
        </ns0:is>
      </ns0:c>
      <ns0:c r="E108" s="1" t="n">
        <ns0:v>198</ns0:v>
      </ns0:c>
      <ns0:c r="F108" s="1">
        <ns0:f>+E108-M108</ns0:f>
        <ns0:v/>
      </ns0:c>
      <ns0:c r="G108" s="1" t="n">
        <ns0:v>0</ns0:v>
      </ns0:c>
      <ns0:c r="H108" s="1" t="n">
        <ns0:v>0</ns0:v>
      </ns0:c>
      <ns0:c r="I108" s="1" t="n">
        <ns0:v>0</ns0:v>
      </ns0:c>
      <ns0:c r="J108" s="1" t="n">
        <ns0:v>0</ns0:v>
      </ns0:c>
      <ns0:c r="K108" s="1" t="n">
        <ns0:v>5</ns0:v>
      </ns0:c>
      <ns0:c r="L108" s="1" t="n">
        <ns0:v>18</ns0:v>
      </ns0:c>
      <ns0:c r="M108" s="1">
        <ns0:f>SUM(G108:L108)</ns0:f>
        <ns0:v/>
      </ns0:c>
      <ns0:c r="N108" s="1">
        <ns0:f>M108/E108</ns0:f>
        <ns0:v/>
      </ns0:c>
      <ns0:c r="Q108" s="1">
        <ns0:f>+O108+P108</ns0:f>
        <ns0:v/>
      </ns0:c>
      <ns0:c r="R108" s="1">
        <ns0:f>+Q108/E108</ns0:f>
        <ns0:v/>
      </ns0:c>
    </ns0:row>
    <ns0:row r="109" ht="30.5" customHeight="1">
      <ns0:c r="G109" s="1">
        <ns0:f>+G108/M108</ns0:f>
        <ns0:v/>
      </ns0:c>
      <ns0:c r="H109" s="1">
        <ns0:f>+H108/M108</ns0:f>
        <ns0:v/>
      </ns0:c>
      <ns0:c r="I109" s="1">
        <ns0:f>+I108/M108</ns0:f>
        <ns0:v/>
      </ns0:c>
      <ns0:c r="J109" s="1">
        <ns0:f>+J108/M108</ns0:f>
        <ns0:v/>
      </ns0:c>
      <ns0:c r="K109" s="1">
        <ns0:f>+K108/M108</ns0:f>
        <ns0:v/>
      </ns0:c>
      <ns0:c r="L109" s="1">
        <ns0:f>+L108/M108</ns0:f>
        <ns0:v/>
      </ns0:c>
      <ns0:c r="O109" s="1">
        <ns0:f>+O108/Q108</ns0:f>
        <ns0:v/>
      </ns0:c>
      <ns0:c r="P109" s="1">
        <ns0:f>+P108/Q108</ns0:f>
        <ns0:v/>
      </ns0:c>
    </ns0:row>
    <ns0:row r="110" ht="30.5" customHeight="1">
      <ns0:c r="D110" s="1" t="inlineStr">
        <ns0:is>
          <ns0:t>UV Press #3</ns0:t>
        </ns0:is>
      </ns0:c>
      <ns0:c r="E110" s="1" t="n">
        <ns0:v>199</ns0:v>
      </ns0:c>
      <ns0:c r="F110" s="1">
        <ns0:f>+E110-M110</ns0:f>
        <ns0:v/>
      </ns0:c>
      <ns0:c r="G110" s="1" t="n">
        <ns0:v>0</ns0:v>
      </ns0:c>
      <ns0:c r="H110" s="1" t="n">
        <ns0:v>1</ns0:v>
      </ns0:c>
      <ns0:c r="I110" s="1" t="n">
        <ns0:v>0</ns0:v>
      </ns0:c>
      <ns0:c r="J110" s="1" t="n">
        <ns0:v>0</ns0:v>
      </ns0:c>
      <ns0:c r="K110" s="1" t="n">
        <ns0:v>4</ns0:v>
      </ns0:c>
      <ns0:c r="L110" s="1" t="n">
        <ns0:v>7</ns0:v>
      </ns0:c>
      <ns0:c r="M110" s="1">
        <ns0:f>SUM(G110:L110)</ns0:f>
        <ns0:v/>
      </ns0:c>
      <ns0:c r="N110" s="1">
        <ns0:f>M110/E110</ns0:f>
        <ns0:v/>
      </ns0:c>
      <ns0:c r="Q110" s="1">
        <ns0:f>+O110+P110</ns0:f>
        <ns0:v/>
      </ns0:c>
      <ns0:c r="R110" s="1">
        <ns0:f>+Q110/E110</ns0:f>
        <ns0:v/>
      </ns0:c>
    </ns0:row>
    <ns0:row r="111" ht="30.5" customHeight="1">
      <ns0:c r="G111" s="1">
        <ns0:f>+G110/M110</ns0:f>
        <ns0:v/>
      </ns0:c>
      <ns0:c r="H111" s="1">
        <ns0:f>+H110/M110</ns0:f>
        <ns0:v/>
      </ns0:c>
      <ns0:c r="I111" s="1">
        <ns0:f>+I110/M110</ns0:f>
        <ns0:v/>
      </ns0:c>
      <ns0:c r="J111" s="1">
        <ns0:f>+J110/M110</ns0:f>
        <ns0:v/>
      </ns0:c>
      <ns0:c r="K111" s="1">
        <ns0:f>+K110/M110</ns0:f>
        <ns0:v/>
      </ns0:c>
      <ns0:c r="L111" s="1">
        <ns0:f>+L110/M110</ns0:f>
        <ns0:v/>
      </ns0:c>
      <ns0:c r="O111" s="1">
        <ns0:f>+O110/Q110</ns0:f>
        <ns0:v/>
      </ns0:c>
      <ns0:c r="P111" s="1">
        <ns0:f>+P110/Q110</ns0:f>
        <ns0:v/>
      </ns0:c>
    </ns0:row>
    <ns0:row r="112" ht="30.5" customHeight="1">
      <ns0:c r="D112" s="1" t="inlineStr">
        <ns0:is>
          <ns0:t>UV Press #4</ns0:t>
        </ns0:is>
      </ns0:c>
      <ns0:c r="E112" s="1" t="n">
        <ns0:v>198</ns0:v>
      </ns0:c>
      <ns0:c r="F112" s="1">
        <ns0:f>+E112-M112</ns0:f>
        <ns0:v/>
      </ns0:c>
      <ns0:c r="G112" s="1" t="n">
        <ns0:v>0</ns0:v>
      </ns0:c>
      <ns0:c r="H112" s="1" t="n">
        <ns0:v>0</ns0:v>
      </ns0:c>
      <ns0:c r="I112" s="1" t="n">
        <ns0:v>0</ns0:v>
      </ns0:c>
      <ns0:c r="J112" s="1" t="n">
        <ns0:v>0</ns0:v>
      </ns0:c>
      <ns0:c r="K112" s="1" t="n">
        <ns0:v>1</ns0:v>
      </ns0:c>
      <ns0:c r="L112" s="1" t="n">
        <ns0:v>28</ns0:v>
      </ns0:c>
      <ns0:c r="M112" s="1">
        <ns0:f>SUM(G112:L112)</ns0:f>
        <ns0:v/>
      </ns0:c>
      <ns0:c r="N112" s="1">
        <ns0:f>M112/E112</ns0:f>
        <ns0:v/>
      </ns0:c>
      <ns0:c r="Q112" s="1">
        <ns0:f>+O112+P112</ns0:f>
        <ns0:v/>
      </ns0:c>
      <ns0:c r="R112" s="1">
        <ns0:f>+Q112/E112</ns0:f>
        <ns0:v/>
      </ns0:c>
    </ns0:row>
    <ns0:row r="113" ht="30.5" customHeight="1">
      <ns0:c r="G113" s="1">
        <ns0:f>+G112/M112</ns0:f>
        <ns0:v/>
      </ns0:c>
      <ns0:c r="H113" s="1">
        <ns0:f>+H112/M112</ns0:f>
        <ns0:v/>
      </ns0:c>
      <ns0:c r="I113" s="1">
        <ns0:f>+I112/M112</ns0:f>
        <ns0:v/>
      </ns0:c>
      <ns0:c r="J113" s="1">
        <ns0:f>+J112/M112</ns0:f>
        <ns0:v/>
      </ns0:c>
      <ns0:c r="K113" s="1">
        <ns0:f>+K112/M112</ns0:f>
        <ns0:v/>
      </ns0:c>
      <ns0:c r="L113" s="1">
        <ns0:f>+L112/M112</ns0:f>
        <ns0:v/>
      </ns0:c>
      <ns0:c r="O113" s="1">
        <ns0:f>+O112/Q112</ns0:f>
        <ns0:v/>
      </ns0:c>
      <ns0:c r="P113" s="1">
        <ns0:f>+P112/Q112</ns0:f>
        <ns0:v/>
      </ns0:c>
    </ns0:row>
    <ns0:row r="114" ht="30.5" customHeight="1">
      <ns0:c r="D114" s="1" t="inlineStr">
        <ns0:is>
          <ns0:t>Total</ns0:t>
        </ns0:is>
      </ns0:c>
      <ns0:c r="E114" s="1">
        <ns0:f>SUM(E106:E113)</ns0:f>
        <ns0:v/>
      </ns0:c>
      <ns0:c r="F114" s="1">
        <ns0:f>SUM(F106:F113)</ns0:f>
        <ns0:v/>
      </ns0:c>
      <ns0:c r="G114" s="1">
        <ns0:f>+G106+G108+G110+G112</ns0:f>
        <ns0:v/>
      </ns0:c>
      <ns0:c r="H114" s="1">
        <ns0:f>+H106+H108+H110+H112</ns0:f>
        <ns0:v/>
      </ns0:c>
      <ns0:c r="I114" s="1">
        <ns0:f>+I106+I108+I110+I112</ns0:f>
        <ns0:v/>
      </ns0:c>
      <ns0:c r="J114" s="1">
        <ns0:f>+J106+J108+J110+J112</ns0:f>
        <ns0:v/>
      </ns0:c>
      <ns0:c r="K114" s="1">
        <ns0:f>+K106+K108+K110+K112</ns0:f>
        <ns0:v/>
      </ns0:c>
      <ns0:c r="L114" s="1">
        <ns0:f>+L106+L108+L110+L112</ns0:f>
        <ns0:v/>
      </ns0:c>
      <ns0:c r="M114" s="1">
        <ns0:f>SUM(G114:L114)</ns0:f>
        <ns0:v/>
      </ns0:c>
      <ns0:c r="N114" s="1">
        <ns0:f>M114/E114</ns0:f>
        <ns0:v/>
      </ns0:c>
      <ns0:c r="Q114" s="1">
        <ns0:f>+O114+P114</ns0:f>
        <ns0:v/>
      </ns0:c>
      <ns0:c r="R114" s="1">
        <ns0:f>+Q114/E114</ns0:f>
        <ns0:v/>
      </ns0:c>
    </ns0:row>
    <ns0:row r="115" ht="30.5" customHeight="1">
      <ns0:c r="G115" s="1">
        <ns0:f>+G114/M114</ns0:f>
        <ns0:v/>
      </ns0:c>
      <ns0:c r="H115" s="1">
        <ns0:f>+H114/M114</ns0:f>
        <ns0:v/>
      </ns0:c>
      <ns0:c r="I115" s="1">
        <ns0:f>+I114/M114</ns0:f>
        <ns0:v/>
      </ns0:c>
      <ns0:c r="J115" s="1">
        <ns0:f>+J114/M114</ns0:f>
        <ns0:v/>
      </ns0:c>
      <ns0:c r="K115" s="1">
        <ns0:f>+K114/M114</ns0:f>
        <ns0:v/>
      </ns0:c>
      <ns0:c r="L115" s="1">
        <ns0:f>+L114/M114</ns0:f>
        <ns0:v/>
      </ns0:c>
      <ns0:c r="O115" s="1">
        <ns0:f>+O114/Q114</ns0:f>
        <ns0:v/>
      </ns0:c>
      <ns0:c r="P115" s="1">
        <ns0:f>+P114/Q114</ns0:f>
        <ns0:v/>
      </ns0:c>
    </ns0:row>
    <ns0:row r="116" ht="30.5" customHeight="1">
      <ns0:c r="C116" s="1" t="inlineStr">
        <ns0:is>
          <ns0:t>AWF machine</ns0:t>
        </ns0:is>
      </ns0:c>
      <ns0:c r="D116" s="1" t="inlineStr">
        <ns0:is>
          <ns0:t>AWF#1 + Wire  ø 0.112mm</ns0:t>
        </ns0:is>
      </ns0:c>
      <ns0:c r="E116" s="1" t="n">
        <ns0:v>395</ns0:v>
      </ns0:c>
      <ns0:c r="F116" s="1">
        <ns0:f>+E116-M116</ns0:f>
        <ns0:v/>
      </ns0:c>
      <ns0:c r="G116" s="1" t="n">
        <ns0:v>0</ns0:v>
      </ns0:c>
      <ns0:c r="H116" s="1" t="n">
        <ns0:v>2</ns0:v>
      </ns0:c>
      <ns0:c r="I116" s="1" t="n">
        <ns0:v>1</ns0:v>
      </ns0:c>
      <ns0:c r="J116" s="1" t="n">
        <ns0:v>0</ns0:v>
      </ns0:c>
      <ns0:c r="K116" s="1" t="n">
        <ns0:v>6</ns0:v>
      </ns0:c>
      <ns0:c r="L116" s="1" t="n">
        <ns0:v>16</ns0:v>
      </ns0:c>
      <ns0:c r="M116" s="1">
        <ns0:f>SUM(G116:L116)</ns0:f>
        <ns0:v/>
      </ns0:c>
      <ns0:c r="N116" s="1">
        <ns0:f>M116/E116</ns0:f>
        <ns0:v/>
      </ns0:c>
      <ns0:c r="Q116" s="1">
        <ns0:f>+O116+P116</ns0:f>
        <ns0:v/>
      </ns0:c>
      <ns0:c r="R116" s="1">
        <ns0:f>+Q116/E116</ns0:f>
        <ns0:v/>
      </ns0:c>
    </ns0:row>
    <ns0:row r="117" ht="30.5" customHeight="1">
      <ns0:c r="G117" s="1">
        <ns0:f>+G116/M116</ns0:f>
        <ns0:v/>
      </ns0:c>
      <ns0:c r="H117" s="1">
        <ns0:f>+H116/M116</ns0:f>
        <ns0:v/>
      </ns0:c>
      <ns0:c r="I117" s="1">
        <ns0:f>+I116/M116</ns0:f>
        <ns0:v/>
      </ns0:c>
      <ns0:c r="J117" s="1">
        <ns0:f>+J116/M116</ns0:f>
        <ns0:v/>
      </ns0:c>
      <ns0:c r="K117" s="1">
        <ns0:f>+K116/M116</ns0:f>
        <ns0:v/>
      </ns0:c>
      <ns0:c r="L117" s="1">
        <ns0:f>+L116/M116</ns0:f>
        <ns0:v/>
      </ns0:c>
      <ns0:c r="O117" s="1">
        <ns0:f>+O116/Q116</ns0:f>
        <ns0:v/>
      </ns0:c>
      <ns0:c r="P117" s="1">
        <ns0:f>+P116/Q116</ns0:f>
        <ns0:v/>
      </ns0:c>
    </ns0:row>
    <ns0:row r="118" ht="30.5" customHeight="1">
      <ns0:c r="D118" s="1" t="inlineStr">
        <ns0:is>
          <ns0:t>AWF#2 + Wire  ø 0.112mm</ns0:t>
        </ns0:is>
      </ns0:c>
      <ns0:c r="E118" s="1" t="n">
        <ns0:v>87</ns0:v>
      </ns0:c>
      <ns0:c r="F118" s="1">
        <ns0:f>+E118-M118</ns0:f>
        <ns0:v/>
      </ns0:c>
      <ns0:c r="G118" s="1" t="n">
        <ns0:v>0</ns0:v>
      </ns0:c>
      <ns0:c r="H118" s="1" t="n">
        <ns0:v>0</ns0:v>
      </ns0:c>
      <ns0:c r="I118" s="1" t="n">
        <ns0:v>0</ns0:v>
      </ns0:c>
      <ns0:c r="J118" s="1" t="n">
        <ns0:v>0</ns0:v>
      </ns0:c>
      <ns0:c r="K118" s="1" t="n">
        <ns0:v>4</ns0:v>
      </ns0:c>
      <ns0:c r="L118" s="1" t="n">
        <ns0:v>9</ns0:v>
      </ns0:c>
      <ns0:c r="M118" s="1">
        <ns0:f>SUM(G118:L118)</ns0:f>
        <ns0:v/>
      </ns0:c>
      <ns0:c r="N118" s="1">
        <ns0:f>M118/E118</ns0:f>
        <ns0:v/>
      </ns0:c>
      <ns0:c r="Q118" s="1">
        <ns0:f>+O118+P118</ns0:f>
        <ns0:v/>
      </ns0:c>
      <ns0:c r="R118" s="1">
        <ns0:f>+Q118/E118</ns0:f>
        <ns0:v/>
      </ns0:c>
    </ns0:row>
    <ns0:row r="119" ht="30.5" customHeight="1">
      <ns0:c r="G119" s="1">
        <ns0:f>+G118/M118</ns0:f>
        <ns0:v/>
      </ns0:c>
      <ns0:c r="H119" s="1">
        <ns0:f>+H118/M118</ns0:f>
        <ns0:v/>
      </ns0:c>
      <ns0:c r="I119" s="1">
        <ns0:f>+I118/M118</ns0:f>
        <ns0:v/>
      </ns0:c>
      <ns0:c r="J119" s="1">
        <ns0:f>+J118/M118</ns0:f>
        <ns0:v/>
      </ns0:c>
      <ns0:c r="K119" s="1">
        <ns0:f>+K118/M118</ns0:f>
        <ns0:v/>
      </ns0:c>
      <ns0:c r="L119" s="1">
        <ns0:f>+L118/M118</ns0:f>
        <ns0:v/>
      </ns0:c>
      <ns0:c r="O119" s="1">
        <ns0:f>+O118/Q118</ns0:f>
        <ns0:v/>
      </ns0:c>
      <ns0:c r="P119" s="1">
        <ns0:f>+P118/Q118</ns0:f>
        <ns0:v/>
      </ns0:c>
    </ns0:row>
    <ns0:row r="120" ht="26.75" customHeight="1">
      <ns0:c r="B120" s="2" t="n">
        <ns0:v>45462</ns0:v>
      </ns0:c>
      <ns0:c r="C120" s="1" t="inlineStr">
        <ns0:is>
          <ns0:t>VP IR 240523059-00003
Date 18.6.2024</ns0:t>
        </ns0:is>
      </ns0:c>
      <ns0:c r="D120" s="1" t="inlineStr">
        <ns0:is>
          <ns0:t>NO 13 - 2H</ns0:t>
        </ns0:is>
      </ns0:c>
      <ns0:c r="E120" s="1" t="n">
        <ns0:v>300</ns0:v>
      </ns0:c>
      <ns0:c r="F120" s="1">
        <ns0:f>+E120-M120</ns0:f>
        <ns0:v/>
      </ns0:c>
      <ns0:c r="G120" s="1" t="n">
        <ns0:v>0</ns0:v>
      </ns0:c>
      <ns0:c r="H120" s="1" t="n">
        <ns0:v>0</ns0:v>
      </ns0:c>
      <ns0:c r="I120" s="1" t="n">
        <ns0:v>0</ns0:v>
      </ns0:c>
      <ns0:c r="J120" s="1" t="n">
        <ns0:v>0</ns0:v>
      </ns0:c>
      <ns0:c r="K120" s="1" t="n">
        <ns0:v>13</ns0:v>
      </ns0:c>
      <ns0:c r="L120" s="1" t="n">
        <ns0:v>31</ns0:v>
      </ns0:c>
      <ns0:c r="M120" s="1">
        <ns0:f>SUM(G120:L120)</ns0:f>
        <ns0:v/>
      </ns0:c>
      <ns0:c r="N120" s="1">
        <ns0:f>M120/E120</ns0:f>
        <ns0:v/>
      </ns0:c>
      <ns0:c r="Q120" s="1">
        <ns0:f>+O120+P120</ns0:f>
        <ns0:v/>
      </ns0:c>
      <ns0:c r="R120" s="1">
        <ns0:f>+Q120/E120</ns0:f>
        <ns0:v/>
      </ns0:c>
    </ns0:row>
    <ns0:row r="121" ht="26.75" customHeight="1">
      <ns0:c r="G121" s="1">
        <ns0:f>+G120/M120</ns0:f>
        <ns0:v/>
      </ns0:c>
      <ns0:c r="H121" s="1">
        <ns0:f>+H120/M120</ns0:f>
        <ns0:v/>
      </ns0:c>
      <ns0:c r="I121" s="1">
        <ns0:f>+I120/M120</ns0:f>
        <ns0:v/>
      </ns0:c>
      <ns0:c r="J121" s="1">
        <ns0:f>+J120/M120</ns0:f>
        <ns0:v/>
      </ns0:c>
      <ns0:c r="K121" s="1">
        <ns0:f>+K120/M120</ns0:f>
        <ns0:v/>
      </ns0:c>
      <ns0:c r="L121" s="1">
        <ns0:f>+L120/M120</ns0:f>
        <ns0:v/>
      </ns0:c>
      <ns0:c r="O121" s="1">
        <ns0:f>+O120/Q120</ns0:f>
        <ns0:v/>
      </ns0:c>
      <ns0:c r="P121" s="1">
        <ns0:f>+P120/Q120</ns0:f>
        <ns0:v/>
      </ns0:c>
    </ns0:row>
    <ns0:row r="122" ht="26.75" customHeight="1">
      <ns0:c r="D122" s="1" t="inlineStr">
        <ns0:is>
          <ns0:t>NO 13 - 4H</ns0:t>
        </ns0:is>
      </ns0:c>
      <ns0:c r="E122" s="1" t="n">
        <ns0:v>300</ns0:v>
      </ns0:c>
      <ns0:c r="F122" s="1">
        <ns0:f>+E122-M122</ns0:f>
        <ns0:v/>
      </ns0:c>
      <ns0:c r="G122" s="1" t="n">
        <ns0:v>0</ns0:v>
      </ns0:c>
      <ns0:c r="H122" s="1" t="n">
        <ns0:v>0</ns0:v>
      </ns0:c>
      <ns0:c r="I122" s="1" t="n">
        <ns0:v>0</ns0:v>
      </ns0:c>
      <ns0:c r="J122" s="1" t="n">
        <ns0:v>0</ns0:v>
      </ns0:c>
      <ns0:c r="K122" s="1" t="n">
        <ns0:v>8</ns0:v>
      </ns0:c>
      <ns0:c r="L122" s="1" t="n">
        <ns0:v>47</ns0:v>
      </ns0:c>
      <ns0:c r="M122" s="1">
        <ns0:f>SUM(G122:L122)</ns0:f>
        <ns0:v/>
      </ns0:c>
      <ns0:c r="N122" s="1">
        <ns0:f>M122/E122</ns0:f>
        <ns0:v/>
      </ns0:c>
      <ns0:c r="Q122" s="1">
        <ns0:f>+O122+P122</ns0:f>
        <ns0:v/>
      </ns0:c>
      <ns0:c r="R122" s="1">
        <ns0:f>+Q122/E122</ns0:f>
        <ns0:v/>
      </ns0:c>
    </ns0:row>
    <ns0:row r="123" ht="26.75" customHeight="1">
      <ns0:c r="G123" s="1">
        <ns0:f>+G122/M122</ns0:f>
        <ns0:v/>
      </ns0:c>
      <ns0:c r="H123" s="1">
        <ns0:f>+H122/M122</ns0:f>
        <ns0:v/>
      </ns0:c>
      <ns0:c r="I123" s="1">
        <ns0:f>+I122/M122</ns0:f>
        <ns0:v/>
      </ns0:c>
      <ns0:c r="J123" s="1">
        <ns0:f>+J122/M122</ns0:f>
        <ns0:v/>
      </ns0:c>
      <ns0:c r="K123" s="1">
        <ns0:f>+K122/M122</ns0:f>
        <ns0:v/>
      </ns0:c>
      <ns0:c r="L123" s="1">
        <ns0:f>+L122/M122</ns0:f>
        <ns0:v/>
      </ns0:c>
      <ns0:c r="O123" s="1">
        <ns0:f>+O122/Q122</ns0:f>
        <ns0:v/>
      </ns0:c>
      <ns0:c r="P123" s="1">
        <ns0:f>+P122/Q122</ns0:f>
        <ns0:v/>
      </ns0:c>
    </ns0:row>
    <ns0:row r="124" ht="26.75" customHeight="1">
      <ns0:c r="D124" s="1" t="inlineStr">
        <ns0:is>
          <ns0:t>NO 14 - 2H</ns0:t>
        </ns0:is>
      </ns0:c>
      <ns0:c r="E124" s="1" t="n">
        <ns0:v>300</ns0:v>
      </ns0:c>
      <ns0:c r="F124" s="1">
        <ns0:f>+E124-M124</ns0:f>
        <ns0:v/>
      </ns0:c>
      <ns0:c r="G124" s="1" t="n">
        <ns0:v>0</ns0:v>
      </ns0:c>
      <ns0:c r="H124" s="1" t="n">
        <ns0:v>0</ns0:v>
      </ns0:c>
      <ns0:c r="I124" s="1" t="n">
        <ns0:v>0</ns0:v>
      </ns0:c>
      <ns0:c r="J124" s="1" t="n">
        <ns0:v>0</ns0:v>
      </ns0:c>
      <ns0:c r="K124" s="1" t="n">
        <ns0:v>7</ns0:v>
      </ns0:c>
      <ns0:c r="L124" s="1" t="n">
        <ns0:v>33</ns0:v>
      </ns0:c>
      <ns0:c r="M124" s="1">
        <ns0:f>SUM(G124:L124)</ns0:f>
        <ns0:v/>
      </ns0:c>
      <ns0:c r="N124" s="1">
        <ns0:f>M124/E124</ns0:f>
        <ns0:v/>
      </ns0:c>
      <ns0:c r="Q124" s="1">
        <ns0:f>+O124+P124</ns0:f>
        <ns0:v/>
      </ns0:c>
      <ns0:c r="R124" s="1">
        <ns0:f>+Q124/E124</ns0:f>
        <ns0:v/>
      </ns0:c>
    </ns0:row>
    <ns0:row r="125" ht="26.75" customHeight="1">
      <ns0:c r="G125" s="1">
        <ns0:f>+G124/M124</ns0:f>
        <ns0:v/>
      </ns0:c>
      <ns0:c r="H125" s="1">
        <ns0:f>+H124/M124</ns0:f>
        <ns0:v/>
      </ns0:c>
      <ns0:c r="I125" s="1">
        <ns0:f>+I124/M124</ns0:f>
        <ns0:v/>
      </ns0:c>
      <ns0:c r="J125" s="1">
        <ns0:f>+J124/M124</ns0:f>
        <ns0:v/>
      </ns0:c>
      <ns0:c r="K125" s="1">
        <ns0:f>+K124/M124</ns0:f>
        <ns0:v/>
      </ns0:c>
      <ns0:c r="L125" s="1">
        <ns0:f>+L124/M124</ns0:f>
        <ns0:v/>
      </ns0:c>
      <ns0:c r="O125" s="1">
        <ns0:f>+O124/Q124</ns0:f>
        <ns0:v/>
      </ns0:c>
      <ns0:c r="P125" s="1">
        <ns0:f>+P124/Q124</ns0:f>
        <ns0:v/>
      </ns0:c>
    </ns0:row>
    <ns0:row r="126" ht="26.75" customHeight="1">
      <ns0:c r="D126" s="1" t="inlineStr">
        <ns0:is>
          <ns0:t>NO 14 - 4H</ns0:t>
        </ns0:is>
      </ns0:c>
      <ns0:c r="E126" s="1" t="n">
        <ns0:v>298</ns0:v>
      </ns0:c>
      <ns0:c r="F126" s="1">
        <ns0:f>+E126-M126</ns0:f>
        <ns0:v/>
      </ns0:c>
      <ns0:c r="G126" s="1" t="n">
        <ns0:v>0</ns0:v>
      </ns0:c>
      <ns0:c r="H126" s="1" t="n">
        <ns0:v>0</ns0:v>
      </ns0:c>
      <ns0:c r="I126" s="1" t="n">
        <ns0:v>0</ns0:v>
      </ns0:c>
      <ns0:c r="J126" s="1" t="n">
        <ns0:v>0</ns0:v>
      </ns0:c>
      <ns0:c r="K126" s="1" t="n">
        <ns0:v>11</ns0:v>
      </ns0:c>
      <ns0:c r="L126" s="1" t="n">
        <ns0:v>59</ns0:v>
      </ns0:c>
      <ns0:c r="M126" s="1">
        <ns0:f>SUM(G126:L126)</ns0:f>
        <ns0:v/>
      </ns0:c>
      <ns0:c r="N126" s="1">
        <ns0:f>M126/E126</ns0:f>
        <ns0:v/>
      </ns0:c>
      <ns0:c r="Q126" s="1">
        <ns0:f>+O126+P126</ns0:f>
        <ns0:v/>
      </ns0:c>
      <ns0:c r="R126" s="1">
        <ns0:f>+Q126/E126</ns0:f>
        <ns0:v/>
      </ns0:c>
    </ns0:row>
    <ns0:row r="127" ht="26.75" customHeight="1">
      <ns0:c r="G127" s="1">
        <ns0:f>+G126/M126</ns0:f>
        <ns0:v/>
      </ns0:c>
      <ns0:c r="H127" s="1">
        <ns0:f>+H126/M126</ns0:f>
        <ns0:v/>
      </ns0:c>
      <ns0:c r="I127" s="1">
        <ns0:f>+I126/M126</ns0:f>
        <ns0:v/>
      </ns0:c>
      <ns0:c r="J127" s="1">
        <ns0:f>+J126/M126</ns0:f>
        <ns0:v/>
      </ns0:c>
      <ns0:c r="K127" s="1">
        <ns0:f>+K126/M126</ns0:f>
        <ns0:v/>
      </ns0:c>
      <ns0:c r="L127" s="1">
        <ns0:f>+L126/M126</ns0:f>
        <ns0:v/>
      </ns0:c>
      <ns0:c r="O127" s="1">
        <ns0:f>+O126/Q126</ns0:f>
        <ns0:v/>
      </ns0:c>
      <ns0:c r="P127" s="1">
        <ns0:f>+P126/Q126</ns0:f>
        <ns0:v/>
      </ns0:c>
    </ns0:row>
    <ns0:row r="128" ht="26.75" customHeight="1">
      <ns0:c r="C128" s="1" t="inlineStr">
        <ns0:is>
          <ns0:t>Material YK , MG-C and PT</ns0:t>
        </ns0:is>
      </ns0:c>
      <ns0:c r="D128" s="1" t="inlineStr">
        <ns0:is>
          <ns0:t>Yoke Stock</ns0:t>
        </ns0:is>
      </ns0:c>
      <ns0:c r="E128" s="1" t="n">
        <ns0:v>200</ns0:v>
      </ns0:c>
      <ns0:c r="F128" s="1">
        <ns0:f>+E128-M128</ns0:f>
        <ns0:v/>
      </ns0:c>
      <ns0:c r="G128" s="1" t="n">
        <ns0:v>0</ns0:v>
      </ns0:c>
      <ns0:c r="H128" s="1" t="n">
        <ns0:v>0</ns0:v>
      </ns0:c>
      <ns0:c r="I128" s="1" t="n">
        <ns0:v>0</ns0:v>
      </ns0:c>
      <ns0:c r="J128" s="1" t="n">
        <ns0:v>0</ns0:v>
      </ns0:c>
      <ns0:c r="K128" s="1" t="n">
        <ns0:v>6</ns0:v>
      </ns0:c>
      <ns0:c r="L128" s="1" t="n">
        <ns0:v>38</ns0:v>
      </ns0:c>
      <ns0:c r="M128" s="1">
        <ns0:f>SUM(G128:L128)</ns0:f>
        <ns0:v/>
      </ns0:c>
      <ns0:c r="N128" s="1">
        <ns0:f>M128/E128</ns0:f>
        <ns0:v/>
      </ns0:c>
      <ns0:c r="Q128" s="1">
        <ns0:f>+O128+P128</ns0:f>
        <ns0:v/>
      </ns0:c>
      <ns0:c r="R128" s="1">
        <ns0:f>+Q128/E128</ns0:f>
        <ns0:v/>
      </ns0:c>
    </ns0:row>
    <ns0:row r="129" ht="26.75" customHeight="1">
      <ns0:c r="G129" s="1">
        <ns0:f>+G128/M128</ns0:f>
        <ns0:v/>
      </ns0:c>
      <ns0:c r="H129" s="1">
        <ns0:f>+H128/M128</ns0:f>
        <ns0:v/>
      </ns0:c>
      <ns0:c r="I129" s="1">
        <ns0:f>+I128/M128</ns0:f>
        <ns0:v/>
      </ns0:c>
      <ns0:c r="J129" s="1">
        <ns0:f>+J128/M128</ns0:f>
        <ns0:v/>
      </ns0:c>
      <ns0:c r="K129" s="1">
        <ns0:f>+K128/M128</ns0:f>
        <ns0:v/>
      </ns0:c>
      <ns0:c r="L129" s="1">
        <ns0:f>+L128/M128</ns0:f>
        <ns0:v/>
      </ns0:c>
      <ns0:c r="O129" s="1">
        <ns0:f>+O128/Q128</ns0:f>
        <ns0:v/>
      </ns0:c>
      <ns0:c r="P129" s="1">
        <ns0:f>+P128/Q128</ns0:f>
        <ns0:v/>
      </ns0:c>
    </ns0:row>
    <ns0:row r="130" ht="26.75" customHeight="1">
      <ns0:c r="C130" s="1" t="inlineStr">
        <ns0:is>
          <ns0:t>Frame + VP bonding outside</ns0:t>
        </ns0:is>
      </ns0:c>
      <ns0:c r="D130" s="1" t="inlineStr">
        <ns0:is>
          <ns0:t>Straight bonding speed 40 =&gt; 45
Corner bonding speed 30 =&gt;25
Bond amount 4.92 -5.04 mg</ns0:t>
        </ns0:is>
      </ns0:c>
      <ns0:c r="E130" s="1" t="n">
        <ns0:v>270</ns0:v>
      </ns0:c>
      <ns0:c r="F130" s="1">
        <ns0:f>+E130-M130</ns0:f>
        <ns0:v/>
      </ns0:c>
      <ns0:c r="G130" s="1" t="n">
        <ns0:v>0</ns0:v>
      </ns0:c>
      <ns0:c r="H130" s="1" t="n">
        <ns0:v>0</ns0:v>
      </ns0:c>
      <ns0:c r="I130" s="1" t="n">
        <ns0:v>0</ns0:v>
      </ns0:c>
      <ns0:c r="J130" s="1" t="n">
        <ns0:v>0</ns0:v>
      </ns0:c>
      <ns0:c r="K130" s="1" t="n">
        <ns0:v>7</ns0:v>
      </ns0:c>
      <ns0:c r="L130" s="1" t="n">
        <ns0:v>15</ns0:v>
      </ns0:c>
      <ns0:c r="M130" s="1">
        <ns0:f>SUM(G130:L130)</ns0:f>
        <ns0:v/>
      </ns0:c>
      <ns0:c r="N130" s="1">
        <ns0:f>M130/E130</ns0:f>
        <ns0:v/>
      </ns0:c>
      <ns0:c r="Q130" s="1">
        <ns0:f>+O130+P130</ns0:f>
        <ns0:v/>
      </ns0:c>
      <ns0:c r="R130" s="1">
        <ns0:f>+Q130/E130</ns0:f>
        <ns0:v/>
      </ns0:c>
    </ns0:row>
    <ns0:row r="131" ht="26.75" customHeight="1">
      <ns0:c r="G131" s="1">
        <ns0:f>+G130/M130</ns0:f>
        <ns0:v/>
      </ns0:c>
      <ns0:c r="H131" s="1">
        <ns0:f>+H130/M130</ns0:f>
        <ns0:v/>
      </ns0:c>
      <ns0:c r="I131" s="1">
        <ns0:f>+I130/M130</ns0:f>
        <ns0:v/>
      </ns0:c>
      <ns0:c r="J131" s="1">
        <ns0:f>+J130/M130</ns0:f>
        <ns0:v/>
      </ns0:c>
      <ns0:c r="K131" s="1">
        <ns0:f>+K130/M130</ns0:f>
        <ns0:v/>
      </ns0:c>
      <ns0:c r="L131" s="1">
        <ns0:f>+L130/M130</ns0:f>
        <ns0:v/>
      </ns0:c>
      <ns0:c r="O131" s="1">
        <ns0:f>+O130/Q130</ns0:f>
        <ns0:v/>
      </ns0:c>
      <ns0:c r="P131" s="1">
        <ns0:f>+P130/Q130</ns0:f>
        <ns0:v/>
      </ns0:c>
    </ns0:row>
    <ns0:row r="132" ht="26.75" customHeight="1">
      <ns0:c r="B132" s="2" t="n">
        <ns0:v>45463</ns0:v>
      </ns0:c>
      <ns0:c r="C132" s="1" t="inlineStr">
        <ns0:is>
          <ns0:t>VP IR 240523059-00003
Date 19.6.2024</ns0:t>
        </ns0:is>
      </ns0:c>
      <ns0:c r="D132" s="1" t="inlineStr">
        <ns0:is>
          <ns0:t xml:space="preserve">NO 13 - 2H </ns0:t>
        </ns0:is>
      </ns0:c>
      <ns0:c r="E132" s="1" t="n">
        <ns0:v>378</ns0:v>
      </ns0:c>
      <ns0:c r="F132" s="1">
        <ns0:f>+E132-M132</ns0:f>
        <ns0:v/>
      </ns0:c>
      <ns0:c r="G132" s="1" t="n">
        <ns0:v>0</ns0:v>
      </ns0:c>
      <ns0:c r="H132" s="1" t="n">
        <ns0:v>1</ns0:v>
      </ns0:c>
      <ns0:c r="I132" s="1" t="n">
        <ns0:v>1</ns0:v>
      </ns0:c>
      <ns0:c r="J132" s="1" t="n">
        <ns0:v>0</ns0:v>
      </ns0:c>
      <ns0:c r="K132" s="1" t="n">
        <ns0:v>17</ns0:v>
      </ns0:c>
      <ns0:c r="L132" s="1" t="n">
        <ns0:v>77</ns0:v>
      </ns0:c>
      <ns0:c r="M132" s="1">
        <ns0:f>SUM(G132:L132)</ns0:f>
        <ns0:v/>
      </ns0:c>
      <ns0:c r="N132" s="1">
        <ns0:f>M132/E132</ns0:f>
        <ns0:v/>
      </ns0:c>
      <ns0:c r="O132" s="1" t="n">
        <ns0:v>23</ns0:v>
      </ns0:c>
      <ns0:c r="P132" s="1" t="n">
        <ns0:v>71</ns0:v>
      </ns0:c>
      <ns0:c r="Q132" s="1">
        <ns0:f>+O132+P132</ns0:f>
        <ns0:v/>
      </ns0:c>
      <ns0:c r="R132" s="1">
        <ns0:f>+Q132/E132</ns0:f>
        <ns0:v/>
      </ns0:c>
      <ns0:c r="S132" s="1" t="inlineStr">
        <ns0:is>
          <ns0:t xml:space="preserve"> Hearing voltage up 10%</ns0:t>
        </ns0:is>
      </ns0:c>
    </ns0:row>
    <ns0:row r="133" ht="26.75" customHeight="1">
      <ns0:c r="G133" s="1">
        <ns0:f>+G132/M132</ns0:f>
        <ns0:v/>
      </ns0:c>
      <ns0:c r="H133" s="1">
        <ns0:f>+H132/M132</ns0:f>
        <ns0:v/>
      </ns0:c>
      <ns0:c r="I133" s="1">
        <ns0:f>+I132/M132</ns0:f>
        <ns0:v/>
      </ns0:c>
      <ns0:c r="J133" s="1">
        <ns0:f>+J132/M132</ns0:f>
        <ns0:v/>
      </ns0:c>
      <ns0:c r="K133" s="1">
        <ns0:f>+K132/M132</ns0:f>
        <ns0:v/>
      </ns0:c>
      <ns0:c r="L133" s="1">
        <ns0:f>+L132/M132</ns0:f>
        <ns0:v/>
      </ns0:c>
      <ns0:c r="O133" s="1">
        <ns0:f>+O132/Q132</ns0:f>
        <ns0:v/>
      </ns0:c>
      <ns0:c r="P133" s="1">
        <ns0:f>+P132/Q132</ns0:f>
        <ns0:v/>
      </ns0:c>
    </ns0:row>
    <ns0:row r="134" ht="26.75" customHeight="1">
      <ns0:c r="D134" s="1" t="inlineStr">
        <ns0:is>
          <ns0:t>NO 13 - 4H</ns0:t>
        </ns0:is>
      </ns0:c>
      <ns0:c r="E134" s="1" t="n">
        <ns0:v>380</ns0:v>
      </ns0:c>
      <ns0:c r="F134" s="1">
        <ns0:f>+E134-M134</ns0:f>
        <ns0:v/>
      </ns0:c>
      <ns0:c r="G134" s="1" t="n">
        <ns0:v>0</ns0:v>
      </ns0:c>
      <ns0:c r="H134" s="1" t="n">
        <ns0:v>0</ns0:v>
      </ns0:c>
      <ns0:c r="I134" s="1" t="n">
        <ns0:v>0</ns0:v>
      </ns0:c>
      <ns0:c r="J134" s="1" t="n">
        <ns0:v>0</ns0:v>
      </ns0:c>
      <ns0:c r="K134" s="1" t="n">
        <ns0:v>13</ns0:v>
      </ns0:c>
      <ns0:c r="L134" s="1" t="n">
        <ns0:v>52</ns0:v>
      </ns0:c>
      <ns0:c r="M134" s="1">
        <ns0:f>SUM(G134:L134)</ns0:f>
        <ns0:v/>
      </ns0:c>
      <ns0:c r="N134" s="1">
        <ns0:f>M134/E134</ns0:f>
        <ns0:v/>
      </ns0:c>
      <ns0:c r="O134" s="1" t="n">
        <ns0:v>2</ns0:v>
      </ns0:c>
      <ns0:c r="P134" s="1" t="n">
        <ns0:v>51</ns0:v>
      </ns0:c>
      <ns0:c r="Q134" s="1">
        <ns0:f>+O134+P134</ns0:f>
        <ns0:v/>
      </ns0:c>
      <ns0:c r="R134" s="1">
        <ns0:f>+Q134/E134</ns0:f>
        <ns0:v/>
      </ns0:c>
      <ns0:c r="S134" s="1" t="inlineStr">
        <ns0:is>
          <ns0:t xml:space="preserve"> Hearing voltage up 10%</ns0:t>
        </ns0:is>
      </ns0:c>
    </ns0:row>
    <ns0:row r="135" ht="26.75" customHeight="1">
      <ns0:c r="G135" s="1">
        <ns0:f>+G134/M134</ns0:f>
        <ns0:v/>
      </ns0:c>
      <ns0:c r="H135" s="1">
        <ns0:f>+H134/M134</ns0:f>
        <ns0:v/>
      </ns0:c>
      <ns0:c r="I135" s="1">
        <ns0:f>+I134/M134</ns0:f>
        <ns0:v/>
      </ns0:c>
      <ns0:c r="J135" s="1">
        <ns0:f>+J134/M134</ns0:f>
        <ns0:v/>
      </ns0:c>
      <ns0:c r="K135" s="1">
        <ns0:f>+K134/M134</ns0:f>
        <ns0:v/>
      </ns0:c>
      <ns0:c r="L135" s="1">
        <ns0:f>+L134/M134</ns0:f>
        <ns0:v/>
      </ns0:c>
      <ns0:c r="O135" s="1">
        <ns0:f>+O134/Q134</ns0:f>
        <ns0:v/>
      </ns0:c>
      <ns0:c r="P135" s="1">
        <ns0:f>+P134/Q134</ns0:f>
        <ns0:v/>
      </ns0:c>
    </ns0:row>
    <ns0:row r="136" ht="26.75" customHeight="1">
      <ns0:c r="D136" s="1" t="inlineStr">
        <ns0:is>
          <ns0:t>NO 14 - 2H</ns0:t>
        </ns0:is>
      </ns0:c>
      <ns0:c r="E136" s="1" t="n">
        <ns0:v>364</ns0:v>
      </ns0:c>
      <ns0:c r="F136" s="1">
        <ns0:f>+E136-M136</ns0:f>
        <ns0:v/>
      </ns0:c>
      <ns0:c r="G136" s="1" t="n">
        <ns0:v>0</ns0:v>
      </ns0:c>
      <ns0:c r="H136" s="1" t="n">
        <ns0:v>0</ns0:v>
      </ns0:c>
      <ns0:c r="I136" s="1" t="n">
        <ns0:v>0</ns0:v>
      </ns0:c>
      <ns0:c r="J136" s="1" t="n">
        <ns0:v>0</ns0:v>
      </ns0:c>
      <ns0:c r="K136" s="1" t="n">
        <ns0:v>20</ns0:v>
      </ns0:c>
      <ns0:c r="L136" s="1" t="n">
        <ns0:v>84</ns0:v>
      </ns0:c>
      <ns0:c r="M136" s="1">
        <ns0:f>SUM(G136:L136)</ns0:f>
        <ns0:v/>
      </ns0:c>
      <ns0:c r="N136" s="1">
        <ns0:f>M136/E136</ns0:f>
        <ns0:v/>
      </ns0:c>
      <ns0:c r="O136" s="1" t="n">
        <ns0:v>3</ns0:v>
      </ns0:c>
      <ns0:c r="P136" s="1" t="n">
        <ns0:v>87</ns0:v>
      </ns0:c>
      <ns0:c r="Q136" s="1">
        <ns0:f>+O136+P136</ns0:f>
        <ns0:v/>
      </ns0:c>
      <ns0:c r="R136" s="1">
        <ns0:f>+Q136/E136</ns0:f>
        <ns0:v/>
      </ns0:c>
      <ns0:c r="S136" s="1" t="inlineStr">
        <ns0:is>
          <ns0:t xml:space="preserve"> Hearing voltage up 10%</ns0:t>
        </ns0:is>
      </ns0:c>
    </ns0:row>
    <ns0:row r="137" ht="26.75" customHeight="1">
      <ns0:c r="G137" s="1">
        <ns0:f>+G136/M136</ns0:f>
        <ns0:v/>
      </ns0:c>
      <ns0:c r="H137" s="1">
        <ns0:f>+H136/M136</ns0:f>
        <ns0:v/>
      </ns0:c>
      <ns0:c r="I137" s="1">
        <ns0:f>+I136/M136</ns0:f>
        <ns0:v/>
      </ns0:c>
      <ns0:c r="J137" s="1">
        <ns0:f>+J136/M136</ns0:f>
        <ns0:v/>
      </ns0:c>
      <ns0:c r="K137" s="1">
        <ns0:f>+K136/M136</ns0:f>
        <ns0:v/>
      </ns0:c>
      <ns0:c r="L137" s="1">
        <ns0:f>+L136/M136</ns0:f>
        <ns0:v/>
      </ns0:c>
      <ns0:c r="O137" s="1">
        <ns0:f>+O136/Q136</ns0:f>
        <ns0:v/>
      </ns0:c>
      <ns0:c r="P137" s="1">
        <ns0:f>+P136/Q136</ns0:f>
        <ns0:v/>
      </ns0:c>
    </ns0:row>
    <ns0:row r="138" ht="26.75" customHeight="1">
      <ns0:c r="D138" s="1" t="inlineStr">
        <ns0:is>
          <ns0:t>NO 14 - 4H</ns0:t>
        </ns0:is>
      </ns0:c>
      <ns0:c r="E138" s="1" t="n">
        <ns0:v>375</ns0:v>
      </ns0:c>
      <ns0:c r="F138" s="1">
        <ns0:f>+E138-M138</ns0:f>
        <ns0:v/>
      </ns0:c>
      <ns0:c r="G138" s="1" t="n">
        <ns0:v>0</ns0:v>
      </ns0:c>
      <ns0:c r="H138" s="1" t="n">
        <ns0:v>0</ns0:v>
      </ns0:c>
      <ns0:c r="I138" s="1" t="n">
        <ns0:v>0</ns0:v>
      </ns0:c>
      <ns0:c r="J138" s="1" t="n">
        <ns0:v>1</ns0:v>
      </ns0:c>
      <ns0:c r="K138" s="1" t="n">
        <ns0:v>90</ns0:v>
      </ns0:c>
      <ns0:c r="L138" s="1" t="n">
        <ns0:v>28</ns0:v>
      </ns0:c>
      <ns0:c r="M138" s="1">
        <ns0:f>SUM(G138:L138)</ns0:f>
        <ns0:v/>
      </ns0:c>
      <ns0:c r="N138" s="1">
        <ns0:f>M138/E138</ns0:f>
        <ns0:v/>
      </ns0:c>
      <ns0:c r="O138" s="1" t="n">
        <ns0:v>16</ns0:v>
      </ns0:c>
      <ns0:c r="P138" s="1" t="n">
        <ns0:v>81</ns0:v>
      </ns0:c>
      <ns0:c r="Q138" s="1">
        <ns0:f>+O138+P138</ns0:f>
        <ns0:v/>
      </ns0:c>
      <ns0:c r="R138" s="1">
        <ns0:f>+Q138/E138</ns0:f>
        <ns0:v/>
      </ns0:c>
      <ns0:c r="S138" s="1" t="inlineStr">
        <ns0:is>
          <ns0:t xml:space="preserve"> Hearing voltage up 10%</ns0:t>
        </ns0:is>
      </ns0:c>
    </ns0:row>
    <ns0:row r="139" ht="26.75" customHeight="1">
      <ns0:c r="G139" s="1">
        <ns0:f>+G138/M138</ns0:f>
        <ns0:v/>
      </ns0:c>
      <ns0:c r="H139" s="1">
        <ns0:f>+H138/M138</ns0:f>
        <ns0:v/>
      </ns0:c>
      <ns0:c r="I139" s="1">
        <ns0:f>+I138/M138</ns0:f>
        <ns0:v/>
      </ns0:c>
      <ns0:c r="J139" s="1">
        <ns0:f>+J138/M138</ns0:f>
        <ns0:v/>
      </ns0:c>
      <ns0:c r="K139" s="1">
        <ns0:f>+K138/M138</ns0:f>
        <ns0:v/>
      </ns0:c>
      <ns0:c r="L139" s="1">
        <ns0:f>+L138/M138</ns0:f>
        <ns0:v/>
      </ns0:c>
      <ns0:c r="O139" s="1">
        <ns0:f>+O138/Q138</ns0:f>
        <ns0:v/>
      </ns0:c>
      <ns0:c r="P139" s="1">
        <ns0:f>+P138/Q138</ns0:f>
        <ns0:v/>
      </ns0:c>
    </ns0:row>
    <ns0:row r="140" ht="26.75" customHeight="1">
      <ns0:c r="C140" s="1" t="inlineStr">
        <ns0:is>
          <ns0:t>VP + AWF Machine</ns0:t>
        </ns0:is>
      </ns0:c>
      <ns0:c r="D140" s="1" t="inlineStr">
        <ns0:is>
          <ns0:t>NO 13 - 2H  + AWF#1</ns0:t>
        </ns0:is>
      </ns0:c>
      <ns0:c r="E140" s="1" t="n">
        <ns0:v>99</ns0:v>
      </ns0:c>
      <ns0:c r="F140" s="1">
        <ns0:f>+E140-M140</ns0:f>
        <ns0:v/>
      </ns0:c>
      <ns0:c r="G140" s="1" t="n">
        <ns0:v>0</ns0:v>
      </ns0:c>
      <ns0:c r="H140" s="1" t="n">
        <ns0:v>0</ns0:v>
      </ns0:c>
      <ns0:c r="I140" s="1" t="n">
        <ns0:v>0</ns0:v>
      </ns0:c>
      <ns0:c r="J140" s="1" t="n">
        <ns0:v>0</ns0:v>
      </ns0:c>
      <ns0:c r="K140" s="1" t="n">
        <ns0:v>0</ns0:v>
      </ns0:c>
      <ns0:c r="L140" s="1" t="n">
        <ns0:v>32</ns0:v>
      </ns0:c>
      <ns0:c r="M140" s="1">
        <ns0:f>SUM(G140:L140)</ns0:f>
        <ns0:v/>
      </ns0:c>
      <ns0:c r="N140" s="1">
        <ns0:f>M140/E140</ns0:f>
        <ns0:v/>
      </ns0:c>
      <ns0:c r="O140" s="1" t="n">
        <ns0:v>2</ns0:v>
      </ns0:c>
      <ns0:c r="P140" s="1" t="n">
        <ns0:v>28</ns0:v>
      </ns0:c>
      <ns0:c r="Q140" s="1">
        <ns0:f>+O140+P140</ns0:f>
        <ns0:v/>
      </ns0:c>
      <ns0:c r="R140" s="1">
        <ns0:f>+Q140/E140</ns0:f>
        <ns0:v/>
      </ns0:c>
      <ns0:c r="S140" s="1" t="inlineStr">
        <ns0:is>
          <ns0:t xml:space="preserve"> Hearing voltage up 10%</ns0:t>
        </ns0:is>
      </ns0:c>
    </ns0:row>
    <ns0:row r="141" ht="26.75" customHeight="1">
      <ns0:c r="G141" s="1">
        <ns0:f>+G140/M140</ns0:f>
        <ns0:v/>
      </ns0:c>
      <ns0:c r="H141" s="1">
        <ns0:f>+H140/M140</ns0:f>
        <ns0:v/>
      </ns0:c>
      <ns0:c r="I141" s="1">
        <ns0:f>+I140/M140</ns0:f>
        <ns0:v/>
      </ns0:c>
      <ns0:c r="J141" s="1">
        <ns0:f>+J140/M140</ns0:f>
        <ns0:v/>
      </ns0:c>
      <ns0:c r="K141" s="1">
        <ns0:f>+K140/M140</ns0:f>
        <ns0:v/>
      </ns0:c>
      <ns0:c r="L141" s="1">
        <ns0:f>+L140/M140</ns0:f>
        <ns0:v/>
      </ns0:c>
      <ns0:c r="O141" s="1">
        <ns0:f>+O140/Q140</ns0:f>
        <ns0:v/>
      </ns0:c>
      <ns0:c r="P141" s="1">
        <ns0:f>+P140/Q140</ns0:f>
        <ns0:v/>
      </ns0:c>
    </ns0:row>
    <ns0:row r="142" ht="26.75" customHeight="1">
      <ns0:c r="D142" s="1" t="inlineStr">
        <ns0:is>
          <ns0:t>NO 13 - 4H   + AWF#1</ns0:t>
        </ns0:is>
      </ns0:c>
      <ns0:c r="E142" s="1" t="n">
        <ns0:v>98</ns0:v>
      </ns0:c>
      <ns0:c r="F142" s="1">
        <ns0:f>+E142-M142</ns0:f>
        <ns0:v/>
      </ns0:c>
      <ns0:c r="G142" s="1" t="n">
        <ns0:v>0</ns0:v>
      </ns0:c>
      <ns0:c r="H142" s="1" t="n">
        <ns0:v>0</ns0:v>
      </ns0:c>
      <ns0:c r="I142" s="1" t="n">
        <ns0:v>0</ns0:v>
      </ns0:c>
      <ns0:c r="J142" s="1" t="n">
        <ns0:v>0</ns0:v>
      </ns0:c>
      <ns0:c r="K142" s="1" t="n">
        <ns0:v>3</ns0:v>
      </ns0:c>
      <ns0:c r="L142" s="1" t="n">
        <ns0:v>21</ns0:v>
      </ns0:c>
      <ns0:c r="M142" s="1">
        <ns0:f>SUM(G142:L142)</ns0:f>
        <ns0:v/>
      </ns0:c>
      <ns0:c r="N142" s="1">
        <ns0:f>M142/E142</ns0:f>
        <ns0:v/>
      </ns0:c>
      <ns0:c r="O142" s="1" t="n">
        <ns0:v>3</ns0:v>
      </ns0:c>
      <ns0:c r="P142" s="1" t="n">
        <ns0:v>17</ns0:v>
      </ns0:c>
      <ns0:c r="Q142" s="1">
        <ns0:f>+O142+P142</ns0:f>
        <ns0:v/>
      </ns0:c>
      <ns0:c r="R142" s="1">
        <ns0:f>+Q142/E142</ns0:f>
        <ns0:v/>
      </ns0:c>
      <ns0:c r="S142" s="1" t="inlineStr">
        <ns0:is>
          <ns0:t xml:space="preserve"> Hearing voltage up 10%</ns0:t>
        </ns0:is>
      </ns0:c>
    </ns0:row>
    <ns0:row r="143" ht="26.75" customHeight="1">
      <ns0:c r="G143" s="1">
        <ns0:f>+G142/M142</ns0:f>
        <ns0:v/>
      </ns0:c>
      <ns0:c r="H143" s="1">
        <ns0:f>+H142/M142</ns0:f>
        <ns0:v/>
      </ns0:c>
      <ns0:c r="I143" s="1">
        <ns0:f>+I142/M142</ns0:f>
        <ns0:v/>
      </ns0:c>
      <ns0:c r="J143" s="1">
        <ns0:f>+J142/M142</ns0:f>
        <ns0:v/>
      </ns0:c>
      <ns0:c r="K143" s="1">
        <ns0:f>+K142/M142</ns0:f>
        <ns0:v/>
      </ns0:c>
      <ns0:c r="L143" s="1">
        <ns0:f>+L142/M142</ns0:f>
        <ns0:v/>
      </ns0:c>
      <ns0:c r="O143" s="1">
        <ns0:f>+O142/Q142</ns0:f>
        <ns0:v/>
      </ns0:c>
      <ns0:c r="P143" s="1">
        <ns0:f>+P142/Q142</ns0:f>
        <ns0:v/>
      </ns0:c>
    </ns0:row>
    <ns0:row r="144" ht="26.75" customHeight="1">
      <ns0:c r="D144" s="1" t="inlineStr">
        <ns0:is>
          <ns0:t>NO 14 - 2H   + AWF#1</ns0:t>
        </ns0:is>
      </ns0:c>
      <ns0:c r="E144" s="1" t="n">
        <ns0:v>90</ns0:v>
      </ns0:c>
      <ns0:c r="F144" s="1">
        <ns0:f>+E144-M144</ns0:f>
        <ns0:v/>
      </ns0:c>
      <ns0:c r="G144" s="1" t="n">
        <ns0:v>0</ns0:v>
      </ns0:c>
      <ns0:c r="H144" s="1" t="n">
        <ns0:v>1</ns0:v>
      </ns0:c>
      <ns0:c r="I144" s="1" t="n">
        <ns0:v>0</ns0:v>
      </ns0:c>
      <ns0:c r="J144" s="1" t="n">
        <ns0:v>0</ns0:v>
      </ns0:c>
      <ns0:c r="K144" s="1" t="n">
        <ns0:v>4</ns0:v>
      </ns0:c>
      <ns0:c r="L144" s="1" t="n">
        <ns0:v>23</ns0:v>
      </ns0:c>
      <ns0:c r="M144" s="1">
        <ns0:f>SUM(G144:L144)</ns0:f>
        <ns0:v/>
      </ns0:c>
      <ns0:c r="N144" s="1">
        <ns0:f>M144/E144</ns0:f>
        <ns0:v/>
      </ns0:c>
      <ns0:c r="O144" s="1" t="n">
        <ns0:v>4</ns0:v>
      </ns0:c>
      <ns0:c r="P144" s="1" t="n">
        <ns0:v>15</ns0:v>
      </ns0:c>
      <ns0:c r="Q144" s="1">
        <ns0:f>+O144+P144</ns0:f>
        <ns0:v/>
      </ns0:c>
      <ns0:c r="R144" s="1">
        <ns0:f>+Q144/E144</ns0:f>
        <ns0:v/>
      </ns0:c>
      <ns0:c r="S144" s="1" t="inlineStr">
        <ns0:is>
          <ns0:t xml:space="preserve"> Hearing voltage up 10%</ns0:t>
        </ns0:is>
      </ns0:c>
    </ns0:row>
    <ns0:row r="145" ht="26.75" customHeight="1">
      <ns0:c r="G145" s="1">
        <ns0:f>+G144/M144</ns0:f>
        <ns0:v/>
      </ns0:c>
      <ns0:c r="H145" s="1">
        <ns0:f>+H144/M144</ns0:f>
        <ns0:v/>
      </ns0:c>
      <ns0:c r="I145" s="1">
        <ns0:f>+I144/M144</ns0:f>
        <ns0:v/>
      </ns0:c>
      <ns0:c r="J145" s="1">
        <ns0:f>+J144/M144</ns0:f>
        <ns0:v/>
      </ns0:c>
      <ns0:c r="K145" s="1">
        <ns0:f>+K144/M144</ns0:f>
        <ns0:v/>
      </ns0:c>
      <ns0:c r="L145" s="1">
        <ns0:f>+L144/M144</ns0:f>
        <ns0:v/>
      </ns0:c>
      <ns0:c r="O145" s="1">
        <ns0:f>+O144/Q144</ns0:f>
        <ns0:v/>
      </ns0:c>
      <ns0:c r="P145" s="1">
        <ns0:f>+P144/Q144</ns0:f>
        <ns0:v/>
      </ns0:c>
    </ns0:row>
    <ns0:row r="146" ht="26.75" customHeight="1">
      <ns0:c r="D146" s="1" t="inlineStr">
        <ns0:is>
          <ns0:t>NO 14 - 4H   + AWF#1</ns0:t>
        </ns0:is>
      </ns0:c>
      <ns0:c r="E146" s="1" t="n">
        <ns0:v>92</ns0:v>
      </ns0:c>
      <ns0:c r="F146" s="1">
        <ns0:f>+E146-M146</ns0:f>
        <ns0:v/>
      </ns0:c>
      <ns0:c r="G146" s="1" t="n">
        <ns0:v>0</ns0:v>
      </ns0:c>
      <ns0:c r="H146" s="1" t="n">
        <ns0:v>0</ns0:v>
      </ns0:c>
      <ns0:c r="I146" s="1" t="n">
        <ns0:v>0</ns0:v>
      </ns0:c>
      <ns0:c r="J146" s="1" t="n">
        <ns0:v>0</ns0:v>
      </ns0:c>
      <ns0:c r="K146" s="1" t="n">
        <ns0:v>0</ns0:v>
      </ns0:c>
      <ns0:c r="L146" s="1" t="n">
        <ns0:v>11</ns0:v>
      </ns0:c>
      <ns0:c r="M146" s="1">
        <ns0:f>SUM(G146:L146)</ns0:f>
        <ns0:v/>
      </ns0:c>
      <ns0:c r="N146" s="1">
        <ns0:f>M146/E146</ns0:f>
        <ns0:v/>
      </ns0:c>
      <ns0:c r="O146" s="1" t="n">
        <ns0:v>4</ns0:v>
      </ns0:c>
      <ns0:c r="P146" s="1" t="n">
        <ns0:v>5</ns0:v>
      </ns0:c>
      <ns0:c r="Q146" s="1">
        <ns0:f>+O146+P146</ns0:f>
        <ns0:v/>
      </ns0:c>
      <ns0:c r="R146" s="1">
        <ns0:f>+Q146/E146</ns0:f>
        <ns0:v/>
      </ns0:c>
      <ns0:c r="S146" s="1" t="inlineStr">
        <ns0:is>
          <ns0:t xml:space="preserve"> Hearing voltage up 10%</ns0:t>
        </ns0:is>
      </ns0:c>
    </ns0:row>
    <ns0:row r="147" ht="26.75" customHeight="1">
      <ns0:c r="G147" s="1">
        <ns0:f>+G146/M146</ns0:f>
        <ns0:v/>
      </ns0:c>
      <ns0:c r="H147" s="1">
        <ns0:f>+H146/M146</ns0:f>
        <ns0:v/>
      </ns0:c>
      <ns0:c r="I147" s="1">
        <ns0:f>+I146/M146</ns0:f>
        <ns0:v/>
      </ns0:c>
      <ns0:c r="J147" s="1">
        <ns0:f>+J146/M146</ns0:f>
        <ns0:v/>
      </ns0:c>
      <ns0:c r="K147" s="1">
        <ns0:f>+K146/M146</ns0:f>
        <ns0:v/>
      </ns0:c>
      <ns0:c r="L147" s="1">
        <ns0:f>+L146/M146</ns0:f>
        <ns0:v/>
      </ns0:c>
      <ns0:c r="O147" s="1">
        <ns0:f>+O146/Q146</ns0:f>
        <ns0:v/>
      </ns0:c>
      <ns0:c r="P147" s="1">
        <ns0:f>+P146/Q146</ns0:f>
        <ns0:v/>
      </ns0:c>
    </ns0:row>
    <ns0:row r="148">
      <ns0:c r="C148" s="1" t="inlineStr">
        <ns0:is>
          <ns0:t>VP+CD bonding</ns0:t>
        </ns0:is>
      </ns0:c>
      <ns0:c r="D148" s="1" t="inlineStr">
        <ns0:is>
          <ns0:t>Straight bonding speed 40 =&gt; 43
Corner bonding speed 17 =&gt;19
Bond amount 3,54-3,48 mg</ns0:t>
        </ns0:is>
      </ns0:c>
      <ns0:c r="E148" s="1" t="n">
        <ns0:v>432</ns0:v>
      </ns0:c>
      <ns0:c r="F148" s="1">
        <ns0:f>+E148-M148</ns0:f>
        <ns0:v/>
      </ns0:c>
      <ns0:c r="G148" s="1" t="n">
        <ns0:v>0</ns0:v>
      </ns0:c>
      <ns0:c r="H148" s="1" t="n">
        <ns0:v>0</ns0:v>
      </ns0:c>
      <ns0:c r="I148" s="1" t="n">
        <ns0:v>0</ns0:v>
      </ns0:c>
      <ns0:c r="J148" s="1" t="n">
        <ns0:v>0</ns0:v>
      </ns0:c>
      <ns0:c r="K148" s="1" t="n">
        <ns0:v>8</ns0:v>
      </ns0:c>
      <ns0:c r="L148" s="1" t="n">
        <ns0:v>49</ns0:v>
      </ns0:c>
      <ns0:c r="M148" s="1">
        <ns0:f>SUM(G148:L148)</ns0:f>
        <ns0:v/>
      </ns0:c>
      <ns0:c r="N148" s="1">
        <ns0:f>M148/E148</ns0:f>
        <ns0:v/>
      </ns0:c>
      <ns0:c r="O148" s="1" t="n">
        <ns0:v>6</ns0:v>
      </ns0:c>
      <ns0:c r="P148" s="1" t="n">
        <ns0:v>37</ns0:v>
      </ns0:c>
      <ns0:c r="Q148" s="1">
        <ns0:f>+O148+P148</ns0:f>
        <ns0:v/>
      </ns0:c>
      <ns0:c r="R148" s="1">
        <ns0:f>+Q148/E148</ns0:f>
        <ns0:v/>
      </ns0:c>
      <ns0:c r="S148" s="1" t="inlineStr">
        <ns0:is>
          <ns0:t xml:space="preserve"> Hearing voltage up 10%</ns0:t>
        </ns0:is>
      </ns0:c>
    </ns0:row>
    <ns0:row r="149">
      <ns0:c r="G149" s="1">
        <ns0:f>+G148/M148</ns0:f>
        <ns0:v/>
      </ns0:c>
      <ns0:c r="H149" s="1">
        <ns0:f>+H148/M148</ns0:f>
        <ns0:v/>
      </ns0:c>
      <ns0:c r="I149" s="1">
        <ns0:f>+I148/M148</ns0:f>
        <ns0:v/>
      </ns0:c>
      <ns0:c r="J149" s="1">
        <ns0:f>+J148/M148</ns0:f>
        <ns0:v/>
      </ns0:c>
      <ns0:c r="K149" s="1">
        <ns0:f>+K148/M148</ns0:f>
        <ns0:v/>
      </ns0:c>
      <ns0:c r="L149" s="1">
        <ns0:f>+L148/M148</ns0:f>
        <ns0:v/>
      </ns0:c>
      <ns0:c r="O149" s="1">
        <ns0:f>+O148/Q148</ns0:f>
        <ns0:v/>
      </ns0:c>
      <ns0:c r="P149" s="1">
        <ns0:f>+P148/Q148</ns0:f>
        <ns0:v/>
      </ns0:c>
    </ns0:row>
    <ns0:row r="150" ht="26.75" customHeight="1">
      <ns0:c r="B150" s="2" t="n">
        <ns0:v>45464</ns0:v>
      </ns0:c>
      <ns0:c r="C150" s="1" t="inlineStr">
        <ns0:is>
          <ns0:t>VP + AWF Machine</ns0:t>
        </ns0:is>
      </ns0:c>
      <ns0:c r="D150" s="1" t="inlineStr">
        <ns0:is>
          <ns0:t>NO 13 - 2H  + AWF#1</ns0:t>
        </ns0:is>
      </ns0:c>
      <ns0:c r="E150" s="1" t="n">
        <ns0:v>100</ns0:v>
      </ns0:c>
      <ns0:c r="F150" s="1">
        <ns0:f>+E150-M150</ns0:f>
        <ns0:v/>
      </ns0:c>
      <ns0:c r="G150" s="1" t="n">
        <ns0:v>0</ns0:v>
      </ns0:c>
      <ns0:c r="H150" s="1" t="n">
        <ns0:v>0</ns0:v>
      </ns0:c>
      <ns0:c r="I150" s="1" t="n">
        <ns0:v>0</ns0:v>
      </ns0:c>
      <ns0:c r="J150" s="1" t="n">
        <ns0:v>0</ns0:v>
      </ns0:c>
      <ns0:c r="K150" s="1" t="n">
        <ns0:v>2</ns0:v>
      </ns0:c>
      <ns0:c r="L150" s="1" t="n">
        <ns0:v>8</ns0:v>
      </ns0:c>
      <ns0:c r="M150" s="1">
        <ns0:f>SUM(G150:L150)</ns0:f>
        <ns0:v/>
      </ns0:c>
      <ns0:c r="N150" s="1">
        <ns0:f>M150/E150</ns0:f>
        <ns0:v/>
      </ns0:c>
      <ns0:c r="O150" s="1" t="n">
        <ns0:v>2</ns0:v>
      </ns0:c>
      <ns0:c r="P150" s="1" t="n">
        <ns0:v>2</ns0:v>
      </ns0:c>
      <ns0:c r="Q150" s="1">
        <ns0:f>+O150+P150</ns0:f>
        <ns0:v/>
      </ns0:c>
      <ns0:c r="R150" s="1">
        <ns0:f>+Q150/E150</ns0:f>
        <ns0:v/>
      </ns0:c>
      <ns0:c r="S150" s="1" t="inlineStr">
        <ns0:is>
          <ns0:t xml:space="preserve"> Hearing voltage up 10%</ns0:t>
        </ns0:is>
      </ns0:c>
    </ns0:row>
    <ns0:row r="151" ht="26.75" customHeight="1">
      <ns0:c r="G151" s="1">
        <ns0:f>+G150/M150</ns0:f>
        <ns0:v/>
      </ns0:c>
      <ns0:c r="H151" s="1">
        <ns0:f>+H150/M150</ns0:f>
        <ns0:v/>
      </ns0:c>
      <ns0:c r="I151" s="1">
        <ns0:f>+I150/M150</ns0:f>
        <ns0:v/>
      </ns0:c>
      <ns0:c r="J151" s="1">
        <ns0:f>+J150/M150</ns0:f>
        <ns0:v/>
      </ns0:c>
      <ns0:c r="K151" s="1">
        <ns0:f>+K150/M150</ns0:f>
        <ns0:v/>
      </ns0:c>
      <ns0:c r="L151" s="1">
        <ns0:f>+L150/M150</ns0:f>
        <ns0:v/>
      </ns0:c>
      <ns0:c r="O151" s="1">
        <ns0:f>+O150/Q150</ns0:f>
        <ns0:v/>
      </ns0:c>
      <ns0:c r="P151" s="1">
        <ns0:f>+P150/Q150</ns0:f>
        <ns0:v/>
      </ns0:c>
    </ns0:row>
    <ns0:row r="152" ht="26.75" customHeight="1">
      <ns0:c r="D152" s="1" t="inlineStr">
        <ns0:is>
          <ns0:t>NO 13 - 4H  + AWF#1</ns0:t>
        </ns0:is>
      </ns0:c>
      <ns0:c r="E152" s="1" t="n">
        <ns0:v>99</ns0:v>
      </ns0:c>
      <ns0:c r="F152" s="1">
        <ns0:f>+E152-M152</ns0:f>
        <ns0:v/>
      </ns0:c>
      <ns0:c r="G152" s="1" t="n">
        <ns0:v>0</ns0:v>
      </ns0:c>
      <ns0:c r="H152" s="1" t="n">
        <ns0:v>0</ns0:v>
      </ns0:c>
      <ns0:c r="I152" s="1" t="n">
        <ns0:v>0</ns0:v>
      </ns0:c>
      <ns0:c r="J152" s="1" t="n">
        <ns0:v>0</ns0:v>
      </ns0:c>
      <ns0:c r="K152" s="1" t="n">
        <ns0:v>4</ns0:v>
      </ns0:c>
      <ns0:c r="L152" s="1" t="n">
        <ns0:v>3</ns0:v>
      </ns0:c>
      <ns0:c r="M152" s="1">
        <ns0:f>SUM(G152:L152)</ns0:f>
        <ns0:v/>
      </ns0:c>
      <ns0:c r="N152" s="1">
        <ns0:f>M152/E152</ns0:f>
        <ns0:v/>
      </ns0:c>
      <ns0:c r="O152" s="1" t="n">
        <ns0:v>4</ns0:v>
      </ns0:c>
      <ns0:c r="P152" s="1" t="n">
        <ns0:v>3</ns0:v>
      </ns0:c>
      <ns0:c r="Q152" s="1">
        <ns0:f>+O152+P152</ns0:f>
        <ns0:v/>
      </ns0:c>
      <ns0:c r="R152" s="1">
        <ns0:f>+Q152/E152</ns0:f>
        <ns0:v/>
      </ns0:c>
      <ns0:c r="S152" s="1" t="inlineStr">
        <ns0:is>
          <ns0:t xml:space="preserve"> Hearing voltage up 10%</ns0:t>
        </ns0:is>
      </ns0:c>
    </ns0:row>
    <ns0:row r="153" ht="26.75" customHeight="1">
      <ns0:c r="G153" s="1">
        <ns0:f>+G152/M152</ns0:f>
        <ns0:v/>
      </ns0:c>
      <ns0:c r="H153" s="1">
        <ns0:f>+H152/M152</ns0:f>
        <ns0:v/>
      </ns0:c>
      <ns0:c r="I153" s="1">
        <ns0:f>+I152/M152</ns0:f>
        <ns0:v/>
      </ns0:c>
      <ns0:c r="J153" s="1">
        <ns0:f>+J152/M152</ns0:f>
        <ns0:v/>
      </ns0:c>
      <ns0:c r="K153" s="1">
        <ns0:f>+K152/M152</ns0:f>
        <ns0:v/>
      </ns0:c>
      <ns0:c r="L153" s="1">
        <ns0:f>+L152/M152</ns0:f>
        <ns0:v/>
      </ns0:c>
      <ns0:c r="O153" s="1">
        <ns0:f>+O152/Q152</ns0:f>
        <ns0:v/>
      </ns0:c>
      <ns0:c r="P153" s="1">
        <ns0:f>+P152/Q152</ns0:f>
        <ns0:v/>
      </ns0:c>
    </ns0:row>
    <ns0:row r="154" ht="26.75" customHeight="1">
      <ns0:c r="D154" s="1" t="inlineStr">
        <ns0:is>
          <ns0:t>NO 14 - 2H  + AWF#1</ns0:t>
        </ns0:is>
      </ns0:c>
      <ns0:c r="E154" s="1" t="n">
        <ns0:v>95</ns0:v>
      </ns0:c>
      <ns0:c r="F154" s="1">
        <ns0:f>+E154-M154</ns0:f>
        <ns0:v/>
      </ns0:c>
      <ns0:c r="G154" s="1" t="n">
        <ns0:v>0</ns0:v>
      </ns0:c>
      <ns0:c r="H154" s="1" t="n">
        <ns0:v>0</ns0:v>
      </ns0:c>
      <ns0:c r="I154" s="1" t="n">
        <ns0:v>0</ns0:v>
      </ns0:c>
      <ns0:c r="J154" s="1" t="n">
        <ns0:v>0</ns0:v>
      </ns0:c>
      <ns0:c r="K154" s="1" t="n">
        <ns0:v>1</ns0:v>
      </ns0:c>
      <ns0:c r="L154" s="1" t="n">
        <ns0:v>0</ns0:v>
      </ns0:c>
      <ns0:c r="M154" s="1">
        <ns0:f>SUM(G154:L154)</ns0:f>
        <ns0:v/>
      </ns0:c>
      <ns0:c r="N154" s="1">
        <ns0:f>M154/E154</ns0:f>
        <ns0:v/>
      </ns0:c>
      <ns0:c r="O154" s="1" t="n">
        <ns0:v>1</ns0:v>
      </ns0:c>
      <ns0:c r="P154" s="1" t="n">
        <ns0:v>0</ns0:v>
      </ns0:c>
      <ns0:c r="Q154" s="1">
        <ns0:f>+O154+P154</ns0:f>
        <ns0:v/>
      </ns0:c>
      <ns0:c r="R154" s="1">
        <ns0:f>+Q154/E154</ns0:f>
        <ns0:v/>
      </ns0:c>
      <ns0:c r="S154" s="1" t="inlineStr">
        <ns0:is>
          <ns0:t xml:space="preserve"> Hearing voltage up 10%</ns0:t>
        </ns0:is>
      </ns0:c>
    </ns0:row>
    <ns0:row r="155" ht="26.75" customHeight="1">
      <ns0:c r="G155" s="1">
        <ns0:f>+G154/M154</ns0:f>
        <ns0:v/>
      </ns0:c>
      <ns0:c r="H155" s="1">
        <ns0:f>+H154/M154</ns0:f>
        <ns0:v/>
      </ns0:c>
      <ns0:c r="I155" s="1">
        <ns0:f>+I154/M154</ns0:f>
        <ns0:v/>
      </ns0:c>
      <ns0:c r="J155" s="1">
        <ns0:f>+J154/M154</ns0:f>
        <ns0:v/>
      </ns0:c>
      <ns0:c r="K155" s="1">
        <ns0:f>+K154/M154</ns0:f>
        <ns0:v/>
      </ns0:c>
      <ns0:c r="L155" s="1">
        <ns0:f>+L154/M154</ns0:f>
        <ns0:v/>
      </ns0:c>
      <ns0:c r="O155" s="1">
        <ns0:f>+O154/Q154</ns0:f>
        <ns0:v/>
      </ns0:c>
      <ns0:c r="P155" s="1">
        <ns0:f>+P154/Q154</ns0:f>
        <ns0:v/>
      </ns0:c>
    </ns0:row>
    <ns0:row r="156" ht="26.75" customHeight="1">
      <ns0:c r="D156" s="1" t="inlineStr">
        <ns0:is>
          <ns0:t>NO 14 - 4H  + AWF#1</ns0:t>
        </ns0:is>
      </ns0:c>
      <ns0:c r="E156" s="1" t="n">
        <ns0:v>99</ns0:v>
      </ns0:c>
      <ns0:c r="F156" s="1">
        <ns0:f>+E156-M156</ns0:f>
        <ns0:v/>
      </ns0:c>
      <ns0:c r="G156" s="1" t="n">
        <ns0:v>0</ns0:v>
      </ns0:c>
      <ns0:c r="H156" s="1" t="n">
        <ns0:v>0</ns0:v>
      </ns0:c>
      <ns0:c r="J156" s="1" t="n">
        <ns0:v>0</ns0:v>
      </ns0:c>
      <ns0:c r="K156" s="1" t="n">
        <ns0:v>6</ns0:v>
      </ns0:c>
      <ns0:c r="L156" s="1" t="n">
        <ns0:v>14</ns0:v>
      </ns0:c>
      <ns0:c r="M156" s="1">
        <ns0:f>SUM(G156:L156)</ns0:f>
        <ns0:v/>
      </ns0:c>
      <ns0:c r="N156" s="1">
        <ns0:f>M156/E156</ns0:f>
        <ns0:v/>
      </ns0:c>
      <ns0:c r="O156" s="1" t="n">
        <ns0:v>6</ns0:v>
      </ns0:c>
      <ns0:c r="P156" s="1" t="n">
        <ns0:v>6</ns0:v>
      </ns0:c>
      <ns0:c r="Q156" s="1">
        <ns0:f>+O156+P156</ns0:f>
        <ns0:v/>
      </ns0:c>
      <ns0:c r="R156" s="1">
        <ns0:f>+Q156/E156</ns0:f>
        <ns0:v/>
      </ns0:c>
      <ns0:c r="S156" s="1" t="inlineStr">
        <ns0:is>
          <ns0:t xml:space="preserve"> Hearing voltage up 10%</ns0:t>
        </ns0:is>
      </ns0:c>
    </ns0:row>
    <ns0:row r="157" ht="26.75" customHeight="1">
      <ns0:c r="G157" s="1">
        <ns0:f>+G156/M156</ns0:f>
        <ns0:v/>
      </ns0:c>
      <ns0:c r="H157" s="1">
        <ns0:f>+H156/M156</ns0:f>
        <ns0:v/>
      </ns0:c>
      <ns0:c r="I157" s="1">
        <ns0:f>+I156/M156</ns0:f>
        <ns0:v/>
      </ns0:c>
      <ns0:c r="J157" s="1">
        <ns0:f>+J156/M156</ns0:f>
        <ns0:v/>
      </ns0:c>
      <ns0:c r="K157" s="1">
        <ns0:f>+K156/M156</ns0:f>
        <ns0:v/>
      </ns0:c>
      <ns0:c r="L157" s="1">
        <ns0:f>+L156/M156</ns0:f>
        <ns0:v/>
      </ns0:c>
      <ns0:c r="O157" s="1">
        <ns0:f>+O156/Q156</ns0:f>
        <ns0:v/>
      </ns0:c>
      <ns0:c r="P157" s="1">
        <ns0:f>+P156/Q156</ns0:f>
        <ns0:v/>
      </ns0:c>
    </ns0:row>
    <ns0:row r="158" ht="37.25" customHeight="1">
      <ns0:c r="C158" s="1" t="inlineStr">
        <ns0:is>
          <ns0:t>AWF Machine #2</ns0:t>
        </ns0:is>
      </ns0:c>
      <ns0:c r="D158" s="1" t="inlineStr">
        <ns0:is>
          <ns0:t>Increase Temperature 460 tension 88</ns0:t>
        </ns0:is>
      </ns0:c>
      <ns0:c r="E158" s="1" t="n">
        <ns0:v>142</ns0:v>
      </ns0:c>
      <ns0:c r="F158" s="1">
        <ns0:f>+E158-M158</ns0:f>
        <ns0:v/>
      </ns0:c>
      <ns0:c r="G158" s="1" t="n">
        <ns0:v>0</ns0:v>
      </ns0:c>
      <ns0:c r="H158" s="1" t="n">
        <ns0:v>0</ns0:v>
      </ns0:c>
      <ns0:c r="I158" s="1" t="n">
        <ns0:v>0</ns0:v>
      </ns0:c>
      <ns0:c r="J158" s="1" t="n">
        <ns0:v>0</ns0:v>
      </ns0:c>
      <ns0:c r="K158" s="1" t="n">
        <ns0:v>3</ns0:v>
      </ns0:c>
      <ns0:c r="L158" s="1" t="n">
        <ns0:v>47</ns0:v>
      </ns0:c>
      <ns0:c r="M158" s="1">
        <ns0:f>SUM(G158:L158)</ns0:f>
        <ns0:v/>
      </ns0:c>
      <ns0:c r="N158" s="1">
        <ns0:f>M158/E158</ns0:f>
        <ns0:v/>
      </ns0:c>
      <ns0:c r="O158" s="1" t="n">
        <ns0:v>3</ns0:v>
      </ns0:c>
      <ns0:c r="P158" s="1" t="n">
        <ns0:v>32</ns0:v>
      </ns0:c>
      <ns0:c r="Q158" s="1">
        <ns0:f>+O158+P158</ns0:f>
        <ns0:v/>
      </ns0:c>
      <ns0:c r="R158" s="1">
        <ns0:f>+Q158/E158</ns0:f>
        <ns0:v/>
      </ns0:c>
      <ns0:c r="S158" s="1" t="inlineStr">
        <ns0:is>
          <ns0:t xml:space="preserve"> Hearing voltage up 10%</ns0:t>
        </ns0:is>
      </ns0:c>
    </ns0:row>
    <ns0:row r="159" ht="37.25" customHeight="1">
      <ns0:c r="G159" s="1">
        <ns0:f>+G158/M158</ns0:f>
        <ns0:v/>
      </ns0:c>
      <ns0:c r="H159" s="1">
        <ns0:f>+H158/M158</ns0:f>
        <ns0:v/>
      </ns0:c>
      <ns0:c r="I159" s="1">
        <ns0:f>+I158/M158</ns0:f>
        <ns0:v/>
      </ns0:c>
      <ns0:c r="J159" s="1">
        <ns0:f>+J158/M158</ns0:f>
        <ns0:v/>
      </ns0:c>
      <ns0:c r="K159" s="1">
        <ns0:f>+K158/M158</ns0:f>
        <ns0:v/>
      </ns0:c>
      <ns0:c r="L159" s="1">
        <ns0:f>+L158/M158</ns0:f>
        <ns0:v/>
      </ns0:c>
      <ns0:c r="O159" s="1">
        <ns0:f>+O158/Q158</ns0:f>
        <ns0:v/>
      </ns0:c>
      <ns0:c r="P159" s="1">
        <ns0:f>+P158/Q158</ns0:f>
        <ns0:v/>
      </ns0:c>
    </ns0:row>
    <ns0:row r="160" ht="37.25" customHeight="1">
      <ns0:c r="D160" s="1" t="inlineStr">
        <ns0:is>
          <ns0:t>Change dimension Coil</ns0:t>
        </ns0:is>
      </ns0:c>
      <ns0:c r="E160" s="1" t="n">
        <ns0:v>291</ns0:v>
      </ns0:c>
      <ns0:c r="F160" s="1">
        <ns0:f>+E160-M160</ns0:f>
        <ns0:v/>
      </ns0:c>
      <ns0:c r="G160" s="1" t="n">
        <ns0:v>0</ns0:v>
      </ns0:c>
      <ns0:c r="H160" s="1" t="n">
        <ns0:v>0</ns0:v>
      </ns0:c>
      <ns0:c r="I160" s="1" t="n">
        <ns0:v>0</ns0:v>
      </ns0:c>
      <ns0:c r="J160" s="1" t="n">
        <ns0:v>0</ns0:v>
      </ns0:c>
      <ns0:c r="K160" s="1" t="n">
        <ns0:v>4</ns0:v>
      </ns0:c>
      <ns0:c r="L160" s="1" t="n">
        <ns0:v>48</ns0:v>
      </ns0:c>
      <ns0:c r="M160" s="1">
        <ns0:f>SUM(G160:L160)</ns0:f>
        <ns0:v/>
      </ns0:c>
      <ns0:c r="N160" s="1">
        <ns0:f>M160/E160</ns0:f>
        <ns0:v/>
      </ns0:c>
      <ns0:c r="O160" s="1" t="n">
        <ns0:v>4</ns0:v>
      </ns0:c>
      <ns0:c r="P160" s="1" t="n">
        <ns0:v>47</ns0:v>
      </ns0:c>
      <ns0:c r="Q160" s="1">
        <ns0:f>+O160+P160</ns0:f>
        <ns0:v/>
      </ns0:c>
      <ns0:c r="R160" s="1">
        <ns0:f>+Q160/E160</ns0:f>
        <ns0:v/>
      </ns0:c>
      <ns0:c r="S160" s="1" t="inlineStr">
        <ns0:is>
          <ns0:t xml:space="preserve"> Hearing voltage up 10%</ns0:t>
        </ns0:is>
      </ns0:c>
    </ns0:row>
    <ns0:row r="161" ht="37.25" customHeight="1">
      <ns0:c r="G161" s="1">
        <ns0:f>+G160/M160</ns0:f>
        <ns0:v/>
      </ns0:c>
      <ns0:c r="H161" s="1">
        <ns0:f>+H160/M160</ns0:f>
        <ns0:v/>
      </ns0:c>
      <ns0:c r="I161" s="1">
        <ns0:f>+I160/M160</ns0:f>
        <ns0:v/>
      </ns0:c>
      <ns0:c r="J161" s="1">
        <ns0:f>+J160/M160</ns0:f>
        <ns0:v/>
      </ns0:c>
      <ns0:c r="K161" s="1">
        <ns0:f>+K160/M160</ns0:f>
        <ns0:v/>
      </ns0:c>
      <ns0:c r="L161" s="1">
        <ns0:f>+L160/M160</ns0:f>
        <ns0:v/>
      </ns0:c>
      <ns0:c r="O161" s="1">
        <ns0:f>+O160/Q160</ns0:f>
        <ns0:v/>
      </ns0:c>
      <ns0:c r="P161" s="1">
        <ns0:f>+P160/Q160</ns0:f>
        <ns0:v/>
      </ns0:c>
    </ns0:row>
    <ns0:row r="162" ht="37.25" customHeight="1">
      <ns0:c r="C162" s="1" t="inlineStr">
        <ns0:is>
          <ns0:t>AWF#1.2.3.4.5</ns0:t>
        </ns0:is>
      </ns0:c>
      <ns0:c r="D162" s="1" t="inlineStr">
        <ns0:is>
          <ns0:t xml:space="preserve">Change new Wire </ns0:t>
        </ns0:is>
      </ns0:c>
      <ns0:c r="E162" s="1" t="n">
        <ns0:v>400</ns0:v>
      </ns0:c>
      <ns0:c r="F162" s="1">
        <ns0:f>+E162-M162</ns0:f>
        <ns0:v/>
      </ns0:c>
      <ns0:c r="G162" s="1" t="n">
        <ns0:v>0</ns0:v>
      </ns0:c>
      <ns0:c r="H162" s="1" t="n">
        <ns0:v>0</ns0:v>
      </ns0:c>
      <ns0:c r="I162" s="1" t="n">
        <ns0:v>0</ns0:v>
      </ns0:c>
      <ns0:c r="J162" s="1" t="n">
        <ns0:v>0</ns0:v>
      </ns0:c>
      <ns0:c r="K162" s="1" t="n">
        <ns0:v>3</ns0:v>
      </ns0:c>
      <ns0:c r="L162" s="1" t="n">
        <ns0:v>34</ns0:v>
      </ns0:c>
      <ns0:c r="M162" s="1">
        <ns0:f>SUM(G162:L162)</ns0:f>
        <ns0:v/>
      </ns0:c>
      <ns0:c r="N162" s="1">
        <ns0:f>M162/E162</ns0:f>
        <ns0:v/>
      </ns0:c>
      <ns0:c r="O162" s="1" t="n">
        <ns0:v>1</ns0:v>
      </ns0:c>
      <ns0:c r="P162" s="1" t="n">
        <ns0:v>11</ns0:v>
      </ns0:c>
      <ns0:c r="Q162" s="1">
        <ns0:f>+O162+P162</ns0:f>
        <ns0:v/>
      </ns0:c>
      <ns0:c r="R162" s="1">
        <ns0:f>+Q162/E162</ns0:f>
        <ns0:v/>
      </ns0:c>
      <ns0:c r="S162" s="1" t="inlineStr">
        <ns0:is>
          <ns0:t xml:space="preserve"> Hearing voltage up 10%</ns0:t>
        </ns0:is>
      </ns0:c>
    </ns0:row>
    <ns0:row r="163" ht="37.25" customHeight="1">
      <ns0:c r="G163" s="1">
        <ns0:f>+G162/M162</ns0:f>
        <ns0:v/>
      </ns0:c>
      <ns0:c r="H163" s="1">
        <ns0:f>+H162/M162</ns0:f>
        <ns0:v/>
      </ns0:c>
      <ns0:c r="I163" s="1">
        <ns0:f>+I162/M162</ns0:f>
        <ns0:v/>
      </ns0:c>
      <ns0:c r="J163" s="1">
        <ns0:f>+J162/M162</ns0:f>
        <ns0:v/>
      </ns0:c>
      <ns0:c r="K163" s="1">
        <ns0:f>+K162/M162</ns0:f>
        <ns0:v/>
      </ns0:c>
      <ns0:c r="L163" s="1">
        <ns0:f>+L162/M162</ns0:f>
        <ns0:v/>
      </ns0:c>
      <ns0:c r="O163" s="1">
        <ns0:f>+O162/Q162</ns0:f>
        <ns0:v/>
      </ns0:c>
      <ns0:c r="P163" s="1">
        <ns0:f>+P162/Q162</ns0:f>
        <ns0:v/>
      </ns0:c>
    </ns0:row>
    <ns0:row r="164" ht="37.25" customHeight="1">
      <ns0:c r="C164" s="1" t="inlineStr">
        <ns0:is>
          <ns0:t>AWF#1</ns0:t>
        </ns0:is>
      </ns0:c>
      <ns0:c r="D164" s="1" t="inlineStr">
        <ns0:is>
          <ns0:t xml:space="preserve">Change new Wire </ns0:t>
        </ns0:is>
      </ns0:c>
      <ns0:c r="E164" s="1" t="n">
        <ns0:v>140</ns0:v>
      </ns0:c>
      <ns0:c r="F164" s="1">
        <ns0:f>+E164-M164</ns0:f>
        <ns0:v/>
      </ns0:c>
      <ns0:c r="G164" s="1" t="n">
        <ns0:v>0</ns0:v>
      </ns0:c>
      <ns0:c r="H164" s="1" t="n">
        <ns0:v>0</ns0:v>
      </ns0:c>
      <ns0:c r="I164" s="1" t="n">
        <ns0:v>0</ns0:v>
      </ns0:c>
      <ns0:c r="J164" s="1" t="n">
        <ns0:v>0</ns0:v>
      </ns0:c>
      <ns0:c r="M164" s="1">
        <ns0:f>SUM(G164:L164)</ns0:f>
        <ns0:v/>
      </ns0:c>
      <ns0:c r="N164" s="1">
        <ns0:f>M164/E164</ns0:f>
        <ns0:v/>
      </ns0:c>
      <ns0:c r="O164" s="1" t="n">
        <ns0:v>0</ns0:v>
      </ns0:c>
      <ns0:c r="P164" s="1" t="n">
        <ns0:v>2</ns0:v>
      </ns0:c>
      <ns0:c r="Q164" s="1">
        <ns0:f>+O164+P164</ns0:f>
        <ns0:v/>
      </ns0:c>
      <ns0:c r="R164" s="1">
        <ns0:f>+Q164/E164</ns0:f>
        <ns0:v/>
      </ns0:c>
      <ns0:c r="S164" s="1" t="inlineStr">
        <ns0:is>
          <ns0:t xml:space="preserve"> Hearing voltage up 10%</ns0:t>
        </ns0:is>
      </ns0:c>
    </ns0:row>
    <ns0:row r="165" ht="37.25" customHeight="1">
      <ns0:c r="G165" s="1">
        <ns0:f>+G164/M164</ns0:f>
        <ns0:v/>
      </ns0:c>
      <ns0:c r="H165" s="1">
        <ns0:f>+H164/M164</ns0:f>
        <ns0:v/>
      </ns0:c>
      <ns0:c r="I165" s="1">
        <ns0:f>+I164/M164</ns0:f>
        <ns0:v/>
      </ns0:c>
      <ns0:c r="J165" s="1">
        <ns0:f>+J164/M164</ns0:f>
        <ns0:v/>
      </ns0:c>
      <ns0:c r="K165" s="1">
        <ns0:f>+K164/M164</ns0:f>
        <ns0:v/>
      </ns0:c>
      <ns0:c r="L165" s="1">
        <ns0:f>+L164/M164</ns0:f>
        <ns0:v/>
      </ns0:c>
      <ns0:c r="O165" s="1">
        <ns0:f>+O164/Q164</ns0:f>
        <ns0:v/>
      </ns0:c>
      <ns0:c r="P165" s="1">
        <ns0:f>+P164/Q164</ns0:f>
        <ns0:v/>
      </ns0:c>
    </ns0:row>
    <ns0:row r="166" ht="37.25" customHeight="1">
      <ns0:c r="C166" s="1" t="inlineStr">
        <ns0:is>
          <ns0:t>AWF#2</ns0:t>
        </ns0:is>
      </ns0:c>
      <ns0:c r="D166" s="1" t="inlineStr">
        <ns0:is>
          <ns0:t xml:space="preserve">Change new Wire </ns0:t>
        </ns0:is>
      </ns0:c>
      <ns0:c r="E166" s="1" t="n">
        <ns0:v>140</ns0:v>
      </ns0:c>
      <ns0:c r="F166" s="1">
        <ns0:f>+E166-M166</ns0:f>
        <ns0:v/>
      </ns0:c>
      <ns0:c r="G166" s="1" t="n">
        <ns0:v>0</ns0:v>
      </ns0:c>
      <ns0:c r="H166" s="1" t="n">
        <ns0:v>0</ns0:v>
      </ns0:c>
      <ns0:c r="I166" s="1" t="n">
        <ns0:v>0</ns0:v>
      </ns0:c>
      <ns0:c r="J166" s="1" t="n">
        <ns0:v>0</ns0:v>
      </ns0:c>
      <ns0:c r="M166" s="1">
        <ns0:f>SUM(G166:L166)</ns0:f>
        <ns0:v/>
      </ns0:c>
      <ns0:c r="N166" s="1">
        <ns0:f>M166/E166</ns0:f>
        <ns0:v/>
      </ns0:c>
      <ns0:c r="O166" s="1" t="n">
        <ns0:v>3</ns0:v>
      </ns0:c>
      <ns0:c r="P166" s="1" t="n">
        <ns0:v>11</ns0:v>
      </ns0:c>
      <ns0:c r="Q166" s="1">
        <ns0:f>+O166+P166</ns0:f>
        <ns0:v/>
      </ns0:c>
      <ns0:c r="R166" s="1">
        <ns0:f>+Q166/E166</ns0:f>
        <ns0:v/>
      </ns0:c>
      <ns0:c r="S166" s="1" t="inlineStr">
        <ns0:is>
          <ns0:t xml:space="preserve"> Hearing voltage up 10%</ns0:t>
        </ns0:is>
      </ns0:c>
    </ns0:row>
    <ns0:row r="167" ht="37.25" customHeight="1">
      <ns0:c r="G167" s="1">
        <ns0:f>+G166/M166</ns0:f>
        <ns0:v/>
      </ns0:c>
      <ns0:c r="H167" s="1">
        <ns0:f>+H166/M166</ns0:f>
        <ns0:v/>
      </ns0:c>
      <ns0:c r="I167" s="1">
        <ns0:f>+I166/M166</ns0:f>
        <ns0:v/>
      </ns0:c>
      <ns0:c r="J167" s="1">
        <ns0:f>+J166/M166</ns0:f>
        <ns0:v/>
      </ns0:c>
      <ns0:c r="K167" s="1">
        <ns0:f>+K166/M166</ns0:f>
        <ns0:v/>
      </ns0:c>
      <ns0:c r="L167" s="1">
        <ns0:f>+L166/M166</ns0:f>
        <ns0:v/>
      </ns0:c>
      <ns0:c r="O167" s="1">
        <ns0:f>+O166/Q166</ns0:f>
        <ns0:v/>
      </ns0:c>
      <ns0:c r="P167" s="1">
        <ns0:f>+P166/Q166</ns0:f>
        <ns0:v/>
      </ns0:c>
    </ns0:row>
    <ns0:row r="168" ht="37.25" customHeight="1">
      <ns0:c r="C168" s="1" t="inlineStr">
        <ns0:is>
          <ns0:t>AWF#3</ns0:t>
        </ns0:is>
      </ns0:c>
      <ns0:c r="D168" s="1" t="inlineStr">
        <ns0:is>
          <ns0:t xml:space="preserve">Change new Wire </ns0:t>
        </ns0:is>
      </ns0:c>
      <ns0:c r="E168" s="1" t="n">
        <ns0:v>139</ns0:v>
      </ns0:c>
      <ns0:c r="F168" s="1">
        <ns0:f>+E168-M168</ns0:f>
        <ns0:v/>
      </ns0:c>
      <ns0:c r="G168" s="1" t="n">
        <ns0:v>0</ns0:v>
      </ns0:c>
      <ns0:c r="H168" s="1" t="n">
        <ns0:v>0</ns0:v>
      </ns0:c>
      <ns0:c r="I168" s="1" t="n">
        <ns0:v>0</ns0:v>
      </ns0:c>
      <ns0:c r="J168" s="1" t="n">
        <ns0:v>0</ns0:v>
      </ns0:c>
      <ns0:c r="M168" s="1">
        <ns0:f>SUM(G168:L168)</ns0:f>
        <ns0:v/>
      </ns0:c>
      <ns0:c r="N168" s="1">
        <ns0:f>M168/E168</ns0:f>
        <ns0:v/>
      </ns0:c>
      <ns0:c r="O168" s="1" t="n">
        <ns0:v>1</ns0:v>
      </ns0:c>
      <ns0:c r="P168" s="1" t="n">
        <ns0:v>4</ns0:v>
      </ns0:c>
      <ns0:c r="Q168" s="1">
        <ns0:f>+O168+P168</ns0:f>
        <ns0:v/>
      </ns0:c>
      <ns0:c r="R168" s="1">
        <ns0:f>+Q168/E168</ns0:f>
        <ns0:v/>
      </ns0:c>
      <ns0:c r="S168" s="1" t="inlineStr">
        <ns0:is>
          <ns0:t xml:space="preserve"> Hearing voltage up 10%</ns0:t>
        </ns0:is>
      </ns0:c>
    </ns0:row>
    <ns0:row r="169" ht="37.25" customHeight="1">
      <ns0:c r="G169" s="1">
        <ns0:f>+G168/M168</ns0:f>
        <ns0:v/>
      </ns0:c>
      <ns0:c r="H169" s="1">
        <ns0:f>+H168/M168</ns0:f>
        <ns0:v/>
      </ns0:c>
      <ns0:c r="I169" s="1">
        <ns0:f>+I168/M168</ns0:f>
        <ns0:v/>
      </ns0:c>
      <ns0:c r="J169" s="1">
        <ns0:f>+J168/M168</ns0:f>
        <ns0:v/>
      </ns0:c>
      <ns0:c r="K169" s="1">
        <ns0:f>+K168/M168</ns0:f>
        <ns0:v/>
      </ns0:c>
      <ns0:c r="L169" s="1">
        <ns0:f>+L168/M168</ns0:f>
        <ns0:v/>
      </ns0:c>
      <ns0:c r="O169" s="1">
        <ns0:f>+O168/Q168</ns0:f>
        <ns0:v/>
      </ns0:c>
      <ns0:c r="P169" s="1">
        <ns0:f>+P168/Q168</ns0:f>
        <ns0:v/>
      </ns0:c>
    </ns0:row>
    <ns0:row r="170" ht="37.25" customHeight="1">
      <ns0:c r="C170" s="1" t="inlineStr">
        <ns0:is>
          <ns0:t>AWF#4</ns0:t>
        </ns0:is>
      </ns0:c>
      <ns0:c r="D170" s="1" t="inlineStr">
        <ns0:is>
          <ns0:t xml:space="preserve">Change new Wire </ns0:t>
        </ns0:is>
      </ns0:c>
      <ns0:c r="E170" s="1" t="n">
        <ns0:v>140</ns0:v>
      </ns0:c>
      <ns0:c r="F170" s="1">
        <ns0:f>+E170-M170</ns0:f>
        <ns0:v/>
      </ns0:c>
      <ns0:c r="G170" s="1" t="n">
        <ns0:v>0</ns0:v>
      </ns0:c>
      <ns0:c r="H170" s="1" t="n">
        <ns0:v>0</ns0:v>
      </ns0:c>
      <ns0:c r="I170" s="1" t="n">
        <ns0:v>0</ns0:v>
      </ns0:c>
      <ns0:c r="J170" s="1" t="n">
        <ns0:v>0</ns0:v>
      </ns0:c>
      <ns0:c r="M170" s="1">
        <ns0:f>SUM(G170:L170)</ns0:f>
        <ns0:v/>
      </ns0:c>
      <ns0:c r="N170" s="1">
        <ns0:f>M170/E170</ns0:f>
        <ns0:v/>
      </ns0:c>
      <ns0:c r="O170" s="1" t="n">
        <ns0:v>0</ns0:v>
      </ns0:c>
      <ns0:c r="P170" s="1" t="n">
        <ns0:v>4</ns0:v>
      </ns0:c>
      <ns0:c r="Q170" s="1">
        <ns0:f>+O170+P170</ns0:f>
        <ns0:v/>
      </ns0:c>
      <ns0:c r="R170" s="1">
        <ns0:f>+Q170/E170</ns0:f>
        <ns0:v/>
      </ns0:c>
      <ns0:c r="S170" s="1" t="inlineStr">
        <ns0:is>
          <ns0:t xml:space="preserve"> Hearing voltage up 10%</ns0:t>
        </ns0:is>
      </ns0:c>
    </ns0:row>
    <ns0:row r="171" ht="37.25" customHeight="1">
      <ns0:c r="G171" s="1">
        <ns0:f>+G170/M170</ns0:f>
        <ns0:v/>
      </ns0:c>
      <ns0:c r="H171" s="1">
        <ns0:f>+H170/M170</ns0:f>
        <ns0:v/>
      </ns0:c>
      <ns0:c r="I171" s="1">
        <ns0:f>+I170/M170</ns0:f>
        <ns0:v/>
      </ns0:c>
      <ns0:c r="J171" s="1">
        <ns0:f>+J170/M170</ns0:f>
        <ns0:v/>
      </ns0:c>
      <ns0:c r="K171" s="1">
        <ns0:f>+K170/M170</ns0:f>
        <ns0:v/>
      </ns0:c>
      <ns0:c r="L171" s="1">
        <ns0:f>+L170/M170</ns0:f>
        <ns0:v/>
      </ns0:c>
      <ns0:c r="O171" s="1">
        <ns0:f>+O170/Q170</ns0:f>
        <ns0:v/>
      </ns0:c>
      <ns0:c r="P171" s="1">
        <ns0:f>+P170/Q170</ns0:f>
        <ns0:v/>
      </ns0:c>
    </ns0:row>
    <ns0:row r="172" ht="37.25" customHeight="1">
      <ns0:c r="C172" s="1" t="inlineStr">
        <ns0:is>
          <ns0:t>AWF#5</ns0:t>
        </ns0:is>
      </ns0:c>
      <ns0:c r="D172" s="1" t="inlineStr">
        <ns0:is>
          <ns0:t xml:space="preserve">Change new Wire </ns0:t>
        </ns0:is>
      </ns0:c>
      <ns0:c r="E172" s="1" t="n">
        <ns0:v>145</ns0:v>
      </ns0:c>
      <ns0:c r="F172" s="1">
        <ns0:f>+E172-M172</ns0:f>
        <ns0:v/>
      </ns0:c>
      <ns0:c r="G172" s="1" t="n">
        <ns0:v>0</ns0:v>
      </ns0:c>
      <ns0:c r="H172" s="1" t="n">
        <ns0:v>0</ns0:v>
      </ns0:c>
      <ns0:c r="I172" s="1" t="n">
        <ns0:v>0</ns0:v>
      </ns0:c>
      <ns0:c r="J172" s="1" t="n">
        <ns0:v>0</ns0:v>
      </ns0:c>
      <ns0:c r="M172" s="1">
        <ns0:f>SUM(G172:L172)</ns0:f>
        <ns0:v/>
      </ns0:c>
      <ns0:c r="N172" s="1">
        <ns0:f>M172/E172</ns0:f>
        <ns0:v/>
      </ns0:c>
      <ns0:c r="O172" s="1" t="n">
        <ns0:v>3</ns0:v>
      </ns0:c>
      <ns0:c r="P172" s="1" t="n">
        <ns0:v>6</ns0:v>
      </ns0:c>
      <ns0:c r="Q172" s="1">
        <ns0:f>+O172+P172</ns0:f>
        <ns0:v/>
      </ns0:c>
      <ns0:c r="R172" s="1">
        <ns0:f>+Q172/E172</ns0:f>
        <ns0:v/>
      </ns0:c>
      <ns0:c r="S172" s="1" t="inlineStr">
        <ns0:is>
          <ns0:t xml:space="preserve"> Hearing voltage up 10%</ns0:t>
        </ns0:is>
      </ns0:c>
    </ns0:row>
    <ns0:row r="173" ht="37.25" customHeight="1">
      <ns0:c r="G173" s="1">
        <ns0:f>+G172/M172</ns0:f>
        <ns0:v/>
      </ns0:c>
      <ns0:c r="H173" s="1">
        <ns0:f>+H172/M172</ns0:f>
        <ns0:v/>
      </ns0:c>
      <ns0:c r="I173" s="1">
        <ns0:f>+I172/M172</ns0:f>
        <ns0:v/>
      </ns0:c>
      <ns0:c r="J173" s="1">
        <ns0:f>+J172/M172</ns0:f>
        <ns0:v/>
      </ns0:c>
      <ns0:c r="K173" s="1">
        <ns0:f>+K172/M172</ns0:f>
        <ns0:v/>
      </ns0:c>
      <ns0:c r="L173" s="1">
        <ns0:f>+L172/M172</ns0:f>
        <ns0:v/>
      </ns0:c>
      <ns0:c r="O173" s="1">
        <ns0:f>+O172/Q172</ns0:f>
        <ns0:v/>
      </ns0:c>
      <ns0:c r="P173" s="1">
        <ns0:f>+P172/Q172</ns0:f>
        <ns0:v/>
      </ns0:c>
    </ns0:row>
    <ns0:row r="174" ht="37.25" customHeight="1">
      <ns0:c r="C174" s="1" t="inlineStr">
        <ns0:is>
          <ns0:t xml:space="preserve"> Total AWF#1.2.3.4.5</ns0:t>
        </ns0:is>
      </ns0:c>
      <ns0:c r="D174" s="1" t="inlineStr">
        <ns0:is>
          <ns0:t xml:space="preserve">Change new Wire </ns0:t>
        </ns0:is>
      </ns0:c>
      <ns0:c r="E174" s="1">
        <ns0:f>SUM(E164:E173)</ns0:f>
        <ns0:v/>
      </ns0:c>
      <ns0:c r="F174" s="1">
        <ns0:f>+E174-M174</ns0:f>
        <ns0:v/>
      </ns0:c>
      <ns0:c r="G174" s="1">
        <ns0:f>SUM(G164,G166,G168,G170,G172)</ns0:f>
        <ns0:v/>
      </ns0:c>
      <ns0:c r="H174" s="1">
        <ns0:f>SUM(H164,H166,H168,H170,H172)</ns0:f>
        <ns0:v/>
      </ns0:c>
      <ns0:c r="I174" s="1">
        <ns0:f>SUM(I164,I166,I168,I170,I172)</ns0:f>
        <ns0:v/>
      </ns0:c>
      <ns0:c r="J174" s="1">
        <ns0:f>SUM(J164,J166,J168,J170,J172)</ns0:f>
        <ns0:v/>
      </ns0:c>
      <ns0:c r="K174" s="1">
        <ns0:f>SUM(K164,K166,K168,K170,K172)</ns0:f>
        <ns0:v/>
      </ns0:c>
      <ns0:c r="L174" s="1">
        <ns0:f>SUM(L164,L166,L168,L170,L172)</ns0:f>
        <ns0:v/>
      </ns0:c>
      <ns0:c r="M174" s="1">
        <ns0:f>SUM(G174:L174)</ns0:f>
        <ns0:v/>
      </ns0:c>
      <ns0:c r="N174" s="1">
        <ns0:f>M174/E174</ns0:f>
        <ns0:v/>
      </ns0:c>
      <ns0:c r="O174" s="1">
        <ns0:f>SUM(O164,O166,O168,O170,O172)</ns0:f>
        <ns0:v/>
      </ns0:c>
      <ns0:c r="P174" s="1">
        <ns0:f>SUM(P164,P166,P168,P170,P172)</ns0:f>
        <ns0:v/>
      </ns0:c>
      <ns0:c r="Q174" s="1">
        <ns0:f>+O174+P174</ns0:f>
        <ns0:v/>
      </ns0:c>
      <ns0:c r="R174" s="1">
        <ns0:f>+Q174/E174</ns0:f>
        <ns0:v/>
      </ns0:c>
      <ns0:c r="S174" s="1" t="inlineStr">
        <ns0:is>
          <ns0:t xml:space="preserve"> Hearing voltage up 10%</ns0:t>
        </ns0:is>
      </ns0:c>
    </ns0:row>
    <ns0:row r="175" ht="37.25" customHeight="1">
      <ns0:c r="G175" s="1">
        <ns0:f>+G174/M174</ns0:f>
        <ns0:v/>
      </ns0:c>
      <ns0:c r="H175" s="1">
        <ns0:f>+H174/M174</ns0:f>
        <ns0:v/>
      </ns0:c>
      <ns0:c r="I175" s="1">
        <ns0:f>+I174/M174</ns0:f>
        <ns0:v/>
      </ns0:c>
      <ns0:c r="J175" s="1">
        <ns0:f>+J174/M174</ns0:f>
        <ns0:v/>
      </ns0:c>
      <ns0:c r="K175" s="1">
        <ns0:f>+K174/M174</ns0:f>
        <ns0:v/>
      </ns0:c>
      <ns0:c r="L175" s="1">
        <ns0:f>+L174/M174</ns0:f>
        <ns0:v/>
      </ns0:c>
      <ns0:c r="O175" s="1">
        <ns0:f>+O174/Q174</ns0:f>
        <ns0:v/>
      </ns0:c>
      <ns0:c r="P175" s="1">
        <ns0:f>+P174/Q174</ns0:f>
        <ns0:v/>
      </ns0:c>
    </ns0:row>
    <ns0:row r="176" ht="37.25" customHeight="1">
      <ns0:c r="B176" s="2" t="n">
        <ns0:v>45465</ns0:v>
      </ns0:c>
      <ns0:c r="C176" s="1" t="inlineStr">
        <ns0:is>
          <ns0:t>AWF Machine #3</ns0:t>
        </ns0:is>
      </ns0:c>
      <ns0:c r="D176" s="1" t="inlineStr">
        <ns0:is>
          <ns0:t>Old wire coil 0.111mm</ns0:t>
        </ns0:is>
      </ns0:c>
      <ns0:c r="E176" s="1" t="n">
        <ns0:v>175</ns0:v>
      </ns0:c>
      <ns0:c r="F176" s="1">
        <ns0:f>+E176-M176</ns0:f>
        <ns0:v/>
      </ns0:c>
      <ns0:c r="G176" s="1" t="n">
        <ns0:v>0</ns0:v>
      </ns0:c>
      <ns0:c r="H176" s="1" t="n">
        <ns0:v>0</ns0:v>
      </ns0:c>
      <ns0:c r="I176" s="1" t="n">
        <ns0:v>0</ns0:v>
      </ns0:c>
      <ns0:c r="J176" s="1" t="n">
        <ns0:v>0</ns0:v>
      </ns0:c>
      <ns0:c r="K176" s="1" t="n">
        <ns0:v>2</ns0:v>
      </ns0:c>
      <ns0:c r="L176" s="1" t="n">
        <ns0:v>5</ns0:v>
      </ns0:c>
      <ns0:c r="M176" s="1">
        <ns0:f>SUM(G176:L176)</ns0:f>
        <ns0:v/>
      </ns0:c>
      <ns0:c r="N176" s="1">
        <ns0:f>M176/E176</ns0:f>
        <ns0:v/>
      </ns0:c>
      <ns0:c r="O176" s="1" t="n">
        <ns0:v>1</ns0:v>
      </ns0:c>
      <ns0:c r="P176" s="1" t="n">
        <ns0:v>2</ns0:v>
      </ns0:c>
      <ns0:c r="Q176" s="1">
        <ns0:f>+O176+P176</ns0:f>
        <ns0:v/>
      </ns0:c>
      <ns0:c r="R176" s="1">
        <ns0:f>+Q176/E176</ns0:f>
        <ns0:v/>
      </ns0:c>
      <ns0:c r="S176" s="1" t="inlineStr">
        <ns0:is>
          <ns0:t xml:space="preserve"> Hearing voltage up 10%</ns0:t>
        </ns0:is>
      </ns0:c>
    </ns0:row>
    <ns0:row r="177" ht="37.25" customHeight="1">
      <ns0:c r="G177" s="1">
        <ns0:f>+G176/M176</ns0:f>
        <ns0:v/>
      </ns0:c>
      <ns0:c r="H177" s="1">
        <ns0:f>+H176/M176</ns0:f>
        <ns0:v/>
      </ns0:c>
      <ns0:c r="I177" s="1">
        <ns0:f>+I176/M176</ns0:f>
        <ns0:v/>
      </ns0:c>
      <ns0:c r="J177" s="1">
        <ns0:f>+J176/M176</ns0:f>
        <ns0:v/>
      </ns0:c>
      <ns0:c r="K177" s="1">
        <ns0:f>+K176/M176</ns0:f>
        <ns0:v/>
      </ns0:c>
      <ns0:c r="L177" s="1">
        <ns0:f>+L176/M176</ns0:f>
        <ns0:v/>
      </ns0:c>
      <ns0:c r="O177" s="1">
        <ns0:f>+O176/Q176</ns0:f>
        <ns0:v/>
      </ns0:c>
      <ns0:c r="P177" s="1">
        <ns0:f>+P176/Q176</ns0:f>
        <ns0:v/>
      </ns0:c>
    </ns0:row>
    <ns0:row r="178" ht="37.25" customHeight="1">
      <ns0:c r="D178" s="1" t="inlineStr">
        <ns0:is>
          <ns0:t>New wire coil 0.111mm</ns0:t>
        </ns0:is>
      </ns0:c>
      <ns0:c r="E178" s="1" t="n">
        <ns0:v>211</ns0:v>
      </ns0:c>
      <ns0:c r="F178" s="1">
        <ns0:f>+E178-M178</ns0:f>
        <ns0:v/>
      </ns0:c>
      <ns0:c r="G178" s="1" t="n">
        <ns0:v>0</ns0:v>
      </ns0:c>
      <ns0:c r="H178" s="1" t="n">
        <ns0:v>0</ns0:v>
      </ns0:c>
      <ns0:c r="I178" s="1" t="n">
        <ns0:v>0</ns0:v>
      </ns0:c>
      <ns0:c r="J178" s="1" t="n">
        <ns0:v>0</ns0:v>
      </ns0:c>
      <ns0:c r="K178" s="1" t="n">
        <ns0:v>6</ns0:v>
      </ns0:c>
      <ns0:c r="L178" s="1" t="n">
        <ns0:v>16</ns0:v>
      </ns0:c>
      <ns0:c r="M178" s="1">
        <ns0:f>SUM(G178:L178)</ns0:f>
        <ns0:v/>
      </ns0:c>
      <ns0:c r="N178" s="1">
        <ns0:f>M178/E178</ns0:f>
        <ns0:v/>
      </ns0:c>
      <ns0:c r="O178" s="1" t="n">
        <ns0:v>5</ns0:v>
      </ns0:c>
      <ns0:c r="P178" s="1" t="n">
        <ns0:v>7</ns0:v>
      </ns0:c>
      <ns0:c r="Q178" s="1">
        <ns0:f>+O178+P178</ns0:f>
        <ns0:v/>
      </ns0:c>
      <ns0:c r="R178" s="1">
        <ns0:f>+Q178/E178</ns0:f>
        <ns0:v/>
      </ns0:c>
      <ns0:c r="S178" s="1" t="inlineStr">
        <ns0:is>
          <ns0:t xml:space="preserve"> Hearing voltage up 10%</ns0:t>
        </ns0:is>
      </ns0:c>
    </ns0:row>
    <ns0:row r="179" ht="37.25" customHeight="1">
      <ns0:c r="G179" s="1">
        <ns0:f>+G178/M178</ns0:f>
        <ns0:v/>
      </ns0:c>
      <ns0:c r="H179" s="1">
        <ns0:f>+H178/M178</ns0:f>
        <ns0:v/>
      </ns0:c>
      <ns0:c r="I179" s="1">
        <ns0:f>+I178/M178</ns0:f>
        <ns0:v/>
      </ns0:c>
      <ns0:c r="J179" s="1">
        <ns0:f>+J178/M178</ns0:f>
        <ns0:v/>
      </ns0:c>
      <ns0:c r="K179" s="1">
        <ns0:f>+K178/M178</ns0:f>
        <ns0:v/>
      </ns0:c>
      <ns0:c r="L179" s="1">
        <ns0:f>+L178/M178</ns0:f>
        <ns0:v/>
      </ns0:c>
      <ns0:c r="O179" s="1">
        <ns0:f>+O178/Q178</ns0:f>
        <ns0:v/>
      </ns0:c>
      <ns0:c r="P179" s="1">
        <ns0:f>+P178/Q178</ns0:f>
        <ns0:v/>
      </ns0:c>
    </ns0:row>
    <ns0:row r="180" ht="27.5" customHeight="1">
      <ns0:c r="C180" s="1" t="inlineStr">
        <ns0:is>
          <ns0:t>FRAME MOLD G2</ns0:t>
        </ns0:is>
      </ns0:c>
      <ns0:c r="D180" s="1" t="inlineStr">
        <ns0:is>
          <ns0:t>Cavity A</ns0:t>
        </ns0:is>
      </ns0:c>
      <ns0:c r="E180" s="1" t="n">
        <ns0:v>100</ns0:v>
      </ns0:c>
      <ns0:c r="F180" s="1">
        <ns0:f>+E180-M180</ns0:f>
        <ns0:v/>
      </ns0:c>
      <ns0:c r="G180" s="1" t="n">
        <ns0:v>0</ns0:v>
      </ns0:c>
      <ns0:c r="H180" s="1" t="n">
        <ns0:v>0</ns0:v>
      </ns0:c>
      <ns0:c r="I180" s="1" t="n">
        <ns0:v>0</ns0:v>
      </ns0:c>
      <ns0:c r="J180" s="1" t="n">
        <ns0:v>0</ns0:v>
      </ns0:c>
      <ns0:c r="K180" s="1" t="n">
        <ns0:v>4</ns0:v>
      </ns0:c>
      <ns0:c r="L180" s="1" t="n">
        <ns0:v>10</ns0:v>
      </ns0:c>
      <ns0:c r="M180" s="1">
        <ns0:f>SUM(G180:L180)</ns0:f>
        <ns0:v/>
      </ns0:c>
      <ns0:c r="N180" s="1">
        <ns0:f>M180/E180</ns0:f>
        <ns0:v/>
      </ns0:c>
      <ns0:c r="O180" s="1" t="n">
        <ns0:v>2</ns0:v>
      </ns0:c>
      <ns0:c r="P180" s="1" t="n">
        <ns0:v>5</ns0:v>
      </ns0:c>
      <ns0:c r="Q180" s="1">
        <ns0:f>+O180+P180</ns0:f>
        <ns0:v/>
      </ns0:c>
      <ns0:c r="R180" s="1">
        <ns0:f>+Q180/E180</ns0:f>
        <ns0:v/>
      </ns0:c>
      <ns0:c r="S180" s="1" t="inlineStr">
        <ns0:is>
          <ns0:t xml:space="preserve"> Hearing voltage up 10%</ns0:t>
        </ns0:is>
      </ns0:c>
    </ns0:row>
    <ns0:row r="181" ht="27.5" customHeight="1">
      <ns0:c r="G181" s="1">
        <ns0:f>+G180/M180</ns0:f>
        <ns0:v/>
      </ns0:c>
      <ns0:c r="H181" s="1">
        <ns0:f>+H180/M180</ns0:f>
        <ns0:v/>
      </ns0:c>
      <ns0:c r="I181" s="1">
        <ns0:f>+I180/M180</ns0:f>
        <ns0:v/>
      </ns0:c>
      <ns0:c r="J181" s="1">
        <ns0:f>+J180/M180</ns0:f>
        <ns0:v/>
      </ns0:c>
      <ns0:c r="K181" s="1">
        <ns0:f>+K180/M180</ns0:f>
        <ns0:v/>
      </ns0:c>
      <ns0:c r="L181" s="1">
        <ns0:f>+L180/M180</ns0:f>
        <ns0:v/>
      </ns0:c>
      <ns0:c r="O181" s="1">
        <ns0:f>+O180/Q180</ns0:f>
        <ns0:v/>
      </ns0:c>
      <ns0:c r="P181" s="1">
        <ns0:f>+P180/Q180</ns0:f>
        <ns0:v/>
      </ns0:c>
    </ns0:row>
    <ns0:row r="182" ht="27.5" customHeight="1">
      <ns0:c r="D182" s="1" t="inlineStr">
        <ns0:is>
          <ns0:t>Cavity B</ns0:t>
        </ns0:is>
      </ns0:c>
      <ns0:c r="E182" s="1" t="n">
        <ns0:v>99</ns0:v>
      </ns0:c>
      <ns0:c r="F182" s="1">
        <ns0:f>+E182-M182</ns0:f>
        <ns0:v/>
      </ns0:c>
      <ns0:c r="G182" s="1" t="n">
        <ns0:v>0</ns0:v>
      </ns0:c>
      <ns0:c r="H182" s="1" t="n">
        <ns0:v>0</ns0:v>
      </ns0:c>
      <ns0:c r="I182" s="1" t="n">
        <ns0:v>0</ns0:v>
      </ns0:c>
      <ns0:c r="J182" s="1" t="n">
        <ns0:v>0</ns0:v>
      </ns0:c>
      <ns0:c r="K182" s="1" t="n">
        <ns0:v>1</ns0:v>
      </ns0:c>
      <ns0:c r="L182" s="1" t="n">
        <ns0:v>2</ns0:v>
      </ns0:c>
      <ns0:c r="M182" s="1">
        <ns0:f>SUM(G182:L182)</ns0:f>
        <ns0:v/>
      </ns0:c>
      <ns0:c r="N182" s="1">
        <ns0:f>M182/E182</ns0:f>
        <ns0:v/>
      </ns0:c>
      <ns0:c r="O182" s="1" t="n">
        <ns0:v>0</ns0:v>
      </ns0:c>
      <ns0:c r="P182" s="1" t="n">
        <ns0:v>1</ns0:v>
      </ns0:c>
      <ns0:c r="Q182" s="1">
        <ns0:f>+O182+P182</ns0:f>
        <ns0:v/>
      </ns0:c>
      <ns0:c r="R182" s="1">
        <ns0:f>+Q182/E182</ns0:f>
        <ns0:v/>
      </ns0:c>
      <ns0:c r="S182" s="1" t="inlineStr">
        <ns0:is>
          <ns0:t xml:space="preserve"> Hearing voltage up 10%</ns0:t>
        </ns0:is>
      </ns0:c>
    </ns0:row>
    <ns0:row r="183" ht="27.5" customHeight="1">
      <ns0:c r="G183" s="1">
        <ns0:f>+G182/M182</ns0:f>
        <ns0:v/>
      </ns0:c>
      <ns0:c r="H183" s="1">
        <ns0:f>+H182/M182</ns0:f>
        <ns0:v/>
      </ns0:c>
      <ns0:c r="I183" s="1">
        <ns0:f>+I182/M182</ns0:f>
        <ns0:v/>
      </ns0:c>
      <ns0:c r="J183" s="1">
        <ns0:f>+J182/M182</ns0:f>
        <ns0:v/>
      </ns0:c>
      <ns0:c r="K183" s="1">
        <ns0:f>+K182/M182</ns0:f>
        <ns0:v/>
      </ns0:c>
      <ns0:c r="L183" s="1">
        <ns0:f>+L182/M182</ns0:f>
        <ns0:v/>
      </ns0:c>
      <ns0:c r="O183" s="1">
        <ns0:f>+O182/Q182</ns0:f>
        <ns0:v/>
      </ns0:c>
      <ns0:c r="P183" s="1">
        <ns0:f>+P182/Q182</ns0:f>
        <ns0:v/>
      </ns0:c>
    </ns0:row>
    <ns0:row r="184" ht="27.5" customHeight="1">
      <ns0:c r="D184" s="1" t="inlineStr">
        <ns0:is>
          <ns0:t>Cavity C</ns0:t>
        </ns0:is>
      </ns0:c>
      <ns0:c r="E184" s="1" t="n">
        <ns0:v>100</ns0:v>
      </ns0:c>
      <ns0:c r="F184" s="1">
        <ns0:f>+E184-M184</ns0:f>
        <ns0:v/>
      </ns0:c>
      <ns0:c r="G184" s="1" t="n">
        <ns0:v>0</ns0:v>
      </ns0:c>
      <ns0:c r="H184" s="1" t="n">
        <ns0:v>0</ns0:v>
      </ns0:c>
      <ns0:c r="I184" s="1" t="n">
        <ns0:v>0</ns0:v>
      </ns0:c>
      <ns0:c r="J184" s="1" t="n">
        <ns0:v>0</ns0:v>
      </ns0:c>
      <ns0:c r="K184" s="1" t="n">
        <ns0:v>3</ns0:v>
      </ns0:c>
      <ns0:c r="L184" s="1" t="n">
        <ns0:v>4</ns0:v>
      </ns0:c>
      <ns0:c r="M184" s="1">
        <ns0:f>SUM(G184:L184)</ns0:f>
        <ns0:v/>
      </ns0:c>
      <ns0:c r="N184" s="1">
        <ns0:f>M184/E184</ns0:f>
        <ns0:v/>
      </ns0:c>
      <ns0:c r="O184" s="1" t="n">
        <ns0:v>1</ns0:v>
      </ns0:c>
      <ns0:c r="P184" s="1" t="n">
        <ns0:v>2</ns0:v>
      </ns0:c>
      <ns0:c r="Q184" s="1">
        <ns0:f>+O184+P184</ns0:f>
        <ns0:v/>
      </ns0:c>
      <ns0:c r="R184" s="1">
        <ns0:f>+Q184/E184</ns0:f>
        <ns0:v/>
      </ns0:c>
      <ns0:c r="S184" s="1" t="inlineStr">
        <ns0:is>
          <ns0:t xml:space="preserve"> Hearing voltage up 10%</ns0:t>
        </ns0:is>
      </ns0:c>
    </ns0:row>
    <ns0:row r="185" ht="27.5" customHeight="1">
      <ns0:c r="G185" s="1">
        <ns0:f>+G184/M184</ns0:f>
        <ns0:v/>
      </ns0:c>
      <ns0:c r="H185" s="1">
        <ns0:f>+H184/M184</ns0:f>
        <ns0:v/>
      </ns0:c>
      <ns0:c r="I185" s="1">
        <ns0:f>+I184/M184</ns0:f>
        <ns0:v/>
      </ns0:c>
      <ns0:c r="J185" s="1">
        <ns0:f>+J184/M184</ns0:f>
        <ns0:v/>
      </ns0:c>
      <ns0:c r="K185" s="1">
        <ns0:f>+K184/M184</ns0:f>
        <ns0:v/>
      </ns0:c>
      <ns0:c r="L185" s="1">
        <ns0:f>+L184/M184</ns0:f>
        <ns0:v/>
      </ns0:c>
      <ns0:c r="O185" s="1">
        <ns0:f>+O184/Q184</ns0:f>
        <ns0:v/>
      </ns0:c>
      <ns0:c r="P185" s="1">
        <ns0:f>+P184/Q184</ns0:f>
        <ns0:v/>
      </ns0:c>
    </ns0:row>
    <ns0:row r="186" ht="27.5" customHeight="1">
      <ns0:c r="D186" s="1" t="inlineStr">
        <ns0:is>
          <ns0:t>Cavity D</ns0:t>
        </ns0:is>
      </ns0:c>
      <ns0:c r="E186" s="1" t="n">
        <ns0:v>98</ns0:v>
      </ns0:c>
      <ns0:c r="F186" s="1">
        <ns0:f>+E186-M186</ns0:f>
        <ns0:v/>
      </ns0:c>
      <ns0:c r="G186" s="1" t="n">
        <ns0:v>0</ns0:v>
      </ns0:c>
      <ns0:c r="H186" s="1" t="n">
        <ns0:v>0</ns0:v>
      </ns0:c>
      <ns0:c r="I186" s="1" t="n">
        <ns0:v>0</ns0:v>
      </ns0:c>
      <ns0:c r="J186" s="1" t="n">
        <ns0:v>0</ns0:v>
      </ns0:c>
      <ns0:c r="K186" s="1" t="n">
        <ns0:v>3</ns0:v>
      </ns0:c>
      <ns0:c r="L186" s="1" t="n">
        <ns0:v>5</ns0:v>
      </ns0:c>
      <ns0:c r="M186" s="1">
        <ns0:f>SUM(G186:L186)</ns0:f>
        <ns0:v/>
      </ns0:c>
      <ns0:c r="N186" s="1">
        <ns0:f>M186/E186</ns0:f>
        <ns0:v/>
      </ns0:c>
      <ns0:c r="O186" s="1" t="n">
        <ns0:v>1</ns0:v>
      </ns0:c>
      <ns0:c r="P186" s="1" t="n">
        <ns0:v>3</ns0:v>
      </ns0:c>
      <ns0:c r="Q186" s="1">
        <ns0:f>+O186+P186</ns0:f>
        <ns0:v/>
      </ns0:c>
      <ns0:c r="R186" s="1">
        <ns0:f>+Q186/E186</ns0:f>
        <ns0:v/>
      </ns0:c>
      <ns0:c r="S186" s="1" t="inlineStr">
        <ns0:is>
          <ns0:t xml:space="preserve"> Hearing voltage up 10%</ns0:t>
        </ns0:is>
      </ns0:c>
    </ns0:row>
    <ns0:row r="187" ht="27.5" customHeight="1">
      <ns0:c r="G187" s="1">
        <ns0:f>+G186/M186</ns0:f>
        <ns0:v/>
      </ns0:c>
      <ns0:c r="H187" s="1">
        <ns0:f>+H186/M186</ns0:f>
        <ns0:v/>
      </ns0:c>
      <ns0:c r="I187" s="1">
        <ns0:f>+I186/M186</ns0:f>
        <ns0:v/>
      </ns0:c>
      <ns0:c r="J187" s="1">
        <ns0:f>+J186/M186</ns0:f>
        <ns0:v/>
      </ns0:c>
      <ns0:c r="K187" s="1">
        <ns0:f>+K186/M186</ns0:f>
        <ns0:v/>
      </ns0:c>
      <ns0:c r="L187" s="1">
        <ns0:f>+L186/M186</ns0:f>
        <ns0:v/>
      </ns0:c>
      <ns0:c r="O187" s="1">
        <ns0:f>+O186/Q186</ns0:f>
        <ns0:v/>
      </ns0:c>
      <ns0:c r="P187" s="1">
        <ns0:f>+P186/Q186</ns0:f>
        <ns0:v/>
      </ns0:c>
    </ns0:row>
    <ns0:row r="188" ht="27.5" customHeight="1">
      <ns0:c r="C188" s="1" t="inlineStr">
        <ns0:is>
          <ns0:t xml:space="preserve"> Total Frame Mold G2</ns0:t>
        </ns0:is>
      </ns0:c>
      <ns0:c r="E188" s="1">
        <ns0:f>SUM(E180:E187)</ns0:f>
        <ns0:v/>
      </ns0:c>
      <ns0:c r="F188" s="1">
        <ns0:f>+E188-M188</ns0:f>
        <ns0:v/>
      </ns0:c>
      <ns0:c r="G188" s="1">
        <ns0:f>SUM(G180+G182+G184+G186)</ns0:f>
        <ns0:v/>
      </ns0:c>
      <ns0:c r="H188" s="1">
        <ns0:f>SUM(H180+H182+H184+H186)</ns0:f>
        <ns0:v/>
      </ns0:c>
      <ns0:c r="I188" s="1">
        <ns0:f>SUM(I180+I182+I184+I186)</ns0:f>
        <ns0:v/>
      </ns0:c>
      <ns0:c r="J188" s="1">
        <ns0:f>SUM(J180+J182+J184+J186)</ns0:f>
        <ns0:v/>
      </ns0:c>
      <ns0:c r="K188" s="1">
        <ns0:f>SUM(K180+K182+K184+K186)</ns0:f>
        <ns0:v/>
      </ns0:c>
      <ns0:c r="L188" s="1">
        <ns0:f>SUM(L180+L182+L184+L186)</ns0:f>
        <ns0:v/>
      </ns0:c>
      <ns0:c r="M188" s="1">
        <ns0:f>SUM(G188:L188)</ns0:f>
        <ns0:v/>
      </ns0:c>
      <ns0:c r="N188" s="1">
        <ns0:f>M188/E188</ns0:f>
        <ns0:v/>
      </ns0:c>
      <ns0:c r="O188" s="1">
        <ns0:f>SUM(O180+O182+O184+O186)</ns0:f>
        <ns0:v/>
      </ns0:c>
      <ns0:c r="P188" s="1">
        <ns0:f>SUM(P180+P182+P184+P186)</ns0:f>
        <ns0:v/>
      </ns0:c>
      <ns0:c r="Q188" s="1">
        <ns0:f>+O188+P188</ns0:f>
        <ns0:v/>
      </ns0:c>
      <ns0:c r="R188" s="1">
        <ns0:f>+Q188/E188</ns0:f>
        <ns0:v/>
      </ns0:c>
      <ns0:c r="S188" s="1" t="inlineStr">
        <ns0:is>
          <ns0:t xml:space="preserve"> Hearing voltage up 10%</ns0:t>
        </ns0:is>
      </ns0:c>
    </ns0:row>
    <ns0:row r="189" ht="27.5" customHeight="1">
      <ns0:c r="G189" s="1">
        <ns0:f>+G188/M188</ns0:f>
        <ns0:v/>
      </ns0:c>
      <ns0:c r="H189" s="1">
        <ns0:f>+H188/M188</ns0:f>
        <ns0:v/>
      </ns0:c>
      <ns0:c r="I189" s="1">
        <ns0:f>+I188/M188</ns0:f>
        <ns0:v/>
      </ns0:c>
      <ns0:c r="J189" s="1">
        <ns0:f>+J188/M188</ns0:f>
        <ns0:v/>
      </ns0:c>
      <ns0:c r="K189" s="1">
        <ns0:f>+K188/M188</ns0:f>
        <ns0:v/>
      </ns0:c>
      <ns0:c r="L189" s="1">
        <ns0:f>+L188/M188</ns0:f>
        <ns0:v/>
      </ns0:c>
      <ns0:c r="O189" s="1">
        <ns0:f>+O188/Q188</ns0:f>
        <ns0:v/>
      </ns0:c>
      <ns0:c r="P189" s="1">
        <ns0:f>+P188/Q188</ns0:f>
        <ns0:v/>
      </ns0:c>
    </ns0:row>
    <ns0:row r="190" ht="27.5" customHeight="1">
      <ns0:c r="C190" s="1" t="inlineStr">
        <ns0:is>
          <ns0:t>FRAME MOLD K1</ns0:t>
        </ns0:is>
      </ns0:c>
      <ns0:c r="D190" s="1" t="inlineStr">
        <ns0:is>
          <ns0:t>Cavity A</ns0:t>
        </ns0:is>
      </ns0:c>
      <ns0:c r="E190" s="1" t="n">
        <ns0:v>96</ns0:v>
      </ns0:c>
      <ns0:c r="F190" s="1">
        <ns0:f>+E190-M190</ns0:f>
        <ns0:v/>
      </ns0:c>
      <ns0:c r="G190" s="1" t="n">
        <ns0:v>0</ns0:v>
      </ns0:c>
      <ns0:c r="H190" s="1" t="n">
        <ns0:v>0</ns0:v>
      </ns0:c>
      <ns0:c r="I190" s="1" t="n">
        <ns0:v>0</ns0:v>
      </ns0:c>
      <ns0:c r="J190" s="1" t="n">
        <ns0:v>0</ns0:v>
      </ns0:c>
      <ns0:c r="K190" s="1" t="n">
        <ns0:v>5</ns0:v>
      </ns0:c>
      <ns0:c r="L190" s="1" t="n">
        <ns0:v>6</ns0:v>
      </ns0:c>
      <ns0:c r="M190" s="1">
        <ns0:f>SUM(G190:L190)</ns0:f>
        <ns0:v/>
      </ns0:c>
      <ns0:c r="N190" s="1">
        <ns0:f>M190/E190</ns0:f>
        <ns0:v/>
      </ns0:c>
      <ns0:c r="O190" s="1" t="n">
        <ns0:v>4</ns0:v>
      </ns0:c>
      <ns0:c r="P190" s="1" t="n">
        <ns0:v>4</ns0:v>
      </ns0:c>
      <ns0:c r="Q190" s="1">
        <ns0:f>+O190+P190</ns0:f>
        <ns0:v/>
      </ns0:c>
      <ns0:c r="R190" s="1">
        <ns0:f>+Q190/E190</ns0:f>
        <ns0:v/>
      </ns0:c>
      <ns0:c r="S190" s="1" t="inlineStr">
        <ns0:is>
          <ns0:t xml:space="preserve"> Hearing voltage up 10%</ns0:t>
        </ns0:is>
      </ns0:c>
    </ns0:row>
    <ns0:row r="191" ht="27.5" customHeight="1">
      <ns0:c r="G191" s="1">
        <ns0:f>+G190/M190</ns0:f>
        <ns0:v/>
      </ns0:c>
      <ns0:c r="H191" s="1">
        <ns0:f>+H190/M190</ns0:f>
        <ns0:v/>
      </ns0:c>
      <ns0:c r="I191" s="1">
        <ns0:f>+I190/M190</ns0:f>
        <ns0:v/>
      </ns0:c>
      <ns0:c r="J191" s="1">
        <ns0:f>+J190/M190</ns0:f>
        <ns0:v/>
      </ns0:c>
      <ns0:c r="K191" s="1">
        <ns0:f>+K190/M190</ns0:f>
        <ns0:v/>
      </ns0:c>
      <ns0:c r="L191" s="1">
        <ns0:f>+L190/M190</ns0:f>
        <ns0:v/>
      </ns0:c>
      <ns0:c r="O191" s="1">
        <ns0:f>+O190/Q190</ns0:f>
        <ns0:v/>
      </ns0:c>
      <ns0:c r="P191" s="1">
        <ns0:f>+P190/Q190</ns0:f>
        <ns0:v/>
      </ns0:c>
    </ns0:row>
    <ns0:row r="192" ht="27.5" customHeight="1">
      <ns0:c r="D192" s="1" t="inlineStr">
        <ns0:is>
          <ns0:t>Cavity B</ns0:t>
        </ns0:is>
      </ns0:c>
      <ns0:c r="E192" s="1" t="n">
        <ns0:v>90</ns0:v>
      </ns0:c>
      <ns0:c r="F192" s="1">
        <ns0:f>+E192-M192</ns0:f>
        <ns0:v/>
      </ns0:c>
      <ns0:c r="G192" s="1" t="n">
        <ns0:v>0</ns0:v>
      </ns0:c>
      <ns0:c r="H192" s="1" t="n">
        <ns0:v>0</ns0:v>
      </ns0:c>
      <ns0:c r="I192" s="1" t="n">
        <ns0:v>0</ns0:v>
      </ns0:c>
      <ns0:c r="J192" s="1" t="n">
        <ns0:v>0</ns0:v>
      </ns0:c>
      <ns0:c r="K192" s="1" t="n">
        <ns0:v>0</ns0:v>
      </ns0:c>
      <ns0:c r="L192" s="1" t="n">
        <ns0:v>2</ns0:v>
      </ns0:c>
      <ns0:c r="M192" s="1">
        <ns0:f>SUM(G192:L192)</ns0:f>
        <ns0:v/>
      </ns0:c>
      <ns0:c r="N192" s="1">
        <ns0:f>M192/E192</ns0:f>
        <ns0:v/>
      </ns0:c>
      <ns0:c r="O192" s="1" t="n">
        <ns0:v>0</ns0:v>
      </ns0:c>
      <ns0:c r="P192" s="1" t="n">
        <ns0:v>0</ns0:v>
      </ns0:c>
      <ns0:c r="Q192" s="1">
        <ns0:f>+O192+P192</ns0:f>
        <ns0:v/>
      </ns0:c>
      <ns0:c r="R192" s="1">
        <ns0:f>+Q192/E192</ns0:f>
        <ns0:v/>
      </ns0:c>
      <ns0:c r="S192" s="1" t="inlineStr">
        <ns0:is>
          <ns0:t xml:space="preserve"> Hearing voltage up 10%</ns0:t>
        </ns0:is>
      </ns0:c>
    </ns0:row>
    <ns0:row r="193" ht="27.5" customHeight="1">
      <ns0:c r="G193" s="1">
        <ns0:f>+G192/M192</ns0:f>
        <ns0:v/>
      </ns0:c>
      <ns0:c r="H193" s="1">
        <ns0:f>+H192/M192</ns0:f>
        <ns0:v/>
      </ns0:c>
      <ns0:c r="I193" s="1">
        <ns0:f>+I192/M192</ns0:f>
        <ns0:v/>
      </ns0:c>
      <ns0:c r="J193" s="1">
        <ns0:f>+J192/M192</ns0:f>
        <ns0:v/>
      </ns0:c>
      <ns0:c r="K193" s="1">
        <ns0:f>+K192/M192</ns0:f>
        <ns0:v/>
      </ns0:c>
      <ns0:c r="L193" s="1">
        <ns0:f>+L192/M192</ns0:f>
        <ns0:v/>
      </ns0:c>
      <ns0:c r="O193" s="1">
        <ns0:f>+O192/Q192</ns0:f>
        <ns0:v/>
      </ns0:c>
      <ns0:c r="P193" s="1">
        <ns0:f>+P192/Q192</ns0:f>
        <ns0:v/>
      </ns0:c>
    </ns0:row>
    <ns0:row r="194" ht="27.5" customHeight="1">
      <ns0:c r="D194" s="1" t="inlineStr">
        <ns0:is>
          <ns0:t>Cavity C</ns0:t>
        </ns0:is>
      </ns0:c>
      <ns0:c r="E194" s="1" t="n">
        <ns0:v>92</ns0:v>
      </ns0:c>
      <ns0:c r="F194" s="1">
        <ns0:f>+E194-M194</ns0:f>
        <ns0:v/>
      </ns0:c>
      <ns0:c r="G194" s="1" t="n">
        <ns0:v>0</ns0:v>
      </ns0:c>
      <ns0:c r="H194" s="1" t="n">
        <ns0:v>0</ns0:v>
      </ns0:c>
      <ns0:c r="I194" s="1" t="n">
        <ns0:v>0</ns0:v>
      </ns0:c>
      <ns0:c r="J194" s="1" t="n">
        <ns0:v>0</ns0:v>
      </ns0:c>
      <ns0:c r="K194" s="1" t="n">
        <ns0:v>0</ns0:v>
      </ns0:c>
      <ns0:c r="L194" s="1" t="n">
        <ns0:v>8</ns0:v>
      </ns0:c>
      <ns0:c r="M194" s="1">
        <ns0:f>SUM(G194:L194)</ns0:f>
        <ns0:v/>
      </ns0:c>
      <ns0:c r="N194" s="1">
        <ns0:f>M194/E194</ns0:f>
        <ns0:v/>
      </ns0:c>
      <ns0:c r="O194" s="1" t="n">
        <ns0:v>0</ns0:v>
      </ns0:c>
      <ns0:c r="P194" s="1" t="n">
        <ns0:v>4</ns0:v>
      </ns0:c>
      <ns0:c r="Q194" s="1">
        <ns0:f>+O194+P194</ns0:f>
        <ns0:v/>
      </ns0:c>
      <ns0:c r="R194" s="1">
        <ns0:f>+Q194/E194</ns0:f>
        <ns0:v/>
      </ns0:c>
      <ns0:c r="S194" s="1" t="inlineStr">
        <ns0:is>
          <ns0:t xml:space="preserve"> Hearing voltage up 10%</ns0:t>
        </ns0:is>
      </ns0:c>
    </ns0:row>
    <ns0:row r="195" ht="27.5" customHeight="1">
      <ns0:c r="G195" s="1">
        <ns0:f>+G194/M194</ns0:f>
        <ns0:v/>
      </ns0:c>
      <ns0:c r="H195" s="1">
        <ns0:f>+H194/M194</ns0:f>
        <ns0:v/>
      </ns0:c>
      <ns0:c r="I195" s="1">
        <ns0:f>+I194/M194</ns0:f>
        <ns0:v/>
      </ns0:c>
      <ns0:c r="J195" s="1">
        <ns0:f>+J194/M194</ns0:f>
        <ns0:v/>
      </ns0:c>
      <ns0:c r="K195" s="1">
        <ns0:f>+K194/M194</ns0:f>
        <ns0:v/>
      </ns0:c>
      <ns0:c r="L195" s="1">
        <ns0:f>+L194/M194</ns0:f>
        <ns0:v/>
      </ns0:c>
      <ns0:c r="O195" s="1">
        <ns0:f>+O194/Q194</ns0:f>
        <ns0:v/>
      </ns0:c>
      <ns0:c r="P195" s="1">
        <ns0:f>+P194/Q194</ns0:f>
        <ns0:v/>
      </ns0:c>
    </ns0:row>
    <ns0:row r="196" ht="27.5" customHeight="1">
      <ns0:c r="D196" s="1" t="inlineStr">
        <ns0:is>
          <ns0:t>Cavity D</ns0:t>
        </ns0:is>
      </ns0:c>
      <ns0:c r="E196" s="1" t="n">
        <ns0:v>100</ns0:v>
      </ns0:c>
      <ns0:c r="F196" s="1">
        <ns0:f>+E196-M196</ns0:f>
        <ns0:v/>
      </ns0:c>
      <ns0:c r="G196" s="1" t="n">
        <ns0:v>0</ns0:v>
      </ns0:c>
      <ns0:c r="H196" s="1" t="n">
        <ns0:v>0</ns0:v>
      </ns0:c>
      <ns0:c r="I196" s="1" t="n">
        <ns0:v>0</ns0:v>
      </ns0:c>
      <ns0:c r="J196" s="1" t="n">
        <ns0:v>0</ns0:v>
      </ns0:c>
      <ns0:c r="K196" s="1" t="n">
        <ns0:v>2</ns0:v>
      </ns0:c>
      <ns0:c r="L196" s="1" t="n">
        <ns0:v>25</ns0:v>
      </ns0:c>
      <ns0:c r="M196" s="1">
        <ns0:f>SUM(G196:L196)</ns0:f>
        <ns0:v/>
      </ns0:c>
      <ns0:c r="N196" s="1">
        <ns0:f>M196/E196</ns0:f>
        <ns0:v/>
      </ns0:c>
      <ns0:c r="O196" s="1" t="n">
        <ns0:v>2</ns0:v>
      </ns0:c>
      <ns0:c r="P196" s="1" t="n">
        <ns0:v>14</ns0:v>
      </ns0:c>
      <ns0:c r="Q196" s="1">
        <ns0:f>+O196+P196</ns0:f>
        <ns0:v/>
      </ns0:c>
      <ns0:c r="R196" s="1">
        <ns0:f>+Q196/E196</ns0:f>
        <ns0:v/>
      </ns0:c>
      <ns0:c r="S196" s="1" t="inlineStr">
        <ns0:is>
          <ns0:t xml:space="preserve"> Hearing voltage up 10%</ns0:t>
        </ns0:is>
      </ns0:c>
    </ns0:row>
    <ns0:row r="197" ht="27.5" customHeight="1">
      <ns0:c r="G197" s="1">
        <ns0:f>+G196/M196</ns0:f>
        <ns0:v/>
      </ns0:c>
      <ns0:c r="H197" s="1">
        <ns0:f>+H196/M196</ns0:f>
        <ns0:v/>
      </ns0:c>
      <ns0:c r="I197" s="1">
        <ns0:f>+I196/M196</ns0:f>
        <ns0:v/>
      </ns0:c>
      <ns0:c r="J197" s="1">
        <ns0:f>+J196/M196</ns0:f>
        <ns0:v/>
      </ns0:c>
      <ns0:c r="K197" s="1">
        <ns0:f>+K196/M196</ns0:f>
        <ns0:v/>
      </ns0:c>
      <ns0:c r="L197" s="1">
        <ns0:f>+L196/M196</ns0:f>
        <ns0:v/>
      </ns0:c>
      <ns0:c r="O197" s="1">
        <ns0:f>+O196/E196</ns0:f>
        <ns0:v/>
      </ns0:c>
      <ns0:c r="P197" s="1">
        <ns0:f>+P196/F196</ns0:f>
        <ns0:v/>
      </ns0:c>
    </ns0:row>
    <ns0:row r="198" ht="27.5" customHeight="1">
      <ns0:c r="C198" s="1" t="inlineStr">
        <ns0:is>
          <ns0:t xml:space="preserve"> Total Frame Mold K1</ns0:t>
        </ns0:is>
      </ns0:c>
      <ns0:c r="E198" s="1">
        <ns0:f>SUM(E190:E197)</ns0:f>
        <ns0:v/>
      </ns0:c>
      <ns0:c r="F198" s="1">
        <ns0:f>+E198-M198</ns0:f>
        <ns0:v/>
      </ns0:c>
      <ns0:c r="G198" s="1">
        <ns0:f>SUM(G190+G192+G194+G196)</ns0:f>
        <ns0:v/>
      </ns0:c>
      <ns0:c r="H198" s="1">
        <ns0:f>SUM(H190+H192+H194+H196)</ns0:f>
        <ns0:v/>
      </ns0:c>
      <ns0:c r="I198" s="1">
        <ns0:f>SUM(I190+I192+I194+I196)</ns0:f>
        <ns0:v/>
      </ns0:c>
      <ns0:c r="J198" s="1">
        <ns0:f>SUM(J190+J192+J194+J196)</ns0:f>
        <ns0:v/>
      </ns0:c>
      <ns0:c r="K198" s="1">
        <ns0:f>SUM(K190+K192+K194+K196)</ns0:f>
        <ns0:v/>
      </ns0:c>
      <ns0:c r="L198" s="1">
        <ns0:f>SUM(L190+L192+L194+L196)</ns0:f>
        <ns0:v/>
      </ns0:c>
      <ns0:c r="M198" s="1">
        <ns0:f>SUM(G198:L198)</ns0:f>
        <ns0:v/>
      </ns0:c>
      <ns0:c r="N198" s="1">
        <ns0:f>M198/E198</ns0:f>
        <ns0:v/>
      </ns0:c>
      <ns0:c r="O198" s="1">
        <ns0:f>SUM(O190+O192+O194+O196)</ns0:f>
        <ns0:v/>
      </ns0:c>
      <ns0:c r="P198" s="1">
        <ns0:f>SUM(P190+P192+P194+P196)</ns0:f>
        <ns0:v/>
      </ns0:c>
      <ns0:c r="Q198" s="1">
        <ns0:f>+O198+P198</ns0:f>
        <ns0:v/>
      </ns0:c>
      <ns0:c r="R198" s="1">
        <ns0:f>+Q198/E198</ns0:f>
        <ns0:v/>
      </ns0:c>
      <ns0:c r="S198" s="1" t="inlineStr">
        <ns0:is>
          <ns0:t xml:space="preserve"> Hearing voltage up 10%</ns0:t>
        </ns0:is>
      </ns0:c>
    </ns0:row>
    <ns0:row r="199" ht="27.5" customHeight="1">
      <ns0:c r="G199" s="1">
        <ns0:f>+G198/M198</ns0:f>
        <ns0:v/>
      </ns0:c>
      <ns0:c r="H199" s="1">
        <ns0:f>+H198/M198</ns0:f>
        <ns0:v/>
      </ns0:c>
      <ns0:c r="I199" s="1">
        <ns0:f>+I198/M198</ns0:f>
        <ns0:v/>
      </ns0:c>
      <ns0:c r="J199" s="1">
        <ns0:f>+J198/M198</ns0:f>
        <ns0:v/>
      </ns0:c>
      <ns0:c r="K199" s="1">
        <ns0:f>+K198/M198</ns0:f>
        <ns0:v/>
      </ns0:c>
      <ns0:c r="L199" s="1">
        <ns0:f>+L198/M198</ns0:f>
        <ns0:v/>
      </ns0:c>
      <ns0:c r="O199" s="1">
        <ns0:f>+O198/Q198</ns0:f>
        <ns0:v/>
      </ns0:c>
      <ns0:c r="P199" s="1">
        <ns0:f>+P198/Q198</ns0:f>
        <ns0:v/>
      </ns0:c>
    </ns0:row>
    <ns0:row r="200" ht="37.25" customHeight="1">
      <ns0:c r="C200" s="1" t="inlineStr">
        <ns0:is>
          <ns0:t>Frame + VP bonding outside</ns0:t>
        </ns0:is>
      </ns0:c>
      <ns0:c r="D200" s="1" t="inlineStr">
        <ns0:is>
          <ns0:t>New Bond 220LB date 240427</ns0:t>
        </ns0:is>
      </ns0:c>
      <ns0:c r="E200" s="1" t="n">
        <ns0:v>500</ns0:v>
      </ns0:c>
      <ns0:c r="F200" s="1">
        <ns0:f>+E200-M200</ns0:f>
        <ns0:v/>
      </ns0:c>
      <ns0:c r="G200" s="1" t="n">
        <ns0:v>0</ns0:v>
      </ns0:c>
      <ns0:c r="H200" s="1" t="n">
        <ns0:v>0</ns0:v>
      </ns0:c>
      <ns0:c r="I200" s="1" t="n">
        <ns0:v>0</ns0:v>
      </ns0:c>
      <ns0:c r="J200" s="1" t="n">
        <ns0:v>0</ns0:v>
      </ns0:c>
      <ns0:c r="K200" s="1" t="n">
        <ns0:v>15</ns0:v>
      </ns0:c>
      <ns0:c r="L200" s="1" t="n">
        <ns0:v>28</ns0:v>
      </ns0:c>
      <ns0:c r="M200" s="1">
        <ns0:f>SUM(G200:L200)</ns0:f>
        <ns0:v/>
      </ns0:c>
      <ns0:c r="N200" s="1">
        <ns0:f>M200/E200</ns0:f>
        <ns0:v/>
      </ns0:c>
      <ns0:c r="O200" s="1" t="n">
        <ns0:v>7</ns0:v>
      </ns0:c>
      <ns0:c r="P200" s="1" t="n">
        <ns0:v>13</ns0:v>
      </ns0:c>
      <ns0:c r="Q200" s="1">
        <ns0:f>+O200+P200</ns0:f>
        <ns0:v/>
      </ns0:c>
      <ns0:c r="R200" s="1">
        <ns0:f>+Q200/E200</ns0:f>
        <ns0:v/>
      </ns0:c>
      <ns0:c r="S200" s="1" t="inlineStr">
        <ns0:is>
          <ns0:t xml:space="preserve"> Hearing voltage up 10%</ns0:t>
        </ns0:is>
      </ns0:c>
    </ns0:row>
    <ns0:row r="201" ht="37.25" customHeight="1">
      <ns0:c r="G201" s="1">
        <ns0:f>+G200/M200</ns0:f>
        <ns0:v/>
      </ns0:c>
      <ns0:c r="H201" s="1">
        <ns0:f>+H200/M200</ns0:f>
        <ns0:v/>
      </ns0:c>
      <ns0:c r="I201" s="1">
        <ns0:f>+I200/M200</ns0:f>
        <ns0:v/>
      </ns0:c>
      <ns0:c r="J201" s="1">
        <ns0:f>+J200/M200</ns0:f>
        <ns0:v/>
      </ns0:c>
      <ns0:c r="K201" s="1">
        <ns0:f>+K200/M200</ns0:f>
        <ns0:v/>
      </ns0:c>
      <ns0:c r="L201" s="1">
        <ns0:f>+L200/M200</ns0:f>
        <ns0:v/>
      </ns0:c>
      <ns0:c r="O201" s="1">
        <ns0:f>+O200/Q200</ns0:f>
        <ns0:v/>
      </ns0:c>
      <ns0:c r="P201" s="1">
        <ns0:f>+P200/Q200</ns0:f>
        <ns0:v/>
      </ns0:c>
    </ns0:row>
    <ns0:row r="202" ht="37.25" customHeight="1">
      <ns0:c r="B202" s="2" t="n">
        <ns0:v>45467</ns0:v>
      </ns0:c>
      <ns0:c r="C202" s="1" t="inlineStr">
        <ns0:is>
          <ns0:t xml:space="preserve">Frame+Coil </ns0:t>
        </ns0:is>
      </ns0:c>
      <ns0:c r="D202" s="1" t="inlineStr">
        <ns0:is>
          <ns0:t>Frame move in Jig</ns0:t>
        </ns0:is>
      </ns0:c>
      <ns0:c r="E202" s="1" t="n">
        <ns0:v>44</ns0:v>
      </ns0:c>
      <ns0:c r="F202" s="1">
        <ns0:f>+E202-M202</ns0:f>
        <ns0:v/>
      </ns0:c>
      <ns0:c r="G202" s="1" t="n">
        <ns0:v>0</ns0:v>
      </ns0:c>
      <ns0:c r="H202" s="1" t="n">
        <ns0:v>0</ns0:v>
      </ns0:c>
      <ns0:c r="I202" s="1" t="n">
        <ns0:v>0</ns0:v>
      </ns0:c>
      <ns0:c r="J202" s="1" t="n">
        <ns0:v>0</ns0:v>
      </ns0:c>
      <ns0:c r="K202" s="1" t="n">
        <ns0:v>2</ns0:v>
      </ns0:c>
      <ns0:c r="L202" s="1" t="n">
        <ns0:v>11</ns0:v>
      </ns0:c>
      <ns0:c r="M202" s="1">
        <ns0:f>SUM(G202:L202)</ns0:f>
        <ns0:v/>
      </ns0:c>
      <ns0:c r="N202" s="1">
        <ns0:f>M202/E202</ns0:f>
        <ns0:v/>
      </ns0:c>
      <ns0:c r="O202" s="1" t="n">
        <ns0:v>2</ns0:v>
      </ns0:c>
      <ns0:c r="P202" s="1" t="n">
        <ns0:v>7</ns0:v>
      </ns0:c>
      <ns0:c r="Q202" s="1">
        <ns0:f>+O202+P202</ns0:f>
        <ns0:v/>
      </ns0:c>
      <ns0:c r="R202" s="1">
        <ns0:f>+Q202/E202</ns0:f>
        <ns0:v/>
      </ns0:c>
      <ns0:c r="S202" s="1" t="inlineStr">
        <ns0:is>
          <ns0:t xml:space="preserve"> Hearing voltage up 10%</ns0:t>
        </ns0:is>
      </ns0:c>
    </ns0:row>
    <ns0:row r="203" ht="37.25" customHeight="1">
      <ns0:c r="G203" s="1">
        <ns0:f>+G202/M202</ns0:f>
        <ns0:v/>
      </ns0:c>
      <ns0:c r="H203" s="1">
        <ns0:f>+H202/M202</ns0:f>
        <ns0:v/>
      </ns0:c>
      <ns0:c r="I203" s="1">
        <ns0:f>+I202/M202</ns0:f>
        <ns0:v/>
      </ns0:c>
      <ns0:c r="J203" s="1">
        <ns0:f>+J202/M202</ns0:f>
        <ns0:v/>
      </ns0:c>
      <ns0:c r="K203" s="1">
        <ns0:f>+K202/M202</ns0:f>
        <ns0:v/>
      </ns0:c>
      <ns0:c r="L203" s="1">
        <ns0:f>+L202/M202</ns0:f>
        <ns0:v/>
      </ns0:c>
      <ns0:c r="O203" s="1">
        <ns0:f>+O202/Q202</ns0:f>
        <ns0:v/>
      </ns0:c>
      <ns0:c r="P203" s="1">
        <ns0:f>+P202/Q202</ns0:f>
        <ns0:v/>
      </ns0:c>
    </ns0:row>
    <ns0:row r="204" ht="37.25" customHeight="1">
      <ns0:c r="D204" s="1" t="inlineStr">
        <ns0:is>
          <ns0:t>Frame don’t move in Jig</ns0:t>
        </ns0:is>
      </ns0:c>
      <ns0:c r="E204" s="1" t="n">
        <ns0:v>57</ns0:v>
      </ns0:c>
      <ns0:c r="F204" s="1">
        <ns0:f>+E204-M204</ns0:f>
        <ns0:v/>
      </ns0:c>
      <ns0:c r="G204" s="1" t="n">
        <ns0:v>0</ns0:v>
      </ns0:c>
      <ns0:c r="H204" s="1" t="n">
        <ns0:v>0</ns0:v>
      </ns0:c>
      <ns0:c r="I204" s="1" t="n">
        <ns0:v>0</ns0:v>
      </ns0:c>
      <ns0:c r="J204" s="1" t="n">
        <ns0:v>0</ns0:v>
      </ns0:c>
      <ns0:c r="K204" s="1" t="n">
        <ns0:v>0</ns0:v>
      </ns0:c>
      <ns0:c r="L204" s="1" t="n">
        <ns0:v>0</ns0:v>
      </ns0:c>
      <ns0:c r="M204" s="1">
        <ns0:f>SUM(G204:L204)</ns0:f>
        <ns0:v/>
      </ns0:c>
      <ns0:c r="N204" s="1">
        <ns0:f>M204/E204</ns0:f>
        <ns0:v/>
      </ns0:c>
      <ns0:c r="O204" s="1" t="n">
        <ns0:v>0</ns0:v>
      </ns0:c>
      <ns0:c r="P204" s="1" t="n">
        <ns0:v>0</ns0:v>
      </ns0:c>
      <ns0:c r="Q204" s="1">
        <ns0:f>+O204+P204</ns0:f>
        <ns0:v/>
      </ns0:c>
      <ns0:c r="R204" s="1">
        <ns0:f>+Q204/E204</ns0:f>
        <ns0:v/>
      </ns0:c>
      <ns0:c r="S204" s="1" t="inlineStr">
        <ns0:is>
          <ns0:t xml:space="preserve"> Hearing voltage up 10%</ns0:t>
        </ns0:is>
      </ns0:c>
    </ns0:row>
    <ns0:row r="205" ht="37.25" customHeight="1">
      <ns0:c r="G205" s="1">
        <ns0:f>+G204/M204</ns0:f>
        <ns0:v/>
      </ns0:c>
      <ns0:c r="H205" s="1">
        <ns0:f>+H204/M204</ns0:f>
        <ns0:v/>
      </ns0:c>
      <ns0:c r="I205" s="1">
        <ns0:f>+I204/M204</ns0:f>
        <ns0:v/>
      </ns0:c>
      <ns0:c r="J205" s="1">
        <ns0:f>+J204/M204</ns0:f>
        <ns0:v/>
      </ns0:c>
      <ns0:c r="K205" s="1">
        <ns0:f>+K204/M204</ns0:f>
        <ns0:v/>
      </ns0:c>
      <ns0:c r="L205" s="1">
        <ns0:f>+L204/M204</ns0:f>
        <ns0:v/>
      </ns0:c>
      <ns0:c r="O205" s="1">
        <ns0:f>+O204/Q204</ns0:f>
        <ns0:v/>
      </ns0:c>
      <ns0:c r="P205" s="1">
        <ns0:f>+P204/Q204</ns0:f>
        <ns0:v/>
      </ns0:c>
    </ns0:row>
    <ns0:row r="206" ht="37.25" customHeight="1">
      <ns0:c r="C206" s="1" t="inlineStr">
        <ns0:is>
          <ns0:t>VP new lot ( Date 3/6)</ns0:t>
        </ns0:is>
      </ns0:c>
      <ns0:c r="D206" s="1" t="inlineStr">
        <ns0:is>
          <ns0:t>NO 13 - 2H  + AWF#1</ns0:t>
        </ns0:is>
      </ns0:c>
      <ns0:c r="E206" s="1" t="n">
        <ns0:v>72</ns0:v>
      </ns0:c>
      <ns0:c r="F206" s="1">
        <ns0:f>+E206-M206</ns0:f>
        <ns0:v/>
      </ns0:c>
      <ns0:c r="G206" s="1" t="n">
        <ns0:v>0</ns0:v>
      </ns0:c>
      <ns0:c r="H206" s="1" t="n">
        <ns0:v>0</ns0:v>
      </ns0:c>
      <ns0:c r="I206" s="1" t="n">
        <ns0:v>0</ns0:v>
      </ns0:c>
      <ns0:c r="J206" s="1" t="n">
        <ns0:v>0</ns0:v>
      </ns0:c>
      <ns0:c r="K206" s="1" t="n">
        <ns0:v>1</ns0:v>
      </ns0:c>
      <ns0:c r="L206" s="1" t="n">
        <ns0:v>6</ns0:v>
      </ns0:c>
      <ns0:c r="M206" s="1">
        <ns0:f>SUM(G206:L206)</ns0:f>
        <ns0:v/>
      </ns0:c>
      <ns0:c r="N206" s="1">
        <ns0:f>M206/E206</ns0:f>
        <ns0:v/>
      </ns0:c>
      <ns0:c r="O206" s="1" t="n">
        <ns0:v>0</ns0:v>
      </ns0:c>
      <ns0:c r="P206" s="1" t="n">
        <ns0:v>6</ns0:v>
      </ns0:c>
      <ns0:c r="Q206" s="1">
        <ns0:f>+O206+P206</ns0:f>
        <ns0:v/>
      </ns0:c>
      <ns0:c r="R206" s="1">
        <ns0:f>+Q206/E206</ns0:f>
        <ns0:v/>
      </ns0:c>
      <ns0:c r="S206" s="1" t="inlineStr">
        <ns0:is>
          <ns0:t xml:space="preserve"> Hearing voltage up 10%</ns0:t>
        </ns0:is>
      </ns0:c>
    </ns0:row>
    <ns0:row r="207" ht="37.25" customHeight="1">
      <ns0:c r="G207" s="1">
        <ns0:f>+G206/M206</ns0:f>
        <ns0:v/>
      </ns0:c>
      <ns0:c r="H207" s="1">
        <ns0:f>+H206/M206</ns0:f>
        <ns0:v/>
      </ns0:c>
      <ns0:c r="I207" s="1">
        <ns0:f>+I206/M206</ns0:f>
        <ns0:v/>
      </ns0:c>
      <ns0:c r="J207" s="1">
        <ns0:f>+J206/M206</ns0:f>
        <ns0:v/>
      </ns0:c>
      <ns0:c r="K207" s="1">
        <ns0:f>+K206/M206</ns0:f>
        <ns0:v/>
      </ns0:c>
      <ns0:c r="L207" s="1">
        <ns0:f>+L206/M206</ns0:f>
        <ns0:v/>
      </ns0:c>
      <ns0:c r="O207" s="1">
        <ns0:f>+O206/Q206</ns0:f>
        <ns0:v/>
      </ns0:c>
      <ns0:c r="P207" s="1">
        <ns0:f>+P206/Q206</ns0:f>
        <ns0:v/>
      </ns0:c>
    </ns0:row>
    <ns0:row r="208" ht="37.25" customHeight="1">
      <ns0:c r="D208" s="1" t="inlineStr">
        <ns0:is>
          <ns0:t>NO 13 - 2H  + AWF#1</ns0:t>
        </ns0:is>
      </ns0:c>
      <ns0:c r="E208" s="1" t="n">
        <ns0:v>81</ns0:v>
      </ns0:c>
      <ns0:c r="F208" s="1">
        <ns0:f>+E208-M208</ns0:f>
        <ns0:v/>
      </ns0:c>
      <ns0:c r="G208" s="1" t="n">
        <ns0:v>0</ns0:v>
      </ns0:c>
      <ns0:c r="H208" s="1" t="n">
        <ns0:v>0</ns0:v>
      </ns0:c>
      <ns0:c r="I208" s="1" t="n">
        <ns0:v>0</ns0:v>
      </ns0:c>
      <ns0:c r="J208" s="1" t="n">
        <ns0:v>0</ns0:v>
      </ns0:c>
      <ns0:c r="K208" s="1" t="n">
        <ns0:v>4</ns0:v>
      </ns0:c>
      <ns0:c r="L208" s="1" t="n">
        <ns0:v>11</ns0:v>
      </ns0:c>
      <ns0:c r="M208" s="1">
        <ns0:f>SUM(G208:L208)</ns0:f>
        <ns0:v/>
      </ns0:c>
      <ns0:c r="N208" s="1">
        <ns0:f>M208/E208</ns0:f>
        <ns0:v/>
      </ns0:c>
      <ns0:c r="O208" s="1" t="n">
        <ns0:v>2</ns0:v>
      </ns0:c>
      <ns0:c r="P208" s="1" t="n">
        <ns0:v>8</ns0:v>
      </ns0:c>
      <ns0:c r="Q208" s="1">
        <ns0:f>+O208+P208</ns0:f>
        <ns0:v/>
      </ns0:c>
      <ns0:c r="R208" s="1">
        <ns0:f>+Q208/E208</ns0:f>
        <ns0:v/>
      </ns0:c>
      <ns0:c r="S208" s="1" t="inlineStr">
        <ns0:is>
          <ns0:t xml:space="preserve"> Hearing voltage up 10%</ns0:t>
        </ns0:is>
      </ns0:c>
    </ns0:row>
    <ns0:row r="209" ht="37.25" customHeight="1">
      <ns0:c r="G209" s="1">
        <ns0:f>+G208/M208</ns0:f>
        <ns0:v/>
      </ns0:c>
      <ns0:c r="H209" s="1">
        <ns0:f>+H208/M208</ns0:f>
        <ns0:v/>
      </ns0:c>
      <ns0:c r="I209" s="1">
        <ns0:f>+I208/M208</ns0:f>
        <ns0:v/>
      </ns0:c>
      <ns0:c r="J209" s="1">
        <ns0:f>+J208/M208</ns0:f>
        <ns0:v/>
      </ns0:c>
      <ns0:c r="K209" s="1">
        <ns0:f>+K208/M208</ns0:f>
        <ns0:v/>
      </ns0:c>
      <ns0:c r="L209" s="1">
        <ns0:f>+L208/M208</ns0:f>
        <ns0:v/>
      </ns0:c>
      <ns0:c r="O209" s="1">
        <ns0:f>+O208/Q208</ns0:f>
        <ns0:v/>
      </ns0:c>
      <ns0:c r="P209" s="1">
        <ns0:f>+P208/Q208</ns0:f>
        <ns0:v/>
      </ns0:c>
    </ns0:row>
    <ns0:row r="210" ht="37.25" customHeight="1">
      <ns0:c r="D210" s="1" t="inlineStr">
        <ns0:is>
          <ns0:t>NO 13 - 2H  + AWF#1</ns0:t>
        </ns0:is>
      </ns0:c>
      <ns0:c r="E210" s="1" t="n">
        <ns0:v>77</ns0:v>
      </ns0:c>
      <ns0:c r="F210" s="1">
        <ns0:f>+E210-M210</ns0:f>
        <ns0:v/>
      </ns0:c>
      <ns0:c r="G210" s="1" t="n">
        <ns0:v>0</ns0:v>
      </ns0:c>
      <ns0:c r="H210" s="1" t="n">
        <ns0:v>0</ns0:v>
      </ns0:c>
      <ns0:c r="I210" s="1" t="n">
        <ns0:v>0</ns0:v>
      </ns0:c>
      <ns0:c r="J210" s="1" t="n">
        <ns0:v>0</ns0:v>
      </ns0:c>
      <ns0:c r="K210" s="1" t="n">
        <ns0:v>1</ns0:v>
      </ns0:c>
      <ns0:c r="L210" s="1" t="n">
        <ns0:v>9</ns0:v>
      </ns0:c>
      <ns0:c r="M210" s="1">
        <ns0:f>SUM(G210:L210)</ns0:f>
        <ns0:v/>
      </ns0:c>
      <ns0:c r="N210" s="1">
        <ns0:f>M210/E210</ns0:f>
        <ns0:v/>
      </ns0:c>
      <ns0:c r="O210" s="1" t="n">
        <ns0:v>0</ns0:v>
      </ns0:c>
      <ns0:c r="P210" s="1" t="n">
        <ns0:v>7</ns0:v>
      </ns0:c>
      <ns0:c r="Q210" s="1">
        <ns0:f>+O210+P210</ns0:f>
        <ns0:v/>
      </ns0:c>
      <ns0:c r="R210" s="1">
        <ns0:f>+Q210/E210</ns0:f>
        <ns0:v/>
      </ns0:c>
      <ns0:c r="S210" s="1" t="inlineStr">
        <ns0:is>
          <ns0:t xml:space="preserve"> Hearing voltage up 10%</ns0:t>
        </ns0:is>
      </ns0:c>
    </ns0:row>
    <ns0:row r="211" ht="37.25" customHeight="1">
      <ns0:c r="G211" s="1">
        <ns0:f>+G210/M210</ns0:f>
        <ns0:v/>
      </ns0:c>
      <ns0:c r="H211" s="1">
        <ns0:f>+H210/M210</ns0:f>
        <ns0:v/>
      </ns0:c>
      <ns0:c r="I211" s="1">
        <ns0:f>+I210/M210</ns0:f>
        <ns0:v/>
      </ns0:c>
      <ns0:c r="J211" s="1">
        <ns0:f>+J210/M210</ns0:f>
        <ns0:v/>
      </ns0:c>
      <ns0:c r="K211" s="1">
        <ns0:f>+K210/M210</ns0:f>
        <ns0:v/>
      </ns0:c>
      <ns0:c r="L211" s="1">
        <ns0:f>+L210/M210</ns0:f>
        <ns0:v/>
      </ns0:c>
      <ns0:c r="O211" s="1">
        <ns0:f>+O210/Q210</ns0:f>
        <ns0:v/>
      </ns0:c>
      <ns0:c r="P211" s="1">
        <ns0:f>+P210/Q210</ns0:f>
        <ns0:v/>
      </ns0:c>
    </ns0:row>
    <ns0:row r="212" ht="37.25" customHeight="1">
      <ns0:c r="D212" s="1" t="inlineStr">
        <ns0:is>
          <ns0:t>NO 13 - 2H  + AWF#1</ns0:t>
        </ns0:is>
      </ns0:c>
      <ns0:c r="E212" s="1" t="n">
        <ns0:v>80</ns0:v>
      </ns0:c>
      <ns0:c r="F212" s="1">
        <ns0:f>+E212-M212</ns0:f>
        <ns0:v/>
      </ns0:c>
      <ns0:c r="G212" s="1" t="n">
        <ns0:v>0</ns0:v>
      </ns0:c>
      <ns0:c r="H212" s="1" t="n">
        <ns0:v>0</ns0:v>
      </ns0:c>
      <ns0:c r="I212" s="1" t="n">
        <ns0:v>0</ns0:v>
      </ns0:c>
      <ns0:c r="J212" s="1" t="n">
        <ns0:v>0</ns0:v>
      </ns0:c>
      <ns0:c r="K212" s="1" t="n">
        <ns0:v>5</ns0:v>
      </ns0:c>
      <ns0:c r="L212" s="1" t="n">
        <ns0:v>7</ns0:v>
      </ns0:c>
      <ns0:c r="M212" s="1">
        <ns0:f>SUM(G212:L212)</ns0:f>
        <ns0:v/>
      </ns0:c>
      <ns0:c r="N212" s="1">
        <ns0:f>M212/E212</ns0:f>
        <ns0:v/>
      </ns0:c>
      <ns0:c r="O212" s="1" t="n">
        <ns0:v>4</ns0:v>
      </ns0:c>
      <ns0:c r="P212" s="1" t="n">
        <ns0:v>2</ns0:v>
      </ns0:c>
      <ns0:c r="Q212" s="1">
        <ns0:f>+O212+P212</ns0:f>
        <ns0:v/>
      </ns0:c>
      <ns0:c r="R212" s="1">
        <ns0:f>+Q212/E212</ns0:f>
        <ns0:v/>
      </ns0:c>
      <ns0:c r="S212" s="1" t="inlineStr">
        <ns0:is>
          <ns0:t xml:space="preserve"> Hearing voltage up 10%</ns0:t>
        </ns0:is>
      </ns0:c>
    </ns0:row>
    <ns0:row r="213" ht="37.25" customHeight="1">
      <ns0:c r="G213" s="1">
        <ns0:f>+G212/M212</ns0:f>
        <ns0:v/>
      </ns0:c>
      <ns0:c r="H213" s="1">
        <ns0:f>+H212/M212</ns0:f>
        <ns0:v/>
      </ns0:c>
      <ns0:c r="I213" s="1">
        <ns0:f>+I212/M212</ns0:f>
        <ns0:v/>
      </ns0:c>
      <ns0:c r="J213" s="1">
        <ns0:f>+J212/M212</ns0:f>
        <ns0:v/>
      </ns0:c>
      <ns0:c r="K213" s="1">
        <ns0:f>+K212/M212</ns0:f>
        <ns0:v/>
      </ns0:c>
      <ns0:c r="L213" s="1">
        <ns0:f>+L212/M212</ns0:f>
        <ns0:v/>
      </ns0:c>
      <ns0:c r="O213" s="1">
        <ns0:f>+O212/Q212</ns0:f>
        <ns0:v/>
      </ns0:c>
      <ns0:c r="P213" s="1">
        <ns0:f>+P212/Q212</ns0:f>
        <ns0:v/>
      </ns0:c>
    </ns0:row>
    <ns0:row r="214" ht="37.25" customHeight="1">
      <ns0:c r="C214" s="1" t="inlineStr">
        <ns0:is>
          <ns0:t xml:space="preserve"> Total VP new lot </ns0:t>
        </ns0:is>
      </ns0:c>
      <ns0:c r="E214" s="1">
        <ns0:f>SUM(E206:E213)</ns0:f>
        <ns0:v/>
      </ns0:c>
      <ns0:c r="F214" s="1">
        <ns0:f>+E214-M214</ns0:f>
        <ns0:v/>
      </ns0:c>
      <ns0:c r="G214" s="1">
        <ns0:f>SUM(G206+G208+G210+G212)</ns0:f>
        <ns0:v/>
      </ns0:c>
      <ns0:c r="H214" s="1">
        <ns0:f>SUM(H206+H208+H210+H212)</ns0:f>
        <ns0:v/>
      </ns0:c>
      <ns0:c r="I214" s="1">
        <ns0:f>SUM(I206+I208+I210+I212)</ns0:f>
        <ns0:v/>
      </ns0:c>
      <ns0:c r="J214" s="1">
        <ns0:f>SUM(J206+J208+J210+J212)</ns0:f>
        <ns0:v/>
      </ns0:c>
      <ns0:c r="K214" s="1">
        <ns0:f>SUM(K206+K208+K210+K212)</ns0:f>
        <ns0:v/>
      </ns0:c>
      <ns0:c r="L214" s="1">
        <ns0:f>SUM(L206+L208+L210+L212)</ns0:f>
        <ns0:v/>
      </ns0:c>
      <ns0:c r="M214" s="1">
        <ns0:f>SUM(G214:L214)</ns0:f>
        <ns0:v/>
      </ns0:c>
      <ns0:c r="N214" s="1">
        <ns0:f>M214/E214</ns0:f>
        <ns0:v/>
      </ns0:c>
      <ns0:c r="O214" s="1">
        <ns0:f>SUM(O206+O208+O210+O212)</ns0:f>
        <ns0:v/>
      </ns0:c>
      <ns0:c r="P214" s="1">
        <ns0:f>SUM(P206+P208+P210+P212)</ns0:f>
        <ns0:v/>
      </ns0:c>
      <ns0:c r="Q214" s="1">
        <ns0:f>+O214+P214</ns0:f>
        <ns0:v/>
      </ns0:c>
      <ns0:c r="R214" s="1">
        <ns0:f>+Q214/E214</ns0:f>
        <ns0:v/>
      </ns0:c>
      <ns0:c r="S214" s="1" t="inlineStr">
        <ns0:is>
          <ns0:t xml:space="preserve"> Hearing voltage up 10%</ns0:t>
        </ns0:is>
      </ns0:c>
    </ns0:row>
    <ns0:row r="215" ht="37.25" customHeight="1">
      <ns0:c r="G215" s="1">
        <ns0:f>+G214/M214</ns0:f>
        <ns0:v/>
      </ns0:c>
      <ns0:c r="H215" s="1">
        <ns0:f>+H214/M214</ns0:f>
        <ns0:v/>
      </ns0:c>
      <ns0:c r="I215" s="1">
        <ns0:f>+I214/M214</ns0:f>
        <ns0:v/>
      </ns0:c>
      <ns0:c r="J215" s="1">
        <ns0:f>+J214/M214</ns0:f>
        <ns0:v/>
      </ns0:c>
      <ns0:c r="K215" s="1">
        <ns0:f>+K214/M214</ns0:f>
        <ns0:v/>
      </ns0:c>
      <ns0:c r="L215" s="1">
        <ns0:f>+L214/M214</ns0:f>
        <ns0:v/>
      </ns0:c>
      <ns0:c r="O215" s="1">
        <ns0:f>+O214/Q214</ns0:f>
        <ns0:v/>
      </ns0:c>
      <ns0:c r="P215" s="1">
        <ns0:f>+P214/Q214</ns0:f>
        <ns0:v/>
      </ns0:c>
    </ns0:row>
    <ns0:row r="216" ht="37.25" customHeight="1">
      <ns0:c r="B216" s="2" t="n">
        <ns0:v>45468</ns0:v>
      </ns0:c>
      <ns0:c r="C216" s="1" t="inlineStr">
        <ns0:is>
          <ns0:t xml:space="preserve">Frame+Coil </ns0:t>
        </ns0:is>
      </ns0:c>
      <ns0:c r="D216" s="1" t="inlineStr">
        <ns0:is>
          <ns0:t>Semi Frame + Coil GN =&gt; KR</ns0:t>
        </ns0:is>
      </ns0:c>
      <ns0:c r="E216" s="1" t="n">
        <ns0:v>80</ns0:v>
      </ns0:c>
      <ns0:c r="F216" s="1">
        <ns0:f>+E216-M216</ns0:f>
        <ns0:v/>
      </ns0:c>
      <ns0:c r="G216" s="1" t="n">
        <ns0:v>0</ns0:v>
      </ns0:c>
      <ns0:c r="H216" s="1" t="n">
        <ns0:v>0</ns0:v>
      </ns0:c>
      <ns0:c r="I216" s="1" t="n">
        <ns0:v>0</ns0:v>
      </ns0:c>
      <ns0:c r="J216" s="1" t="n">
        <ns0:v>0</ns0:v>
      </ns0:c>
      <ns0:c r="K216" s="1" t="n">
        <ns0:v>5</ns0:v>
      </ns0:c>
      <ns0:c r="L216" s="1" t="n">
        <ns0:v>4</ns0:v>
      </ns0:c>
      <ns0:c r="M216" s="1">
        <ns0:f>SUM(G216:L216)</ns0:f>
        <ns0:v/>
      </ns0:c>
      <ns0:c r="N216" s="1">
        <ns0:f>M216/E216</ns0:f>
        <ns0:v/>
      </ns0:c>
      <ns0:c r="O216" s="1" t="n">
        <ns0:v>2</ns0:v>
      </ns0:c>
      <ns0:c r="P216" s="1" t="n">
        <ns0:v>2</ns0:v>
      </ns0:c>
      <ns0:c r="Q216" s="1">
        <ns0:f>+O216+P216</ns0:f>
        <ns0:v/>
      </ns0:c>
      <ns0:c r="R216" s="1">
        <ns0:f>+Q216/E216</ns0:f>
        <ns0:v/>
      </ns0:c>
      <ns0:c r="S216" s="1" t="inlineStr">
        <ns0:is>
          <ns0:t xml:space="preserve"> Hearing voltage up 10%</ns0:t>
        </ns0:is>
      </ns0:c>
    </ns0:row>
    <ns0:row r="217" ht="37.25" customHeight="1">
      <ns0:c r="G217" s="1">
        <ns0:f>+G216/M216</ns0:f>
        <ns0:v/>
      </ns0:c>
      <ns0:c r="H217" s="1">
        <ns0:f>+H216/M216</ns0:f>
        <ns0:v/>
      </ns0:c>
      <ns0:c r="I217" s="1">
        <ns0:f>+I216/M216</ns0:f>
        <ns0:v/>
      </ns0:c>
      <ns0:c r="J217" s="1">
        <ns0:f>+J216/M216</ns0:f>
        <ns0:v/>
      </ns0:c>
      <ns0:c r="K217" s="1">
        <ns0:f>+K216/M216</ns0:f>
        <ns0:v/>
      </ns0:c>
      <ns0:c r="L217" s="1">
        <ns0:f>+L216/M216</ns0:f>
        <ns0:v/>
      </ns0:c>
      <ns0:c r="O217" s="1">
        <ns0:f>+O216/Q216</ns0:f>
        <ns0:v/>
      </ns0:c>
      <ns0:c r="P217" s="1">
        <ns0:f>+P216/Q216</ns0:f>
        <ns0:v/>
      </ns0:c>
    </ns0:row>
    <ns0:row r="218" ht="37.25" customHeight="1">
      <ns0:c r="D218" s="1" t="inlineStr">
        <ns0:is>
          <ns0:t>Normal</ns0:t>
        </ns0:is>
      </ns0:c>
      <ns0:c r="E218" s="1" t="n">
        <ns0:v>797</ns0:v>
      </ns0:c>
      <ns0:c r="F218" s="1">
        <ns0:f>+E218-M218</ns0:f>
        <ns0:v/>
      </ns0:c>
      <ns0:c r="G218" s="1" t="n">
        <ns0:v>0</ns0:v>
      </ns0:c>
      <ns0:c r="H218" s="1" t="n">
        <ns0:v>0</ns0:v>
      </ns0:c>
      <ns0:c r="I218" s="1" t="n">
        <ns0:v>0</ns0:v>
      </ns0:c>
      <ns0:c r="J218" s="1" t="n">
        <ns0:v>0</ns0:v>
      </ns0:c>
      <ns0:c r="K218" s="1" t="n">
        <ns0:v>86</ns0:v>
      </ns0:c>
      <ns0:c r="L218" s="1" t="n">
        <ns0:v>98</ns0:v>
      </ns0:c>
      <ns0:c r="M218" s="1">
        <ns0:f>SUM(G218:L218)</ns0:f>
        <ns0:v/>
      </ns0:c>
      <ns0:c r="N218" s="1">
        <ns0:f>M218/E218</ns0:f>
        <ns0:v/>
      </ns0:c>
      <ns0:c r="O218" s="1" t="n">
        <ns0:v>45</ns0:v>
      </ns0:c>
      <ns0:c r="P218" s="1" t="n">
        <ns0:v>43</ns0:v>
      </ns0:c>
      <ns0:c r="Q218" s="1">
        <ns0:f>+O218+P218</ns0:f>
        <ns0:v/>
      </ns0:c>
      <ns0:c r="R218" s="1">
        <ns0:f>+Q218/E218</ns0:f>
        <ns0:v/>
      </ns0:c>
      <ns0:c r="S218" s="1" t="inlineStr">
        <ns0:is>
          <ns0:t xml:space="preserve"> Hearing voltage up 10%</ns0:t>
        </ns0:is>
      </ns0:c>
    </ns0:row>
    <ns0:row r="219" ht="37.25" customHeight="1">
      <ns0:c r="G219" s="1">
        <ns0:f>+G218/M218</ns0:f>
        <ns0:v/>
      </ns0:c>
      <ns0:c r="H219" s="1">
        <ns0:f>+H218/M218</ns0:f>
        <ns0:v/>
      </ns0:c>
      <ns0:c r="I219" s="1">
        <ns0:f>+I218/M218</ns0:f>
        <ns0:v/>
      </ns0:c>
      <ns0:c r="J219" s="1">
        <ns0:f>+J218/M218</ns0:f>
        <ns0:v/>
      </ns0:c>
      <ns0:c r="K219" s="1">
        <ns0:f>+K218/M218</ns0:f>
        <ns0:v/>
      </ns0:c>
      <ns0:c r="L219" s="1">
        <ns0:f>+L218/M218</ns0:f>
        <ns0:v/>
      </ns0:c>
      <ns0:c r="O219" s="1">
        <ns0:f>+O218/Q218</ns0:f>
        <ns0:v/>
      </ns0:c>
      <ns0:c r="P219" s="1">
        <ns0:f>+P218/Q218</ns0:f>
        <ns0:v/>
      </ns0:c>
    </ns0:row>
    <ns0:row r="220" ht="37.25" customHeight="1">
      <ns0:c r="B220" s="2" t="n">
        <ns0:v>45469</ns0:v>
      </ns0:c>
      <ns0:c r="C220" s="1" t="inlineStr">
        <ns0:is>
          <ns0:t>Material Frame</ns0:t>
        </ns0:is>
      </ns0:c>
      <ns0:c r="D220" s="1" t="inlineStr">
        <ns0:is>
          <ns0:t xml:space="preserve"> Old Stock Frame 28/10/2023</ns0:t>
        </ns0:is>
      </ns0:c>
      <ns0:c r="E220" s="1" t="n">
        <ns0:v>286</ns0:v>
      </ns0:c>
      <ns0:c r="F220" s="1">
        <ns0:f>+E220-M220</ns0:f>
        <ns0:v/>
      </ns0:c>
      <ns0:c r="G220" s="1" t="n">
        <ns0:v>0</ns0:v>
      </ns0:c>
      <ns0:c r="H220" s="1" t="n">
        <ns0:v>0</ns0:v>
      </ns0:c>
      <ns0:c r="I220" s="1" t="n">
        <ns0:v>0</ns0:v>
      </ns0:c>
      <ns0:c r="J220" s="1" t="n">
        <ns0:v>0</ns0:v>
      </ns0:c>
      <ns0:c r="K220" s="1" t="n">
        <ns0:v>6</ns0:v>
      </ns0:c>
      <ns0:c r="L220" s="1" t="n">
        <ns0:v>7</ns0:v>
      </ns0:c>
      <ns0:c r="M220" s="1">
        <ns0:f>SUM(G220:L220)</ns0:f>
        <ns0:v/>
      </ns0:c>
      <ns0:c r="N220" s="1">
        <ns0:f>M220/E220</ns0:f>
        <ns0:v/>
      </ns0:c>
      <ns0:c r="O220" s="1" t="n">
        <ns0:v>2</ns0:v>
      </ns0:c>
      <ns0:c r="P220" s="1" t="n">
        <ns0:v>6</ns0:v>
      </ns0:c>
      <ns0:c r="Q220" s="1">
        <ns0:f>+O220+P220</ns0:f>
        <ns0:v/>
      </ns0:c>
      <ns0:c r="R220" s="1">
        <ns0:f>+Q220/E220</ns0:f>
        <ns0:v/>
      </ns0:c>
      <ns0:c r="S220" s="1" t="inlineStr">
        <ns0:is>
          <ns0:t xml:space="preserve"> Hearing voltage up 10%</ns0:t>
        </ns0:is>
      </ns0:c>
    </ns0:row>
    <ns0:row r="221" ht="37.25" customHeight="1">
      <ns0:c r="G221" s="1">
        <ns0:f>+G220/M220</ns0:f>
        <ns0:v/>
      </ns0:c>
      <ns0:c r="H221" s="1">
        <ns0:f>+H220/M220</ns0:f>
        <ns0:v/>
      </ns0:c>
      <ns0:c r="I221" s="1">
        <ns0:f>+I220/M220</ns0:f>
        <ns0:v/>
      </ns0:c>
      <ns0:c r="J221" s="1">
        <ns0:f>+J220/M220</ns0:f>
        <ns0:v/>
      </ns0:c>
      <ns0:c r="K221" s="1">
        <ns0:f>+K220/M220</ns0:f>
        <ns0:v/>
      </ns0:c>
      <ns0:c r="L221" s="1">
        <ns0:f>+L220/M220</ns0:f>
        <ns0:v/>
      </ns0:c>
      <ns0:c r="O221" s="1">
        <ns0:f>+O220/Q220</ns0:f>
        <ns0:v/>
      </ns0:c>
      <ns0:c r="P221" s="1">
        <ns0:f>+P220/Q220</ns0:f>
        <ns0:v/>
      </ns0:c>
    </ns0:row>
    <ns0:row r="222" ht="37.25" customHeight="1">
      <ns0:c r="D222" s="1" t="inlineStr">
        <ns0:is>
          <ns0:t>Normal</ns0:t>
        </ns0:is>
      </ns0:c>
      <ns0:c r="E222" s="1" t="n">
        <ns0:v>198</ns0:v>
      </ns0:c>
      <ns0:c r="F222" s="1">
        <ns0:f>+E222-M222</ns0:f>
        <ns0:v/>
      </ns0:c>
      <ns0:c r="G222" s="1" t="n">
        <ns0:v>0</ns0:v>
      </ns0:c>
      <ns0:c r="H222" s="1" t="n">
        <ns0:v>1</ns0:v>
      </ns0:c>
      <ns0:c r="I222" s="1" t="n">
        <ns0:v>0</ns0:v>
      </ns0:c>
      <ns0:c r="J222" s="1" t="n">
        <ns0:v>0</ns0:v>
      </ns0:c>
      <ns0:c r="K222" s="1" t="n">
        <ns0:v>6</ns0:v>
      </ns0:c>
      <ns0:c r="L222" s="1" t="n">
        <ns0:v>7</ns0:v>
      </ns0:c>
      <ns0:c r="M222" s="1">
        <ns0:f>SUM(G222:L222)</ns0:f>
        <ns0:v/>
      </ns0:c>
      <ns0:c r="N222" s="1">
        <ns0:f>M222/E222</ns0:f>
        <ns0:v/>
      </ns0:c>
      <ns0:c r="O222" s="1" t="n">
        <ns0:v>6</ns0:v>
      </ns0:c>
      <ns0:c r="P222" s="1" t="n">
        <ns0:v>5</ns0:v>
      </ns0:c>
      <ns0:c r="Q222" s="1">
        <ns0:f>+O222+P222</ns0:f>
        <ns0:v/>
      </ns0:c>
      <ns0:c r="R222" s="1">
        <ns0:f>+Q222/E222</ns0:f>
        <ns0:v/>
      </ns0:c>
      <ns0:c r="S222" s="1" t="inlineStr">
        <ns0:is>
          <ns0:t xml:space="preserve"> Hearing voltage up 10%</ns0:t>
        </ns0:is>
      </ns0:c>
    </ns0:row>
    <ns0:row r="223" ht="37.25" customHeight="1">
      <ns0:c r="G223" s="1">
        <ns0:f>+G222/M222</ns0:f>
        <ns0:v/>
      </ns0:c>
      <ns0:c r="H223" s="1">
        <ns0:f>+H222/M222</ns0:f>
        <ns0:v/>
      </ns0:c>
      <ns0:c r="I223" s="1">
        <ns0:f>+I222/M222</ns0:f>
        <ns0:v/>
      </ns0:c>
      <ns0:c r="J223" s="1">
        <ns0:f>+J222/M222</ns0:f>
        <ns0:v/>
      </ns0:c>
      <ns0:c r="K223" s="1">
        <ns0:f>+K222/M222</ns0:f>
        <ns0:v/>
      </ns0:c>
      <ns0:c r="L223" s="1">
        <ns0:f>+L222/M222</ns0:f>
        <ns0:v/>
      </ns0:c>
      <ns0:c r="O223" s="1">
        <ns0:f>+O222/Q222</ns0:f>
        <ns0:v/>
      </ns0:c>
      <ns0:c r="P223" s="1">
        <ns0:f>+P222/Q222</ns0:f>
        <ns0:v/>
      </ns0:c>
    </ns0:row>
    <ns0:row r="224" ht="37.25" customHeight="1">
      <ns0:c r="B224" s="2" t="n">
        <ns0:v>45470</ns0:v>
      </ns0:c>
      <ns0:c r="C224" s="1" t="inlineStr">
        <ns0:is>
          <ns0:t>JIG</ns0:t>
        </ns0:is>
      </ns0:c>
      <ns0:c r="D224" s="1" t="inlineStr">
        <ns0:is>
          <ns0:t>Semi Frame coil don't move after sorting AWF JIG</ns0:t>
        </ns0:is>
      </ns0:c>
      <ns0:c r="E224" s="1" t="n">
        <ns0:v>234</ns0:v>
      </ns0:c>
      <ns0:c r="F224" s="1">
        <ns0:f>+E224-M224</ns0:f>
        <ns0:v/>
      </ns0:c>
      <ns0:c r="G224" s="1" t="n">
        <ns0:v>0</ns0:v>
      </ns0:c>
      <ns0:c r="H224" s="1" t="n">
        <ns0:v>0</ns0:v>
      </ns0:c>
      <ns0:c r="I224" s="1" t="n">
        <ns0:v>0</ns0:v>
      </ns0:c>
      <ns0:c r="J224" s="1" t="n">
        <ns0:v>0</ns0:v>
      </ns0:c>
      <ns0:c r="K224" s="1" t="n">
        <ns0:v>1</ns0:v>
      </ns0:c>
      <ns0:c r="L224" s="1" t="n">
        <ns0:v>6</ns0:v>
      </ns0:c>
      <ns0:c r="M224" s="1">
        <ns0:f>SUM(G224:L224)</ns0:f>
        <ns0:v/>
      </ns0:c>
      <ns0:c r="N224" s="1">
        <ns0:f>M224/E224</ns0:f>
        <ns0:v/>
      </ns0:c>
      <ns0:c r="O224" s="1" t="n">
        <ns0:v>0</ns0:v>
      </ns0:c>
      <ns0:c r="P224" s="1" t="n">
        <ns0:v>3</ns0:v>
      </ns0:c>
      <ns0:c r="Q224" s="1">
        <ns0:f>+O224+P224</ns0:f>
        <ns0:v/>
      </ns0:c>
      <ns0:c r="R224" s="1">
        <ns0:f>+Q224/E224</ns0:f>
        <ns0:v/>
      </ns0:c>
      <ns0:c r="S224" s="1" t="inlineStr">
        <ns0:is>
          <ns0:t xml:space="preserve"> Hearing voltage up 10%</ns0:t>
        </ns0:is>
      </ns0:c>
    </ns0:row>
    <ns0:row r="225" ht="37.25" customHeight="1">
      <ns0:c r="G225" s="1">
        <ns0:f>+G224/M224</ns0:f>
        <ns0:v/>
      </ns0:c>
      <ns0:c r="H225" s="1">
        <ns0:f>+H224/M224</ns0:f>
        <ns0:v/>
      </ns0:c>
      <ns0:c r="I225" s="1">
        <ns0:f>+I224/M224</ns0:f>
        <ns0:v/>
      </ns0:c>
      <ns0:c r="J225" s="1">
        <ns0:f>+J224/M224</ns0:f>
        <ns0:v/>
      </ns0:c>
      <ns0:c r="K225" s="1">
        <ns0:f>+K224/M224</ns0:f>
        <ns0:v/>
      </ns0:c>
      <ns0:c r="L225" s="1">
        <ns0:f>+L224/M224</ns0:f>
        <ns0:v/>
      </ns0:c>
      <ns0:c r="O225" s="1">
        <ns0:f>+O224/Q224</ns0:f>
        <ns0:v/>
      </ns0:c>
      <ns0:c r="P225" s="1">
        <ns0:f>+P224/Q224</ns0:f>
        <ns0:v/>
      </ns0:c>
    </ns0:row>
    <ns0:row r="226" ht="37.25" customHeight="1">
      <ns0:c r="D226" s="1" t="inlineStr">
        <ns0:is>
          <ns0:t>Normal</ns0:t>
        </ns0:is>
      </ns0:c>
      <ns0:c r="E226" s="1" t="n">
        <ns0:v>797</ns0:v>
      </ns0:c>
      <ns0:c r="F226" s="1">
        <ns0:f>+E226-M226</ns0:f>
        <ns0:v/>
      </ns0:c>
      <ns0:c r="G226" s="1" t="n">
        <ns0:v>0</ns0:v>
      </ns0:c>
      <ns0:c r="H226" s="1" t="n">
        <ns0:v>0</ns0:v>
      </ns0:c>
      <ns0:c r="I226" s="1" t="n">
        <ns0:v>0</ns0:v>
      </ns0:c>
      <ns0:c r="J226" s="1" t="n">
        <ns0:v>0</ns0:v>
      </ns0:c>
      <ns0:c r="K226" s="1" t="n">
        <ns0:v>30</ns0:v>
      </ns0:c>
      <ns0:c r="L226" s="1" t="n">
        <ns0:v>120</ns0:v>
      </ns0:c>
      <ns0:c r="M226" s="1">
        <ns0:f>SUM(G226:L226)</ns0:f>
        <ns0:v/>
      </ns0:c>
      <ns0:c r="N226" s="1">
        <ns0:f>M226/E226</ns0:f>
        <ns0:v/>
      </ns0:c>
      <ns0:c r="O226" s="1" t="n">
        <ns0:v>11</ns0:v>
      </ns0:c>
      <ns0:c r="P226" s="1" t="n">
        <ns0:v>38</ns0:v>
      </ns0:c>
      <ns0:c r="Q226" s="1">
        <ns0:f>+O226+P226</ns0:f>
        <ns0:v/>
      </ns0:c>
      <ns0:c r="R226" s="1">
        <ns0:f>+Q226/E226</ns0:f>
        <ns0:v/>
      </ns0:c>
      <ns0:c r="S226" s="1" t="inlineStr">
        <ns0:is>
          <ns0:t xml:space="preserve"> Hearing voltage up 10%</ns0:t>
        </ns0:is>
      </ns0:c>
    </ns0:row>
    <ns0:row r="227" ht="37.25" customHeight="1">
      <ns0:c r="G227" s="1">
        <ns0:f>+G226/M226</ns0:f>
        <ns0:v/>
      </ns0:c>
      <ns0:c r="H227" s="1">
        <ns0:f>+H226/M226</ns0:f>
        <ns0:v/>
      </ns0:c>
      <ns0:c r="I227" s="1">
        <ns0:f>+I226/M226</ns0:f>
        <ns0:v/>
      </ns0:c>
      <ns0:c r="J227" s="1">
        <ns0:f>+J226/M226</ns0:f>
        <ns0:v/>
      </ns0:c>
      <ns0:c r="K227" s="1">
        <ns0:f>+K226/M226</ns0:f>
        <ns0:v/>
      </ns0:c>
      <ns0:c r="L227" s="1">
        <ns0:f>+L226/M226</ns0:f>
        <ns0:v/>
      </ns0:c>
      <ns0:c r="O227" s="1">
        <ns0:f>+O226/Q226</ns0:f>
        <ns0:v/>
      </ns0:c>
      <ns0:c r="P227" s="1">
        <ns0:f>+P226/Q226</ns0:f>
        <ns0:v/>
      </ns0:c>
    </ns0:row>
    <ns0:row r="228" ht="30" customHeight="1">
      <ns0:c r="B228" s="2" t="n">
        <ns0:v>45471</ns0:v>
      </ns0:c>
      <ns0:c r="C228" s="1" t="inlineStr">
        <ns0:is>
          <ns0:t>Material Frame</ns0:t>
        </ns0:is>
      </ns0:c>
      <ns0:c r="D228" s="1" t="inlineStr">
        <ns0:is>
          <ns0:t>Cavity B - B ( 2.53 )</ns0:t>
        </ns0:is>
      </ns0:c>
      <ns0:c r="E228" s="1" t="n">
        <ns0:v>13</ns0:v>
      </ns0:c>
      <ns0:c r="F228" s="1">
        <ns0:f>+E228-M228</ns0:f>
        <ns0:v/>
      </ns0:c>
      <ns0:c r="G228" s="1" t="n">
        <ns0:v>0</ns0:v>
      </ns0:c>
      <ns0:c r="H228" s="1" t="n">
        <ns0:v>0</ns0:v>
      </ns0:c>
      <ns0:c r="I228" s="1" t="n">
        <ns0:v>0</ns0:v>
      </ns0:c>
      <ns0:c r="J228" s="1" t="n">
        <ns0:v>0</ns0:v>
      </ns0:c>
      <ns0:c r="K228" s="1" t="n">
        <ns0:v>1</ns0:v>
      </ns0:c>
      <ns0:c r="L228" s="1" t="n">
        <ns0:v>0</ns0:v>
      </ns0:c>
      <ns0:c r="M228" s="1">
        <ns0:f>SUM(G228:L228)</ns0:f>
        <ns0:v/>
      </ns0:c>
      <ns0:c r="N228" s="1">
        <ns0:f>M228/E228</ns0:f>
        <ns0:v/>
      </ns0:c>
      <ns0:c r="O228" s="1" t="n">
        <ns0:v>0</ns0:v>
      </ns0:c>
      <ns0:c r="P228" s="1" t="n">
        <ns0:v>1</ns0:v>
      </ns0:c>
      <ns0:c r="Q228" s="1">
        <ns0:f>+O228+P228</ns0:f>
        <ns0:v/>
      </ns0:c>
      <ns0:c r="R228" s="1">
        <ns0:f>+Q228/E228</ns0:f>
        <ns0:v/>
      </ns0:c>
      <ns0:c r="S228" s="1" t="inlineStr">
        <ns0:is>
          <ns0:t xml:space="preserve"> Hearing voltage up 10%</ns0:t>
        </ns0:is>
      </ns0:c>
    </ns0:row>
    <ns0:row r="229" ht="30" customHeight="1">
      <ns0:c r="G229" s="1">
        <ns0:f>+G228/M228</ns0:f>
        <ns0:v/>
      </ns0:c>
      <ns0:c r="H229" s="1">
        <ns0:f>+H228/M228</ns0:f>
        <ns0:v/>
      </ns0:c>
      <ns0:c r="I229" s="1">
        <ns0:f>+I228/M228</ns0:f>
        <ns0:v/>
      </ns0:c>
      <ns0:c r="J229" s="1">
        <ns0:f>+J228/M228</ns0:f>
        <ns0:v/>
      </ns0:c>
      <ns0:c r="K229" s="1">
        <ns0:f>+K228/M228</ns0:f>
        <ns0:v/>
      </ns0:c>
      <ns0:c r="L229" s="1">
        <ns0:f>+L228/M228</ns0:f>
        <ns0:v/>
      </ns0:c>
      <ns0:c r="O229" s="1">
        <ns0:f>+O228/Q228</ns0:f>
        <ns0:v/>
      </ns0:c>
      <ns0:c r="P229" s="1">
        <ns0:f>+P228/Q228</ns0:f>
        <ns0:v/>
      </ns0:c>
    </ns0:row>
    <ns0:row r="230" ht="30" customHeight="1">
      <ns0:c r="D230" s="1" t="inlineStr">
        <ns0:is>
          <ns0:t>Cavity B - M ( 2.52 )</ns0:t>
        </ns0:is>
      </ns0:c>
      <ns0:c r="E230" s="1" t="n">
        <ns0:v>9</ns0:v>
      </ns0:c>
      <ns0:c r="F230" s="1">
        <ns0:f>+E230-M230</ns0:f>
        <ns0:v/>
      </ns0:c>
      <ns0:c r="G230" s="1" t="n">
        <ns0:v>0</ns0:v>
      </ns0:c>
      <ns0:c r="H230" s="1" t="n">
        <ns0:v>0</ns0:v>
      </ns0:c>
      <ns0:c r="I230" s="1" t="n">
        <ns0:v>0</ns0:v>
      </ns0:c>
      <ns0:c r="J230" s="1" t="n">
        <ns0:v>0</ns0:v>
      </ns0:c>
      <ns0:c r="K230" s="1" t="n">
        <ns0:v>0</ns0:v>
      </ns0:c>
      <ns0:c r="L230" s="1" t="n">
        <ns0:v>0</ns0:v>
      </ns0:c>
      <ns0:c r="M230" s="1">
        <ns0:f>SUM(G230:L230)</ns0:f>
        <ns0:v/>
      </ns0:c>
      <ns0:c r="N230" s="1">
        <ns0:f>M230/E230</ns0:f>
        <ns0:v/>
      </ns0:c>
      <ns0:c r="O230" s="1" t="n">
        <ns0:v>0</ns0:v>
      </ns0:c>
      <ns0:c r="P230" s="1" t="n">
        <ns0:v>0</ns0:v>
      </ns0:c>
      <ns0:c r="Q230" s="1">
        <ns0:f>+O230+P230</ns0:f>
        <ns0:v/>
      </ns0:c>
      <ns0:c r="R230" s="1">
        <ns0:f>+Q230/E230</ns0:f>
        <ns0:v/>
      </ns0:c>
      <ns0:c r="S230" s="1" t="inlineStr">
        <ns0:is>
          <ns0:t xml:space="preserve"> Hearing voltage up 10%</ns0:t>
        </ns0:is>
      </ns0:c>
    </ns0:row>
    <ns0:row r="231" ht="30" customHeight="1">
      <ns0:c r="G231" s="1">
        <ns0:f>+G230/M230</ns0:f>
        <ns0:v/>
      </ns0:c>
      <ns0:c r="H231" s="1">
        <ns0:f>+H230/M230</ns0:f>
        <ns0:v/>
      </ns0:c>
      <ns0:c r="I231" s="1">
        <ns0:f>+I230/M230</ns0:f>
        <ns0:v/>
      </ns0:c>
      <ns0:c r="J231" s="1">
        <ns0:f>+J230/M230</ns0:f>
        <ns0:v/>
      </ns0:c>
      <ns0:c r="K231" s="1">
        <ns0:f>+K230/M230</ns0:f>
        <ns0:v/>
      </ns0:c>
      <ns0:c r="L231" s="1">
        <ns0:f>+L230/M230</ns0:f>
        <ns0:v/>
      </ns0:c>
      <ns0:c r="O231" s="1">
        <ns0:f>+O230/Q230</ns0:f>
        <ns0:v/>
      </ns0:c>
      <ns0:c r="P231" s="1">
        <ns0:f>+P230/Q230</ns0:f>
        <ns0:v/>
      </ns0:c>
    </ns0:row>
    <ns0:row r="232" ht="30" customHeight="1">
      <ns0:c r="D232" s="1" t="inlineStr">
        <ns0:is>
          <ns0:t>Cavity B - S ( 2.51 )</ns0:t>
        </ns0:is>
      </ns0:c>
      <ns0:c r="E232" s="1" t="n">
        <ns0:v>1</ns0:v>
      </ns0:c>
      <ns0:c r="F232" s="1">
        <ns0:f>+E232-M232</ns0:f>
        <ns0:v/>
      </ns0:c>
      <ns0:c r="G232" s="1" t="n">
        <ns0:v>0</ns0:v>
      </ns0:c>
      <ns0:c r="H232" s="1" t="n">
        <ns0:v>0</ns0:v>
      </ns0:c>
      <ns0:c r="I232" s="1" t="n">
        <ns0:v>0</ns0:v>
      </ns0:c>
      <ns0:c r="J232" s="1" t="n">
        <ns0:v>0</ns0:v>
      </ns0:c>
      <ns0:c r="K232" s="1" t="n">
        <ns0:v>0</ns0:v>
      </ns0:c>
      <ns0:c r="L232" s="1" t="n">
        <ns0:v>0</ns0:v>
      </ns0:c>
      <ns0:c r="M232" s="1">
        <ns0:f>SUM(G232:L232)</ns0:f>
        <ns0:v/>
      </ns0:c>
      <ns0:c r="N232" s="1">
        <ns0:f>M232/E232</ns0:f>
        <ns0:v/>
      </ns0:c>
      <ns0:c r="O232" s="1" t="n">
        <ns0:v>0</ns0:v>
      </ns0:c>
      <ns0:c r="P232" s="1" t="n">
        <ns0:v>0</ns0:v>
      </ns0:c>
      <ns0:c r="Q232" s="1">
        <ns0:f>+O232+P232</ns0:f>
        <ns0:v/>
      </ns0:c>
      <ns0:c r="R232" s="1">
        <ns0:f>+Q232/E232</ns0:f>
        <ns0:v/>
      </ns0:c>
      <ns0:c r="S232" s="1" t="inlineStr">
        <ns0:is>
          <ns0:t xml:space="preserve"> Hearing voltage up 10%</ns0:t>
        </ns0:is>
      </ns0:c>
    </ns0:row>
    <ns0:row r="233" ht="30" customHeight="1">
      <ns0:c r="G233" s="1">
        <ns0:f>+G232/M232</ns0:f>
        <ns0:v/>
      </ns0:c>
      <ns0:c r="H233" s="1">
        <ns0:f>+H232/M232</ns0:f>
        <ns0:v/>
      </ns0:c>
      <ns0:c r="I233" s="1">
        <ns0:f>+I232/M232</ns0:f>
        <ns0:v/>
      </ns0:c>
      <ns0:c r="J233" s="1">
        <ns0:f>+J232/M232</ns0:f>
        <ns0:v/>
      </ns0:c>
      <ns0:c r="K233" s="1">
        <ns0:f>+K232/M232</ns0:f>
        <ns0:v/>
      </ns0:c>
      <ns0:c r="L233" s="1">
        <ns0:f>+L232/M232</ns0:f>
        <ns0:v/>
      </ns0:c>
      <ns0:c r="O233" s="1">
        <ns0:f>+O232/Q232</ns0:f>
        <ns0:v/>
      </ns0:c>
      <ns0:c r="P233" s="1">
        <ns0:f>+P232/Q232</ns0:f>
        <ns0:v/>
      </ns0:c>
    </ns0:row>
    <ns0:row r="234" ht="30" customHeight="1">
      <ns0:c r="D234" s="1" t="inlineStr">
        <ns0:is>
          <ns0:t>Cavity C - B ( 2.53 )</ns0:t>
        </ns0:is>
      </ns0:c>
      <ns0:c r="E234" s="1" t="n">
        <ns0:v>13</ns0:v>
      </ns0:c>
      <ns0:c r="F234" s="1">
        <ns0:f>+E234-M234</ns0:f>
        <ns0:v/>
      </ns0:c>
      <ns0:c r="G234" s="1" t="n">
        <ns0:v>0</ns0:v>
      </ns0:c>
      <ns0:c r="H234" s="1" t="n">
        <ns0:v>0</ns0:v>
      </ns0:c>
      <ns0:c r="I234" s="1" t="n">
        <ns0:v>0</ns0:v>
      </ns0:c>
      <ns0:c r="J234" s="1" t="n">
        <ns0:v>0</ns0:v>
      </ns0:c>
      <ns0:c r="K234" s="1" t="n">
        <ns0:v>1</ns0:v>
      </ns0:c>
      <ns0:c r="L234" s="1" t="n">
        <ns0:v>1</ns0:v>
      </ns0:c>
      <ns0:c r="M234" s="1">
        <ns0:f>SUM(G234:L234)</ns0:f>
        <ns0:v/>
      </ns0:c>
      <ns0:c r="N234" s="1">
        <ns0:f>M234/E234</ns0:f>
        <ns0:v/>
      </ns0:c>
      <ns0:c r="O234" s="1" t="n">
        <ns0:v>1</ns0:v>
      </ns0:c>
      <ns0:c r="P234" s="1" t="n">
        <ns0:v>1</ns0:v>
      </ns0:c>
      <ns0:c r="Q234" s="1">
        <ns0:f>+O234+P234</ns0:f>
        <ns0:v/>
      </ns0:c>
      <ns0:c r="R234" s="1">
        <ns0:f>+Q234/E234</ns0:f>
        <ns0:v/>
      </ns0:c>
      <ns0:c r="S234" s="1" t="inlineStr">
        <ns0:is>
          <ns0:t xml:space="preserve"> Hearing voltage up 10%</ns0:t>
        </ns0:is>
      </ns0:c>
    </ns0:row>
    <ns0:row r="235" ht="30" customHeight="1">
      <ns0:c r="G235" s="1">
        <ns0:f>+G234/M234</ns0:f>
        <ns0:v/>
      </ns0:c>
      <ns0:c r="H235" s="1">
        <ns0:f>+H234/M234</ns0:f>
        <ns0:v/>
      </ns0:c>
      <ns0:c r="I235" s="1">
        <ns0:f>+I234/M234</ns0:f>
        <ns0:v/>
      </ns0:c>
      <ns0:c r="J235" s="1">
        <ns0:f>+J234/M234</ns0:f>
        <ns0:v/>
      </ns0:c>
      <ns0:c r="K235" s="1">
        <ns0:f>+K234/M234</ns0:f>
        <ns0:v/>
      </ns0:c>
      <ns0:c r="L235" s="1">
        <ns0:f>+L234/M234</ns0:f>
        <ns0:v/>
      </ns0:c>
      <ns0:c r="O235" s="1">
        <ns0:f>+O234/Q234</ns0:f>
        <ns0:v/>
      </ns0:c>
      <ns0:c r="P235" s="1">
        <ns0:f>+P234/Q234</ns0:f>
        <ns0:v/>
      </ns0:c>
    </ns0:row>
    <ns0:row r="236" ht="30" customHeight="1">
      <ns0:c r="D236" s="1" t="inlineStr">
        <ns0:is>
          <ns0:t>Cavity C - M ( 2.52 )</ns0:t>
        </ns0:is>
      </ns0:c>
      <ns0:c r="E236" s="1" t="n">
        <ns0:v>5</ns0:v>
      </ns0:c>
      <ns0:c r="F236" s="1">
        <ns0:f>+E236-M236</ns0:f>
        <ns0:v/>
      </ns0:c>
      <ns0:c r="G236" s="1" t="n">
        <ns0:v>0</ns0:v>
      </ns0:c>
      <ns0:c r="H236" s="1" t="n">
        <ns0:v>0</ns0:v>
      </ns0:c>
      <ns0:c r="I236" s="1" t="n">
        <ns0:v>0</ns0:v>
      </ns0:c>
      <ns0:c r="J236" s="1" t="n">
        <ns0:v>0</ns0:v>
      </ns0:c>
      <ns0:c r="K236" s="1" t="n">
        <ns0:v>0</ns0:v>
      </ns0:c>
      <ns0:c r="L236" s="1" t="n">
        <ns0:v>0</ns0:v>
      </ns0:c>
      <ns0:c r="M236" s="1">
        <ns0:f>SUM(G236:L236)</ns0:f>
        <ns0:v/>
      </ns0:c>
      <ns0:c r="N236" s="1">
        <ns0:f>M236/E236</ns0:f>
        <ns0:v/>
      </ns0:c>
      <ns0:c r="O236" s="1" t="n">
        <ns0:v>0</ns0:v>
      </ns0:c>
      <ns0:c r="P236" s="1" t="n">
        <ns0:v>0</ns0:v>
      </ns0:c>
      <ns0:c r="Q236" s="1">
        <ns0:f>+O236+P236</ns0:f>
        <ns0:v/>
      </ns0:c>
      <ns0:c r="R236" s="1">
        <ns0:f>+Q236/E236</ns0:f>
        <ns0:v/>
      </ns0:c>
      <ns0:c r="S236" s="1" t="inlineStr">
        <ns0:is>
          <ns0:t xml:space="preserve"> Hearing voltage up 10%</ns0:t>
        </ns0:is>
      </ns0:c>
    </ns0:row>
    <ns0:row r="237" ht="30" customHeight="1">
      <ns0:c r="G237" s="1">
        <ns0:f>+G236/M236</ns0:f>
        <ns0:v/>
      </ns0:c>
      <ns0:c r="H237" s="1">
        <ns0:f>+H236/M236</ns0:f>
        <ns0:v/>
      </ns0:c>
      <ns0:c r="I237" s="1">
        <ns0:f>+I236/M236</ns0:f>
        <ns0:v/>
      </ns0:c>
      <ns0:c r="J237" s="1">
        <ns0:f>+J236/M236</ns0:f>
        <ns0:v/>
      </ns0:c>
      <ns0:c r="K237" s="1">
        <ns0:f>+K236/M236</ns0:f>
        <ns0:v/>
      </ns0:c>
      <ns0:c r="L237" s="1">
        <ns0:f>+L236/M236</ns0:f>
        <ns0:v/>
      </ns0:c>
      <ns0:c r="O237" s="1">
        <ns0:f>+O236/Q236</ns0:f>
        <ns0:v/>
      </ns0:c>
      <ns0:c r="P237" s="1">
        <ns0:f>+P236/Q236</ns0:f>
        <ns0:v/>
      </ns0:c>
    </ns0:row>
    <ns0:row r="238" ht="30" customHeight="1">
      <ns0:c r="D238" s="1" t="inlineStr">
        <ns0:is>
          <ns0:t>Cavity C - S ( 2.51 )</ns0:t>
        </ns0:is>
      </ns0:c>
      <ns0:c r="E238" s="1" t="n">
        <ns0:v>6</ns0:v>
      </ns0:c>
      <ns0:c r="F238" s="1">
        <ns0:f>+E238-M238</ns0:f>
        <ns0:v/>
      </ns0:c>
      <ns0:c r="G238" s="1" t="n">
        <ns0:v>0</ns0:v>
      </ns0:c>
      <ns0:c r="H238" s="1" t="n">
        <ns0:v>0</ns0:v>
      </ns0:c>
      <ns0:c r="I238" s="1" t="n">
        <ns0:v>0</ns0:v>
      </ns0:c>
      <ns0:c r="J238" s="1" t="n">
        <ns0:v>0</ns0:v>
      </ns0:c>
      <ns0:c r="K238" s="1" t="n">
        <ns0:v>0</ns0:v>
      </ns0:c>
      <ns0:c r="L238" s="1" t="n">
        <ns0:v>0</ns0:v>
      </ns0:c>
      <ns0:c r="M238" s="1">
        <ns0:f>SUM(G238:L238)</ns0:f>
        <ns0:v/>
      </ns0:c>
      <ns0:c r="N238" s="1">
        <ns0:f>M238/E238</ns0:f>
        <ns0:v/>
      </ns0:c>
      <ns0:c r="O238" s="1" t="n">
        <ns0:v>0</ns0:v>
      </ns0:c>
      <ns0:c r="P238" s="1" t="n">
        <ns0:v>0</ns0:v>
      </ns0:c>
      <ns0:c r="Q238" s="1">
        <ns0:f>+O238+P238</ns0:f>
        <ns0:v/>
      </ns0:c>
      <ns0:c r="R238" s="1">
        <ns0:f>+Q238/E238</ns0:f>
        <ns0:v/>
      </ns0:c>
      <ns0:c r="S238" s="1" t="inlineStr">
        <ns0:is>
          <ns0:t xml:space="preserve"> Hearing voltage up 10%</ns0:t>
        </ns0:is>
      </ns0:c>
    </ns0:row>
    <ns0:row r="239" ht="30" customHeight="1">
      <ns0:c r="G239" s="1">
        <ns0:f>+G238/M238</ns0:f>
        <ns0:v/>
      </ns0:c>
      <ns0:c r="H239" s="1">
        <ns0:f>+H238/M238</ns0:f>
        <ns0:v/>
      </ns0:c>
      <ns0:c r="I239" s="1">
        <ns0:f>+I238/M238</ns0:f>
        <ns0:v/>
      </ns0:c>
      <ns0:c r="J239" s="1">
        <ns0:f>+J238/M238</ns0:f>
        <ns0:v/>
      </ns0:c>
      <ns0:c r="K239" s="1">
        <ns0:f>+K238/M238</ns0:f>
        <ns0:v/>
      </ns0:c>
      <ns0:c r="L239" s="1">
        <ns0:f>+L238/M238</ns0:f>
        <ns0:v/>
      </ns0:c>
      <ns0:c r="O239" s="1">
        <ns0:f>+O238/Q238</ns0:f>
        <ns0:v/>
      </ns0:c>
      <ns0:c r="P239" s="1">
        <ns0:f>+P238/Q238</ns0:f>
        <ns0:v/>
      </ns0:c>
    </ns0:row>
    <ns0:row r="240" ht="30" customHeight="1">
      <ns0:c r="D240" s="1" t="inlineStr">
        <ns0:is>
          <ns0:t>Cavity D - B ( 2.53 )</ns0:t>
        </ns0:is>
      </ns0:c>
      <ns0:c r="E240" s="1" t="n">
        <ns0:v>16</ns0:v>
      </ns0:c>
      <ns0:c r="F240" s="1">
        <ns0:f>+E240-M240</ns0:f>
        <ns0:v/>
      </ns0:c>
      <ns0:c r="G240" s="1" t="n">
        <ns0:v>0</ns0:v>
      </ns0:c>
      <ns0:c r="H240" s="1" t="n">
        <ns0:v>0</ns0:v>
      </ns0:c>
      <ns0:c r="I240" s="1" t="n">
        <ns0:v>0</ns0:v>
      </ns0:c>
      <ns0:c r="J240" s="1" t="n">
        <ns0:v>0</ns0:v>
      </ns0:c>
      <ns0:c r="K240" s="1" t="n">
        <ns0:v>2</ns0:v>
      </ns0:c>
      <ns0:c r="L240" s="1" t="n">
        <ns0:v>0</ns0:v>
      </ns0:c>
      <ns0:c r="M240" s="1">
        <ns0:f>SUM(G240:L240)</ns0:f>
        <ns0:v/>
      </ns0:c>
      <ns0:c r="N240" s="1">
        <ns0:f>M240/E240</ns0:f>
        <ns0:v/>
      </ns0:c>
      <ns0:c r="O240" s="1" t="n">
        <ns0:v>0</ns0:v>
      </ns0:c>
      <ns0:c r="P240" s="1" t="n">
        <ns0:v>2</ns0:v>
      </ns0:c>
      <ns0:c r="Q240" s="1">
        <ns0:f>+O240+P240</ns0:f>
        <ns0:v/>
      </ns0:c>
      <ns0:c r="R240" s="1">
        <ns0:f>+Q240/E240</ns0:f>
        <ns0:v/>
      </ns0:c>
      <ns0:c r="S240" s="1" t="inlineStr">
        <ns0:is>
          <ns0:t xml:space="preserve"> Hearing voltage up 10%</ns0:t>
        </ns0:is>
      </ns0:c>
    </ns0:row>
    <ns0:row r="241" ht="30" customHeight="1">
      <ns0:c r="G241" s="1">
        <ns0:f>+G240/M240</ns0:f>
        <ns0:v/>
      </ns0:c>
      <ns0:c r="H241" s="1">
        <ns0:f>+H240/M240</ns0:f>
        <ns0:v/>
      </ns0:c>
      <ns0:c r="I241" s="1">
        <ns0:f>+I240/M240</ns0:f>
        <ns0:v/>
      </ns0:c>
      <ns0:c r="J241" s="1">
        <ns0:f>+J240/M240</ns0:f>
        <ns0:v/>
      </ns0:c>
      <ns0:c r="K241" s="1">
        <ns0:f>+K240/M240</ns0:f>
        <ns0:v/>
      </ns0:c>
      <ns0:c r="L241" s="1">
        <ns0:f>+L240/M240</ns0:f>
        <ns0:v/>
      </ns0:c>
      <ns0:c r="O241" s="1">
        <ns0:f>+O240/Q240</ns0:f>
        <ns0:v/>
      </ns0:c>
      <ns0:c r="P241" s="1">
        <ns0:f>+P240/Q240</ns0:f>
        <ns0:v/>
      </ns0:c>
    </ns0:row>
    <ns0:row r="242" ht="30" customHeight="1">
      <ns0:c r="D242" s="1" t="inlineStr">
        <ns0:is>
          <ns0:t>Cavity D - M ( 2.52 )</ns0:t>
        </ns0:is>
      </ns0:c>
      <ns0:c r="E242" s="1" t="n">
        <ns0:v>7</ns0:v>
      </ns0:c>
      <ns0:c r="F242" s="1">
        <ns0:f>+E242-M242</ns0:f>
        <ns0:v/>
      </ns0:c>
      <ns0:c r="G242" s="1" t="n">
        <ns0:v>0</ns0:v>
      </ns0:c>
      <ns0:c r="H242" s="1" t="n">
        <ns0:v>0</ns0:v>
      </ns0:c>
      <ns0:c r="I242" s="1" t="n">
        <ns0:v>0</ns0:v>
      </ns0:c>
      <ns0:c r="J242" s="1" t="n">
        <ns0:v>0</ns0:v>
      </ns0:c>
      <ns0:c r="K242" s="1" t="n">
        <ns0:v>2</ns0:v>
      </ns0:c>
      <ns0:c r="L242" s="1" t="n">
        <ns0:v>0</ns0:v>
      </ns0:c>
      <ns0:c r="M242" s="1">
        <ns0:f>SUM(G242:L242)</ns0:f>
        <ns0:v/>
      </ns0:c>
      <ns0:c r="N242" s="1">
        <ns0:f>M242/E242</ns0:f>
        <ns0:v/>
      </ns0:c>
      <ns0:c r="O242" s="1" t="n">
        <ns0:v>0</ns0:v>
      </ns0:c>
      <ns0:c r="P242" s="1" t="n">
        <ns0:v>0</ns0:v>
      </ns0:c>
      <ns0:c r="Q242" s="1">
        <ns0:f>+O242+P242</ns0:f>
        <ns0:v/>
      </ns0:c>
      <ns0:c r="R242" s="1">
        <ns0:f>+Q242/E242</ns0:f>
        <ns0:v/>
      </ns0:c>
      <ns0:c r="S242" s="1" t="inlineStr">
        <ns0:is>
          <ns0:t xml:space="preserve"> Hearing voltage up 10%</ns0:t>
        </ns0:is>
      </ns0:c>
    </ns0:row>
    <ns0:row r="243" ht="30" customHeight="1">
      <ns0:c r="G243" s="1">
        <ns0:f>+G242/M242</ns0:f>
        <ns0:v/>
      </ns0:c>
      <ns0:c r="H243" s="1">
        <ns0:f>+H242/M242</ns0:f>
        <ns0:v/>
      </ns0:c>
      <ns0:c r="I243" s="1">
        <ns0:f>+I242/M242</ns0:f>
        <ns0:v/>
      </ns0:c>
      <ns0:c r="J243" s="1">
        <ns0:f>+J242/M242</ns0:f>
        <ns0:v/>
      </ns0:c>
      <ns0:c r="K243" s="1">
        <ns0:f>+K242/M242</ns0:f>
        <ns0:v/>
      </ns0:c>
      <ns0:c r="L243" s="1">
        <ns0:f>+L242/M242</ns0:f>
        <ns0:v/>
      </ns0:c>
      <ns0:c r="O243" s="1">
        <ns0:f>+O242/Q242</ns0:f>
        <ns0:v/>
      </ns0:c>
      <ns0:c r="P243" s="1">
        <ns0:f>+P242/Q242</ns0:f>
        <ns0:v/>
      </ns0:c>
    </ns0:row>
    <ns0:row r="244" ht="30" customHeight="1">
      <ns0:c r="D244" s="1" t="inlineStr">
        <ns0:is>
          <ns0:t>Cavity D - S ( 2.51 )</ns0:t>
        </ns0:is>
      </ns0:c>
      <ns0:c r="E244" s="1" t="n">
        <ns0:v>2</ns0:v>
      </ns0:c>
      <ns0:c r="F244" s="1">
        <ns0:f>+E244-M244</ns0:f>
        <ns0:v/>
      </ns0:c>
      <ns0:c r="G244" s="1" t="n">
        <ns0:v>0</ns0:v>
      </ns0:c>
      <ns0:c r="H244" s="1" t="n">
        <ns0:v>0</ns0:v>
      </ns0:c>
      <ns0:c r="I244" s="1" t="n">
        <ns0:v>0</ns0:v>
      </ns0:c>
      <ns0:c r="J244" s="1" t="n">
        <ns0:v>0</ns0:v>
      </ns0:c>
      <ns0:c r="K244" s="1" t="n">
        <ns0:v>0</ns0:v>
      </ns0:c>
      <ns0:c r="L244" s="1" t="n">
        <ns0:v>0</ns0:v>
      </ns0:c>
      <ns0:c r="M244" s="1">
        <ns0:f>SUM(G244:L244)</ns0:f>
        <ns0:v/>
      </ns0:c>
      <ns0:c r="N244" s="1">
        <ns0:f>M244/E244</ns0:f>
        <ns0:v/>
      </ns0:c>
      <ns0:c r="O244" s="1" t="n">
        <ns0:v>0</ns0:v>
      </ns0:c>
      <ns0:c r="P244" s="1" t="n">
        <ns0:v>0</ns0:v>
      </ns0:c>
      <ns0:c r="Q244" s="1">
        <ns0:f>+O244+P244</ns0:f>
        <ns0:v/>
      </ns0:c>
      <ns0:c r="R244" s="1">
        <ns0:f>+Q244/E244</ns0:f>
        <ns0:v/>
      </ns0:c>
      <ns0:c r="S244" s="1" t="inlineStr">
        <ns0:is>
          <ns0:t xml:space="preserve"> Hearing voltage up 10%</ns0:t>
        </ns0:is>
      </ns0:c>
    </ns0:row>
    <ns0:row r="245" ht="30" customHeight="1">
      <ns0:c r="G245" s="1">
        <ns0:f>+G244/M244</ns0:f>
        <ns0:v/>
      </ns0:c>
      <ns0:c r="H245" s="1">
        <ns0:f>+H244/M244</ns0:f>
        <ns0:v/>
      </ns0:c>
      <ns0:c r="I245" s="1">
        <ns0:f>+I244/M244</ns0:f>
        <ns0:v/>
      </ns0:c>
      <ns0:c r="J245" s="1">
        <ns0:f>+J244/M244</ns0:f>
        <ns0:v/>
      </ns0:c>
      <ns0:c r="K245" s="1">
        <ns0:f>+K244/M244</ns0:f>
        <ns0:v/>
      </ns0:c>
      <ns0:c r="L245" s="1">
        <ns0:f>+L244/M244</ns0:f>
        <ns0:v/>
      </ns0:c>
      <ns0:c r="O245" s="1">
        <ns0:f>+O244/Q244</ns0:f>
        <ns0:v/>
      </ns0:c>
      <ns0:c r="P245" s="1">
        <ns0:f>+P244/Q244</ns0:f>
        <ns0:v/>
      </ns0:c>
    </ns0:row>
    <ns0:row r="246" ht="26.25" customHeight="1">
      <ns0:c r="D246" s="1" t="inlineStr">
        <ns0:is>
          <ns0:t>Normal</ns0:t>
        </ns0:is>
      </ns0:c>
      <ns0:c r="E246" s="1" t="n">
        <ns0:v>797</ns0:v>
      </ns0:c>
      <ns0:c r="F246" s="1">
        <ns0:f>+E246-M246</ns0:f>
        <ns0:v/>
      </ns0:c>
      <ns0:c r="G246" s="1" t="n">
        <ns0:v>0</ns0:v>
      </ns0:c>
      <ns0:c r="H246" s="1" t="n">
        <ns0:v>0</ns0:v>
      </ns0:c>
      <ns0:c r="I246" s="1" t="n">
        <ns0:v>0</ns0:v>
      </ns0:c>
      <ns0:c r="J246" s="1" t="n">
        <ns0:v>0</ns0:v>
      </ns0:c>
      <ns0:c r="K246" s="1" t="n">
        <ns0:v>25</ns0:v>
      </ns0:c>
      <ns0:c r="L246" s="1" t="n">
        <ns0:v>98</ns0:v>
      </ns0:c>
      <ns0:c r="M246" s="1">
        <ns0:f>SUM(G246:L246)</ns0:f>
        <ns0:v/>
      </ns0:c>
      <ns0:c r="N246" s="1">
        <ns0:f>M246/E246</ns0:f>
        <ns0:v/>
      </ns0:c>
      <ns0:c r="O246" s="1" t="n">
        <ns0:v>13</ns0:v>
      </ns0:c>
      <ns0:c r="P246" s="1" t="n">
        <ns0:v>17</ns0:v>
      </ns0:c>
      <ns0:c r="Q246" s="1">
        <ns0:f>+P246+O246+J246+I246+H246+G246</ns0:f>
        <ns0:v/>
      </ns0:c>
      <ns0:c r="R246" s="1">
        <ns0:f>+Q246/E246</ns0:f>
        <ns0:v/>
      </ns0:c>
      <ns0:c r="S246" s="1" t="inlineStr">
        <ns0:is>
          <ns0:t xml:space="preserve"> Hearing voltage up 10%</ns0:t>
        </ns0:is>
      </ns0:c>
    </ns0:row>
    <ns0:row r="247" ht="26.25" customHeight="1">
      <ns0:c r="G247" s="1">
        <ns0:f>+G246/M246</ns0:f>
        <ns0:v/>
      </ns0:c>
      <ns0:c r="H247" s="1">
        <ns0:f>+H246/M246</ns0:f>
        <ns0:v/>
      </ns0:c>
      <ns0:c r="I247" s="1">
        <ns0:f>+I246/M246</ns0:f>
        <ns0:v/>
      </ns0:c>
      <ns0:c r="J247" s="1">
        <ns0:f>+J246/M246</ns0:f>
        <ns0:v/>
      </ns0:c>
      <ns0:c r="K247" s="1">
        <ns0:f>+K246/M246</ns0:f>
        <ns0:v/>
      </ns0:c>
      <ns0:c r="L247" s="1">
        <ns0:f>+L246/M246</ns0:f>
        <ns0:v/>
      </ns0:c>
      <ns0:c r="O247" s="1">
        <ns0:f>+O246/Q246</ns0:f>
        <ns0:v/>
      </ns0:c>
      <ns0:c r="P247" s="1">
        <ns0:f>+P246/Q246</ns0:f>
        <ns0:v/>
      </ns0:c>
    </ns0:row>
    <ns0:row r="248" ht="37.25" customHeight="1">
      <ns0:c r="B248" s="2" t="n">
        <ns0:v>45474</ns0:v>
      </ns0:c>
      <ns0:c r="C248" s="1" t="inlineStr">
        <ns0:is>
          <ns0:t>Material Frame</ns0:t>
        </ns0:is>
      </ns0:c>
      <ns0:c r="D248" s="1" t="inlineStr">
        <ns0:is>
          <ns0:t>Frame stock 25/10/2023 + AWF#1</ns0:t>
        </ns0:is>
      </ns0:c>
      <ns0:c r="E248" s="1" t="n">
        <ns0:v>299</ns0:v>
      </ns0:c>
      <ns0:c r="F248" s="1">
        <ns0:f>+E248-M248</ns0:f>
        <ns0:v/>
      </ns0:c>
      <ns0:c r="G248" s="1" t="n">
        <ns0:v>0</ns0:v>
      </ns0:c>
      <ns0:c r="H248" s="1" t="n">
        <ns0:v>0</ns0:v>
      </ns0:c>
      <ns0:c r="I248" s="1" t="n">
        <ns0:v>0</ns0:v>
      </ns0:c>
      <ns0:c r="J248" s="1" t="n">
        <ns0:v>0</ns0:v>
      </ns0:c>
      <ns0:c r="K248" s="1" t="n">
        <ns0:v>6</ns0:v>
      </ns0:c>
      <ns0:c r="L248" s="1" t="n">
        <ns0:v>4</ns0:v>
      </ns0:c>
      <ns0:c r="M248" s="1">
        <ns0:f>SUM(G248:L248)</ns0:f>
        <ns0:v/>
      </ns0:c>
      <ns0:c r="N248" s="1">
        <ns0:f>M248/E248</ns0:f>
        <ns0:v/>
      </ns0:c>
    </ns0:row>
    <ns0:row r="249" ht="37.25" customHeight="1">
      <ns0:c r="G249" s="1">
        <ns0:f>+G248/M248</ns0:f>
        <ns0:v/>
      </ns0:c>
      <ns0:c r="H249" s="1">
        <ns0:f>+H248/M248</ns0:f>
        <ns0:v/>
      </ns0:c>
      <ns0:c r="I249" s="1">
        <ns0:f>+I248/M248</ns0:f>
        <ns0:v/>
      </ns0:c>
      <ns0:c r="J249" s="1">
        <ns0:f>+J248/M248</ns0:f>
        <ns0:v/>
      </ns0:c>
      <ns0:c r="K249" s="1">
        <ns0:f>+K248/M248</ns0:f>
        <ns0:v/>
      </ns0:c>
      <ns0:c r="L249" s="1">
        <ns0:f>+L248/M248</ns0:f>
        <ns0:v/>
      </ns0:c>
    </ns0:row>
    <ns0:row r="250" ht="37.25" customHeight="1">
      <ns0:c r="D250" s="1" t="inlineStr">
        <ns0:is>
          <ns0:t>New Frame 26/6/2024 + AWF#1</ns0:t>
        </ns0:is>
      </ns0:c>
      <ns0:c r="E250" s="1" t="n">
        <ns0:v>292</ns0:v>
      </ns0:c>
      <ns0:c r="F250" s="1">
        <ns0:f>+E250-M250</ns0:f>
        <ns0:v/>
      </ns0:c>
      <ns0:c r="G250" s="1" t="n">
        <ns0:v>0</ns0:v>
      </ns0:c>
      <ns0:c r="H250" s="1" t="n">
        <ns0:v>0</ns0:v>
      </ns0:c>
      <ns0:c r="I250" s="1" t="n">
        <ns0:v>0</ns0:v>
      </ns0:c>
      <ns0:c r="J250" s="1" t="n">
        <ns0:v>0</ns0:v>
      </ns0:c>
      <ns0:c r="K250" s="1" t="n">
        <ns0:v>2</ns0:v>
      </ns0:c>
      <ns0:c r="L250" s="1" t="n">
        <ns0:v>3</ns0:v>
      </ns0:c>
      <ns0:c r="M250" s="1">
        <ns0:f>SUM(G250:L250)</ns0:f>
        <ns0:v/>
      </ns0:c>
      <ns0:c r="N250" s="1">
        <ns0:f>M250/E250</ns0:f>
        <ns0:v/>
      </ns0:c>
    </ns0:row>
    <ns0:row r="251" ht="37.25" customHeight="1">
      <ns0:c r="G251" s="1">
        <ns0:f>+G250/M250</ns0:f>
        <ns0:v/>
      </ns0:c>
      <ns0:c r="H251" s="1">
        <ns0:f>+H250/M250</ns0:f>
        <ns0:v/>
      </ns0:c>
      <ns0:c r="I251" s="1">
        <ns0:f>+I250/M250</ns0:f>
        <ns0:v/>
      </ns0:c>
      <ns0:c r="J251" s="1">
        <ns0:f>+J250/M250</ns0:f>
        <ns0:v/>
      </ns0:c>
      <ns0:c r="K251" s="1">
        <ns0:f>+K250/M250</ns0:f>
        <ns0:v/>
      </ns0:c>
      <ns0:c r="L251" s="1">
        <ns0:f>+L250/M250</ns0:f>
        <ns0:v/>
      </ns0:c>
    </ns0:row>
    <ns0:row r="252" ht="37.25" customHeight="1">
      <ns0:c r="B252" s="2" t="n">
        <ns0:v>45476</ns0:v>
      </ns0:c>
      <ns0:c r="C252" s="1" t="inlineStr">
        <ns0:is>
          <ns0:t>UV Led Press Coil + Suspension</ns0:t>
        </ns0:is>
      </ns0:c>
      <ns0:c r="D252" s="1" t="inlineStr">
        <ns0:is>
          <ns0:t>New UV Led ( China machine )</ns0:t>
        </ns0:is>
      </ns0:c>
      <ns0:c r="E252" s="1" t="n">
        <ns0:v>200</ns0:v>
      </ns0:c>
      <ns0:c r="F252" s="1">
        <ns0:f>+E252-M252</ns0:f>
        <ns0:v/>
      </ns0:c>
      <ns0:c r="G252" s="1" t="n">
        <ns0:v>0</ns0:v>
      </ns0:c>
      <ns0:c r="H252" s="1" t="n">
        <ns0:v>0</ns0:v>
      </ns0:c>
      <ns0:c r="I252" s="1" t="n">
        <ns0:v>0</ns0:v>
      </ns0:c>
      <ns0:c r="J252" s="1" t="n">
        <ns0:v>0</ns0:v>
      </ns0:c>
      <ns0:c r="K252" s="1" t="n">
        <ns0:v>3</ns0:v>
      </ns0:c>
      <ns0:c r="L252" s="1" t="n">
        <ns0:v>13</ns0:v>
      </ns0:c>
      <ns0:c r="M252" s="1">
        <ns0:f>SUM(G252:L252)</ns0:f>
        <ns0:v/>
      </ns0:c>
      <ns0:c r="N252" s="1">
        <ns0:f>M252/E252</ns0:f>
        <ns0:v/>
      </ns0:c>
    </ns0:row>
    <ns0:row r="253" ht="37.25" customHeight="1">
      <ns0:c r="G253" s="1">
        <ns0:f>+G252/M252</ns0:f>
        <ns0:v/>
      </ns0:c>
      <ns0:c r="H253" s="1">
        <ns0:f>+H252/M252</ns0:f>
        <ns0:v/>
      </ns0:c>
      <ns0:c r="I253" s="1">
        <ns0:f>+I252/M252</ns0:f>
        <ns0:v/>
      </ns0:c>
      <ns0:c r="J253" s="1">
        <ns0:f>+J252/M252</ns0:f>
        <ns0:v/>
      </ns0:c>
      <ns0:c r="K253" s="1">
        <ns0:f>+K252/M252</ns0:f>
        <ns0:v/>
      </ns0:c>
      <ns0:c r="L253" s="1">
        <ns0:f>+L252/M252</ns0:f>
        <ns0:v/>
      </ns0:c>
    </ns0:row>
    <ns0:row r="254" ht="37.25" customHeight="1">
      <ns0:c r="D254" s="1" t="inlineStr">
        <ns0:is>
          <ns0:t>Normal</ns0:t>
        </ns0:is>
      </ns0:c>
      <ns0:c r="E254" s="1" t="n">
        <ns0:v>794</ns0:v>
      </ns0:c>
      <ns0:c r="F254" s="1">
        <ns0:f>+E254-M254</ns0:f>
        <ns0:v/>
      </ns0:c>
      <ns0:c r="G254" s="1" t="n">
        <ns0:v>0</ns0:v>
      </ns0:c>
      <ns0:c r="H254" s="1" t="n">
        <ns0:v>0</ns0:v>
      </ns0:c>
      <ns0:c r="I254" s="1" t="n">
        <ns0:v>0</ns0:v>
      </ns0:c>
      <ns0:c r="J254" s="1" t="n">
        <ns0:v>0</ns0:v>
      </ns0:c>
      <ns0:c r="K254" s="1" t="n">
        <ns0:v>21</ns0:v>
      </ns0:c>
      <ns0:c r="L254" s="1" t="n">
        <ns0:v>56</ns0:v>
      </ns0:c>
      <ns0:c r="M254" s="1">
        <ns0:f>SUM(G254:L254)</ns0:f>
        <ns0:v/>
      </ns0:c>
      <ns0:c r="N254" s="1">
        <ns0:f>M254/E254</ns0:f>
        <ns0:v/>
      </ns0:c>
    </ns0:row>
    <ns0:row r="255" ht="37.25" customHeight="1">
      <ns0:c r="G255" s="1">
        <ns0:f>+G254/M254</ns0:f>
        <ns0:v/>
      </ns0:c>
      <ns0:c r="H255" s="1">
        <ns0:f>+H254/M254</ns0:f>
        <ns0:v/>
      </ns0:c>
      <ns0:c r="I255" s="1">
        <ns0:f>+I254/M254</ns0:f>
        <ns0:v/>
      </ns0:c>
      <ns0:c r="J255" s="1">
        <ns0:f>+J254/M254</ns0:f>
        <ns0:v/>
      </ns0:c>
      <ns0:c r="K255" s="1">
        <ns0:f>+K254/M254</ns0:f>
        <ns0:v/>
      </ns0:c>
      <ns0:c r="L255" s="1">
        <ns0:f>+L254/M254</ns0:f>
        <ns0:v/>
      </ns0:c>
    </ns0:row>
    <ns0:row r="256" ht="37.25" customHeight="1">
      <ns0:c r="B256" s="2" t="n">
        <ns0:v>45478</ns0:v>
      </ns0:c>
      <ns0:c r="C256" s="1" t="inlineStr">
        <ns0:is>
          <ns0:t>Material Frame</ns0:t>
        </ns0:is>
      </ns0:c>
      <ns0:c r="D256" s="1" t="inlineStr">
        <ns0:is>
          <ns0:t>Frame stock 24/11/2023 + AWF#1</ns0:t>
        </ns0:is>
      </ns0:c>
      <ns0:c r="E256" s="1" t="n">
        <ns0:v>188</ns0:v>
      </ns0:c>
      <ns0:c r="F256" s="1">
        <ns0:f>+E256-M256</ns0:f>
        <ns0:v/>
      </ns0:c>
      <ns0:c r="G256" s="1" t="n">
        <ns0:v>0</ns0:v>
      </ns0:c>
      <ns0:c r="H256" s="1" t="n">
        <ns0:v>0</ns0:v>
      </ns0:c>
      <ns0:c r="I256" s="1" t="n">
        <ns0:v>0</ns0:v>
      </ns0:c>
      <ns0:c r="J256" s="1" t="n">
        <ns0:v>0</ns0:v>
      </ns0:c>
      <ns0:c r="K256" s="1" t="n">
        <ns0:v>3</ns0:v>
      </ns0:c>
      <ns0:c r="L256" s="1" t="n">
        <ns0:v>10</ns0:v>
      </ns0:c>
      <ns0:c r="M256" s="1">
        <ns0:f>SUM(G256:L256)</ns0:f>
        <ns0:v/>
      </ns0:c>
      <ns0:c r="N256" s="1">
        <ns0:f>M256/E256</ns0:f>
        <ns0:v/>
      </ns0:c>
    </ns0:row>
    <ns0:row r="257" ht="37.25" customHeight="1">
      <ns0:c r="G257" s="1">
        <ns0:f>+G256/M256</ns0:f>
        <ns0:v/>
      </ns0:c>
      <ns0:c r="H257" s="1">
        <ns0:f>+H256/M256</ns0:f>
        <ns0:v/>
      </ns0:c>
      <ns0:c r="I257" s="1">
        <ns0:f>+I256/M256</ns0:f>
        <ns0:v/>
      </ns0:c>
      <ns0:c r="J257" s="1">
        <ns0:f>+J256/M256</ns0:f>
        <ns0:v/>
      </ns0:c>
      <ns0:c r="K257" s="1">
        <ns0:f>+K256/M256</ns0:f>
        <ns0:v/>
      </ns0:c>
      <ns0:c r="L257" s="1">
        <ns0:f>+L256/M256</ns0:f>
        <ns0:v/>
      </ns0:c>
    </ns0:row>
    <ns0:row r="258" ht="37.25" customHeight="1">
      <ns0:c r="D258" s="1" t="inlineStr">
        <ns0:is>
          <ns0:t>Big ( 2.53 )  + AWF#1</ns0:t>
        </ns0:is>
      </ns0:c>
      <ns0:c r="E258" s="1" t="n">
        <ns0:v>40</ns0:v>
      </ns0:c>
      <ns0:c r="F258" s="1">
        <ns0:f>+E258-M258</ns0:f>
        <ns0:v/>
      </ns0:c>
      <ns0:c r="G258" s="1" t="n">
        <ns0:v>0</ns0:v>
      </ns0:c>
      <ns0:c r="H258" s="1" t="n">
        <ns0:v>0</ns0:v>
      </ns0:c>
      <ns0:c r="I258" s="1" t="n">
        <ns0:v>0</ns0:v>
      </ns0:c>
      <ns0:c r="J258" s="1" t="n">
        <ns0:v>0</ns0:v>
      </ns0:c>
      <ns0:c r="K258" s="1" t="n">
        <ns0:v>3</ns0:v>
      </ns0:c>
      <ns0:c r="L258" s="1" t="n">
        <ns0:v>1</ns0:v>
      </ns0:c>
      <ns0:c r="M258" s="1">
        <ns0:f>SUM(G258:L258)</ns0:f>
        <ns0:v/>
      </ns0:c>
      <ns0:c r="N258" s="1">
        <ns0:f>M258/E258</ns0:f>
        <ns0:v/>
      </ns0:c>
    </ns0:row>
    <ns0:row r="259" ht="37.25" customHeight="1">
      <ns0:c r="G259" s="1">
        <ns0:f>+G258/M258</ns0:f>
        <ns0:v/>
      </ns0:c>
      <ns0:c r="H259" s="1">
        <ns0:f>+H258/M258</ns0:f>
        <ns0:v/>
      </ns0:c>
      <ns0:c r="I259" s="1">
        <ns0:f>+I258/M258</ns0:f>
        <ns0:v/>
      </ns0:c>
      <ns0:c r="J259" s="1">
        <ns0:f>+J258/M258</ns0:f>
        <ns0:v/>
      </ns0:c>
      <ns0:c r="K259" s="1">
        <ns0:f>+K258/M258</ns0:f>
        <ns0:v/>
      </ns0:c>
      <ns0:c r="L259" s="1">
        <ns0:f>+L258/M258</ns0:f>
        <ns0:v/>
      </ns0:c>
    </ns0:row>
    <ns0:row r="260" ht="37.25" customHeight="1">
      <ns0:c r="D260" s="1" t="inlineStr">
        <ns0:is>
          <ns0:t>Medium ( 2.52 )  + AWF#1</ns0:t>
        </ns0:is>
      </ns0:c>
      <ns0:c r="E260" s="1" t="n">
        <ns0:v>106</ns0:v>
      </ns0:c>
      <ns0:c r="F260" s="1">
        <ns0:f>+E260-M260</ns0:f>
        <ns0:v/>
      </ns0:c>
      <ns0:c r="G260" s="1" t="n">
        <ns0:v>0</ns0:v>
      </ns0:c>
      <ns0:c r="H260" s="1" t="n">
        <ns0:v>0</ns0:v>
      </ns0:c>
      <ns0:c r="I260" s="1" t="n">
        <ns0:v>0</ns0:v>
      </ns0:c>
      <ns0:c r="J260" s="1" t="n">
        <ns0:v>0</ns0:v>
      </ns0:c>
      <ns0:c r="K260" s="1" t="n">
        <ns0:v>0</ns0:v>
      </ns0:c>
      <ns0:c r="L260" s="1" t="n">
        <ns0:v>1</ns0:v>
      </ns0:c>
      <ns0:c r="M260" s="1">
        <ns0:f>SUM(G260:L260)</ns0:f>
        <ns0:v/>
      </ns0:c>
      <ns0:c r="N260" s="1">
        <ns0:f>M260/E260</ns0:f>
        <ns0:v/>
      </ns0:c>
    </ns0:row>
    <ns0:row r="261" ht="37.25" customHeight="1">
      <ns0:c r="G261" s="1">
        <ns0:f>+G260/M260</ns0:f>
        <ns0:v/>
      </ns0:c>
      <ns0:c r="H261" s="1">
        <ns0:f>+H260/M260</ns0:f>
        <ns0:v/>
      </ns0:c>
      <ns0:c r="I261" s="1">
        <ns0:f>+I260/M260</ns0:f>
        <ns0:v/>
      </ns0:c>
      <ns0:c r="J261" s="1">
        <ns0:f>+J260/M260</ns0:f>
        <ns0:v/>
      </ns0:c>
      <ns0:c r="K261" s="1">
        <ns0:f>+K260/M260</ns0:f>
        <ns0:v/>
      </ns0:c>
      <ns0:c r="L261" s="1">
        <ns0:f>+L260/M260</ns0:f>
        <ns0:v/>
      </ns0:c>
    </ns0:row>
    <ns0:row r="262" ht="37.25" customHeight="1">
      <ns0:c r="D262" s="1" t="inlineStr">
        <ns0:is>
          <ns0:t>Small ( 2.51 )  + AWF#1</ns0:t>
        </ns0:is>
      </ns0:c>
      <ns0:c r="E262" s="1" t="n">
        <ns0:v>142</ns0:v>
      </ns0:c>
      <ns0:c r="F262" s="1">
        <ns0:f>+E262-M262</ns0:f>
        <ns0:v/>
      </ns0:c>
      <ns0:c r="G262" s="1" t="n">
        <ns0:v>0</ns0:v>
      </ns0:c>
      <ns0:c r="H262" s="1" t="n">
        <ns0:v>0</ns0:v>
      </ns0:c>
      <ns0:c r="I262" s="1" t="n">
        <ns0:v>0</ns0:v>
      </ns0:c>
      <ns0:c r="J262" s="1" t="n">
        <ns0:v>0</ns0:v>
      </ns0:c>
      <ns0:c r="K262" s="1" t="n">
        <ns0:v>6</ns0:v>
      </ns0:c>
      <ns0:c r="L262" s="1" t="n">
        <ns0:v>8</ns0:v>
      </ns0:c>
      <ns0:c r="M262" s="1">
        <ns0:f>SUM(G262:L262)</ns0:f>
        <ns0:v/>
      </ns0:c>
      <ns0:c r="N262" s="1">
        <ns0:f>M262/E262</ns0:f>
        <ns0:v/>
      </ns0:c>
    </ns0:row>
    <ns0:row r="263" ht="37.25" customHeight="1">
      <ns0:c r="G263" s="1">
        <ns0:f>+G262/M262</ns0:f>
        <ns0:v/>
      </ns0:c>
      <ns0:c r="H263" s="1">
        <ns0:f>+H262/M262</ns0:f>
        <ns0:v/>
      </ns0:c>
      <ns0:c r="I263" s="1">
        <ns0:f>+I262/M262</ns0:f>
        <ns0:v/>
      </ns0:c>
      <ns0:c r="J263" s="1">
        <ns0:f>+J262/M262</ns0:f>
        <ns0:v/>
      </ns0:c>
      <ns0:c r="K263" s="1">
        <ns0:f>+K262/M262</ns0:f>
        <ns0:v/>
      </ns0:c>
      <ns0:c r="L263" s="1">
        <ns0:f>+L262/M262</ns0:f>
        <ns0:v/>
      </ns0:c>
    </ns0:row>
    <ns0:row r="264" ht="37.25" customHeight="1">
      <ns0:c r="D264" s="1" t="inlineStr">
        <ns0:is>
          <ns0:t>Total (Frame now)</ns0:t>
        </ns0:is>
      </ns0:c>
      <ns0:c r="E264" s="1">
        <ns0:f>SUM(E258:E263)</ns0:f>
        <ns0:v/>
      </ns0:c>
      <ns0:c r="F264" s="1">
        <ns0:f>SUM(F258:F263)</ns0:f>
        <ns0:v/>
      </ns0:c>
      <ns0:c r="G264" s="1">
        <ns0:f>+G262+G260+G258</ns0:f>
        <ns0:v/>
      </ns0:c>
      <ns0:c r="H264" s="1">
        <ns0:f>+H262+H260+H258</ns0:f>
        <ns0:v/>
      </ns0:c>
      <ns0:c r="I264" s="1">
        <ns0:f>+I262+I260+I258</ns0:f>
        <ns0:v/>
      </ns0:c>
      <ns0:c r="J264" s="1">
        <ns0:f>+J262+J260+J258</ns0:f>
        <ns0:v/>
      </ns0:c>
      <ns0:c r="K264" s="1">
        <ns0:f>+K262+K260+K258</ns0:f>
        <ns0:v/>
      </ns0:c>
      <ns0:c r="L264" s="1">
        <ns0:f>+L262+L260+L258</ns0:f>
        <ns0:v/>
      </ns0:c>
      <ns0:c r="M264" s="1">
        <ns0:f>SUM(G264:L264)</ns0:f>
        <ns0:v/>
      </ns0:c>
      <ns0:c r="N264" s="1">
        <ns0:f>M264/E264</ns0:f>
        <ns0:v/>
      </ns0:c>
    </ns0:row>
    <ns0:row r="265" ht="37.25" customHeight="1">
      <ns0:c r="G265" s="1">
        <ns0:f>+G264/M264</ns0:f>
        <ns0:v/>
      </ns0:c>
      <ns0:c r="H265" s="1">
        <ns0:f>+H264/M264</ns0:f>
        <ns0:v/>
      </ns0:c>
      <ns0:c r="I265" s="1">
        <ns0:f>+I264/M264</ns0:f>
        <ns0:v/>
      </ns0:c>
      <ns0:c r="J265" s="1">
        <ns0:f>+J264/M264</ns0:f>
        <ns0:v/>
      </ns0:c>
      <ns0:c r="K265" s="1">
        <ns0:f>+K264/M264</ns0:f>
        <ns0:v/>
      </ns0:c>
      <ns0:c r="L265" s="1">
        <ns0:f>+L264/M264</ns0:f>
        <ns0:v/>
      </ns0:c>
      <ns0:c r="W265" s="1" t="inlineStr">
        <ns0:is>
          <ns0:t> </ns0:t>
        </ns0:is>
      </ns0:c>
    </ns0:row>
    <ns0:row r="266" ht="37.25" customHeight="1">
      <ns0:c r="D266" s="1" t="inlineStr">
        <ns0:is>
          <ns0:t>Normal</ns0:t>
        </ns0:is>
      </ns0:c>
      <ns0:c r="E266" s="1" t="n">
        <ns0:v>799</ns0:v>
      </ns0:c>
      <ns0:c r="F266" s="1">
        <ns0:f>+E266-M266</ns0:f>
        <ns0:v/>
      </ns0:c>
      <ns0:c r="G266" s="1" t="n">
        <ns0:v>0</ns0:v>
      </ns0:c>
      <ns0:c r="H266" s="1" t="n">
        <ns0:v>5</ns0:v>
      </ns0:c>
      <ns0:c r="I266" s="1" t="n">
        <ns0:v>1</ns0:v>
      </ns0:c>
      <ns0:c r="J266" s="1" t="n">
        <ns0:v>0</ns0:v>
      </ns0:c>
      <ns0:c r="K266" s="1" t="n">
        <ns0:v>14</ns0:v>
      </ns0:c>
      <ns0:c r="L266" s="1" t="n">
        <ns0:v>98</ns0:v>
      </ns0:c>
      <ns0:c r="M266" s="1">
        <ns0:f>SUM(G266:L266)</ns0:f>
        <ns0:v/>
      </ns0:c>
      <ns0:c r="N266" s="1">
        <ns0:f>M266/E266</ns0:f>
        <ns0:v/>
      </ns0:c>
    </ns0:row>
    <ns0:row r="267" ht="37.25" customHeight="1">
      <ns0:c r="G267" s="1">
        <ns0:f>+G266/M266</ns0:f>
        <ns0:v/>
      </ns0:c>
      <ns0:c r="H267" s="1">
        <ns0:f>+H266/M266</ns0:f>
        <ns0:v/>
      </ns0:c>
      <ns0:c r="I267" s="1">
        <ns0:f>+I266/M266</ns0:f>
        <ns0:v/>
      </ns0:c>
      <ns0:c r="J267" s="1">
        <ns0:f>+J266/M266</ns0:f>
        <ns0:v/>
      </ns0:c>
      <ns0:c r="K267" s="1">
        <ns0:f>+K266/M266</ns0:f>
        <ns0:v/>
      </ns0:c>
      <ns0:c r="L267" s="1">
        <ns0:f>+L266/M266</ns0:f>
        <ns0:v/>
      </ns0:c>
    </ns0:row>
    <ns0:row r="268" ht="26.25" customHeight="1">
      <ns0:c r="C268" s="1" t="inlineStr">
        <ns0:is>
          <ns0:t>SUB 1 VP+CD</ns0:t>
        </ns0:is>
      </ns0:c>
      <ns0:c r="D268" s="1" t="inlineStr">
        <ns0:is>
          <ns0:t xml:space="preserve"> VP + CD bond amount 3.2~3.4mg</ns0:t>
        </ns0:is>
      </ns0:c>
      <ns0:c r="E268" s="1" t="n">
        <ns0:v>340</ns0:v>
      </ns0:c>
      <ns0:c r="F268" s="1">
        <ns0:f>+E268-M268</ns0:f>
        <ns0:v/>
      </ns0:c>
      <ns0:c r="G268" s="1" t="n">
        <ns0:v>0</ns0:v>
      </ns0:c>
      <ns0:c r="H268" s="1" t="n">
        <ns0:v>1</ns0:v>
      </ns0:c>
      <ns0:c r="I268" s="1" t="n">
        <ns0:v>0</ns0:v>
      </ns0:c>
      <ns0:c r="J268" s="1" t="n">
        <ns0:v>0</ns0:v>
      </ns0:c>
      <ns0:c r="K268" s="1" t="n">
        <ns0:v>13</ns0:v>
      </ns0:c>
      <ns0:c r="L268" s="1" t="n">
        <ns0:v>33</ns0:v>
      </ns0:c>
      <ns0:c r="M268" s="1">
        <ns0:f>SUM(G268:L268)</ns0:f>
        <ns0:v/>
      </ns0:c>
      <ns0:c r="N268" s="1">
        <ns0:f>M268/E268</ns0:f>
        <ns0:v/>
      </ns0:c>
    </ns0:row>
    <ns0:row r="269" ht="26.25" customHeight="1">
      <ns0:c r="G269" s="1">
        <ns0:f>+G268/M268</ns0:f>
        <ns0:v/>
      </ns0:c>
      <ns0:c r="H269" s="1">
        <ns0:f>+H268/M268</ns0:f>
        <ns0:v/>
      </ns0:c>
      <ns0:c r="I269" s="1">
        <ns0:f>+I268/M268</ns0:f>
        <ns0:v/>
      </ns0:c>
      <ns0:c r="J269" s="1">
        <ns0:f>+J268/M268</ns0:f>
        <ns0:v/>
      </ns0:c>
      <ns0:c r="K269" s="1">
        <ns0:f>+K268/M268</ns0:f>
        <ns0:v/>
      </ns0:c>
      <ns0:c r="L269" s="1">
        <ns0:f>+L268/M268</ns0:f>
        <ns0:v/>
      </ns0:c>
    </ns0:row>
    <ns0:row r="270" ht="26.25" customHeight="1">
      <ns0:c r="C270" s="1" t="inlineStr">
        <ns0:is>
          <ns0:t>UV LED Coil + SP</ns0:t>
        </ns0:is>
      </ns0:c>
      <ns0:c r="D270" s="1" t="inlineStr">
        <ns0:is>
          <ns0:t xml:space="preserve"> setting UV block</ns0:t>
        </ns0:is>
      </ns0:c>
      <ns0:c r="E270" s="1" t="n">
        <ns0:v>688</ns0:v>
      </ns0:c>
      <ns0:c r="F270" s="1">
        <ns0:f>+E270-M270</ns0:f>
        <ns0:v/>
      </ns0:c>
      <ns0:c r="G270" s="1" t="n">
        <ns0:v>0</ns0:v>
      </ns0:c>
      <ns0:c r="H270" s="1" t="n">
        <ns0:v>10</ns0:v>
      </ns0:c>
      <ns0:c r="I270" s="1" t="n">
        <ns0:v>0</ns0:v>
      </ns0:c>
      <ns0:c r="J270" s="1" t="n">
        <ns0:v>0</ns0:v>
      </ns0:c>
      <ns0:c r="K270" s="1" t="n">
        <ns0:v>17</ns0:v>
      </ns0:c>
      <ns0:c r="L270" s="1" t="n">
        <ns0:v>73</ns0:v>
      </ns0:c>
      <ns0:c r="M270" s="1">
        <ns0:f>SUM(G270:L270)</ns0:f>
        <ns0:v/>
      </ns0:c>
      <ns0:c r="N270" s="1">
        <ns0:f>M270/E270</ns0:f>
        <ns0:v/>
      </ns0:c>
    </ns0:row>
    <ns0:row r="271" ht="26.25" customHeight="1">
      <ns0:c r="G271" s="1">
        <ns0:f>+G270/M270</ns0:f>
        <ns0:v/>
      </ns0:c>
      <ns0:c r="H271" s="1">
        <ns0:f>+H270/M270</ns0:f>
        <ns0:v/>
      </ns0:c>
      <ns0:c r="I271" s="1">
        <ns0:f>+I270/M270</ns0:f>
        <ns0:v/>
      </ns0:c>
      <ns0:c r="J271" s="1">
        <ns0:f>+J270/M270</ns0:f>
        <ns0:v/>
      </ns0:c>
      <ns0:c r="K271" s="1">
        <ns0:f>+K270/M270</ns0:f>
        <ns0:v/>
      </ns0:c>
      <ns0:c r="L271" s="1">
        <ns0:f>+L270/M270</ns0:f>
        <ns0:v/>
      </ns0:c>
    </ns0:row>
    <ns0:row r="272" ht="26.25" customHeight="1">
      <ns0:c r="B272" s="2" t="n">
        <ns0:v>45479</ns0:v>
      </ns0:c>
      <ns0:c r="C272" s="1" t="inlineStr">
        <ns0:is>
          <ns0:t>TC Reinforcing glue Coil+Sus</ns0:t>
        </ns0:is>
      </ns0:c>
      <ns0:c r="D272" s="1" t="inlineStr">
        <ns0:is>
          <ns0:t xml:space="preserve"> setting UV block</ns0:t>
        </ns0:is>
      </ns0:c>
      <ns0:c r="E272" s="1" t="n">
        <ns0:v>513</ns0:v>
      </ns0:c>
      <ns0:c r="F272" s="1">
        <ns0:f>+E272-M272</ns0:f>
        <ns0:v/>
      </ns0:c>
      <ns0:c r="G272" s="1" t="n">
        <ns0:v>0</ns0:v>
      </ns0:c>
      <ns0:c r="H272" s="1" t="n">
        <ns0:v>2</ns0:v>
      </ns0:c>
      <ns0:c r="I272" s="1" t="n">
        <ns0:v>0</ns0:v>
      </ns0:c>
      <ns0:c r="J272" s="1" t="n">
        <ns0:v>0</ns0:v>
      </ns0:c>
      <ns0:c r="K272" s="1" t="n">
        <ns0:v>8</ns0:v>
      </ns0:c>
      <ns0:c r="L272" s="1" t="n">
        <ns0:v>47</ns0:v>
      </ns0:c>
      <ns0:c r="M272" s="1">
        <ns0:f>SUM(G272:L272)</ns0:f>
        <ns0:v/>
      </ns0:c>
      <ns0:c r="N272" s="1">
        <ns0:f>M272/E272</ns0:f>
        <ns0:v/>
      </ns0:c>
    </ns0:row>
    <ns0:row r="273" ht="26.25" customHeight="1">
      <ns0:c r="G273" s="1">
        <ns0:f>+G272/M272</ns0:f>
        <ns0:v/>
      </ns0:c>
      <ns0:c r="H273" s="1">
        <ns0:f>+H272/M272</ns0:f>
        <ns0:v/>
      </ns0:c>
      <ns0:c r="I273" s="1">
        <ns0:f>+I272/M272</ns0:f>
        <ns0:v/>
      </ns0:c>
      <ns0:c r="J273" s="1">
        <ns0:f>+J272/M272</ns0:f>
        <ns0:v/>
      </ns0:c>
      <ns0:c r="K273" s="1">
        <ns0:f>+K272/M272</ns0:f>
        <ns0:v/>
      </ns0:c>
      <ns0:c r="L273" s="1">
        <ns0:f>+L272/M272</ns0:f>
        <ns0:v/>
      </ns0:c>
    </ns0:row>
    <ns0:row r="274" ht="26.25" customHeight="1">
      <ns0:c r="C274" s="1" t="inlineStr">
        <ns0:is>
          <ns0:t>UV Led Press VP+COIL</ns0:t>
        </ns0:is>
      </ns0:c>
      <ns0:c r="D274" s="1" t="inlineStr">
        <ns0:is>
          <ns0:t>UV Led Press Up 1Turn</ns0:t>
        </ns0:is>
      </ns0:c>
      <ns0:c r="E274" s="1" t="n">
        <ns0:v>560</ns0:v>
      </ns0:c>
      <ns0:c r="F274" s="1">
        <ns0:f>+E274-M274</ns0:f>
        <ns0:v/>
      </ns0:c>
      <ns0:c r="G274" s="1" t="n">
        <ns0:v>0</ns0:v>
      </ns0:c>
      <ns0:c r="H274" s="1" t="n">
        <ns0:v>1</ns0:v>
      </ns0:c>
      <ns0:c r="I274" s="1" t="n">
        <ns0:v>4</ns0:v>
      </ns0:c>
      <ns0:c r="J274" s="1" t="n">
        <ns0:v>0</ns0:v>
      </ns0:c>
      <ns0:c r="K274" s="1" t="n">
        <ns0:v>8</ns0:v>
      </ns0:c>
      <ns0:c r="L274" s="1" t="n">
        <ns0:v>45</ns0:v>
      </ns0:c>
      <ns0:c r="M274" s="1">
        <ns0:f>SUM(G274:L274)</ns0:f>
        <ns0:v/>
      </ns0:c>
      <ns0:c r="N274" s="1">
        <ns0:f>M274/E274</ns0:f>
        <ns0:v/>
      </ns0:c>
    </ns0:row>
    <ns0:row r="275" ht="26.25" customHeight="1">
      <ns0:c r="G275" s="1">
        <ns0:f>+G274/M274</ns0:f>
        <ns0:v/>
      </ns0:c>
      <ns0:c r="H275" s="1">
        <ns0:f>+H274/M274</ns0:f>
        <ns0:v/>
      </ns0:c>
      <ns0:c r="I275" s="1">
        <ns0:f>+I274/M274</ns0:f>
        <ns0:v/>
      </ns0:c>
      <ns0:c r="J275" s="1">
        <ns0:f>+J274/M274</ns0:f>
        <ns0:v/>
      </ns0:c>
      <ns0:c r="K275" s="1">
        <ns0:f>+K274/M274</ns0:f>
        <ns0:v/>
      </ns0:c>
      <ns0:c r="L275" s="1">
        <ns0:f>+L274/M274</ns0:f>
        <ns0:v/>
      </ns0:c>
    </ns0:row>
    <ns0:row r="276" ht="26.25" customHeight="1">
      <ns0:c r="C276" s="1" t="inlineStr">
        <ns0:is>
          <ns0:t>Frame + Coil reverse</ns0:t>
        </ns0:is>
      </ns0:c>
      <ns0:c r="D276" s="1" t="inlineStr">
        <ns0:is>
          <ns0:t>Don't Press</ns0:t>
        </ns0:is>
      </ns0:c>
      <ns0:c r="E276" s="1" t="n">
        <ns0:v>594</ns0:v>
      </ns0:c>
      <ns0:c r="F276" s="1">
        <ns0:f>+E276-M276</ns0:f>
        <ns0:v/>
      </ns0:c>
      <ns0:c r="G276" s="1" t="n">
        <ns0:v>0</ns0:v>
      </ns0:c>
      <ns0:c r="H276" s="1" t="n">
        <ns0:v>4</ns0:v>
      </ns0:c>
      <ns0:c r="I276" s="1" t="n">
        <ns0:v>0</ns0:v>
      </ns0:c>
      <ns0:c r="J276" s="1" t="n">
        <ns0:v>0</ns0:v>
      </ns0:c>
      <ns0:c r="K276" s="1" t="n">
        <ns0:v>10</ns0:v>
      </ns0:c>
      <ns0:c r="L276" s="1" t="n">
        <ns0:v>51</ns0:v>
      </ns0:c>
      <ns0:c r="M276" s="1">
        <ns0:f>SUM(G276:L276)</ns0:f>
        <ns0:v/>
      </ns0:c>
      <ns0:c r="N276" s="1">
        <ns0:f>M276/E276</ns0:f>
        <ns0:v/>
      </ns0:c>
    </ns0:row>
    <ns0:row r="277" ht="26.25" customHeight="1">
      <ns0:c r="G277" s="1">
        <ns0:f>+G276/M276</ns0:f>
        <ns0:v/>
      </ns0:c>
      <ns0:c r="H277" s="1">
        <ns0:f>+H276/M276</ns0:f>
        <ns0:v/>
      </ns0:c>
      <ns0:c r="I277" s="1">
        <ns0:f>+I276/M276</ns0:f>
        <ns0:v/>
      </ns0:c>
      <ns0:c r="J277" s="1">
        <ns0:f>+J276/M276</ns0:f>
        <ns0:v/>
      </ns0:c>
      <ns0:c r="K277" s="1">
        <ns0:f>+K276/M276</ns0:f>
        <ns0:v/>
      </ns0:c>
      <ns0:c r="L277" s="1">
        <ns0:f>+L276/M276</ns0:f>
        <ns0:v/>
      </ns0:c>
    </ns0:row>
    <ns0:row r="278" ht="26.25" customHeight="1">
      <ns0:c r="C278" s="1" t="inlineStr">
        <ns0:is>
          <ns0:t>Normal</ns0:t>
        </ns0:is>
      </ns0:c>
      <ns0:c r="E278" s="1" t="n">
        <ns0:v>791</ns0:v>
      </ns0:c>
      <ns0:c r="F278" s="1">
        <ns0:f>+E278-M278</ns0:f>
        <ns0:v/>
      </ns0:c>
      <ns0:c r="G278" s="1" t="n">
        <ns0:v>0</ns0:v>
      </ns0:c>
      <ns0:c r="H278" s="1" t="n">
        <ns0:v>6</ns0:v>
      </ns0:c>
      <ns0:c r="I278" s="1" t="n">
        <ns0:v>2</ns0:v>
      </ns0:c>
      <ns0:c r="J278" s="1" t="n">
        <ns0:v>0</ns0:v>
      </ns0:c>
      <ns0:c r="K278" s="1" t="n">
        <ns0:v>18</ns0:v>
      </ns0:c>
      <ns0:c r="L278" s="1" t="n">
        <ns0:v>55</ns0:v>
      </ns0:c>
      <ns0:c r="M278" s="1">
        <ns0:f>SUM(G278:L278)</ns0:f>
        <ns0:v/>
      </ns0:c>
      <ns0:c r="N278" s="1">
        <ns0:f>M278/E278</ns0:f>
        <ns0:v/>
      </ns0:c>
    </ns0:row>
    <ns0:row r="279" ht="26.25" customHeight="1">
      <ns0:c r="G279" s="1">
        <ns0:f>+G278/M278</ns0:f>
        <ns0:v/>
      </ns0:c>
      <ns0:c r="H279" s="1">
        <ns0:f>+H278/M278</ns0:f>
        <ns0:v/>
      </ns0:c>
      <ns0:c r="I279" s="1">
        <ns0:f>+I278/M278</ns0:f>
        <ns0:v/>
      </ns0:c>
      <ns0:c r="J279" s="1">
        <ns0:f>+J278/M278</ns0:f>
        <ns0:v/>
      </ns0:c>
      <ns0:c r="K279" s="1">
        <ns0:f>+K278/M278</ns0:f>
        <ns0:v/>
      </ns0:c>
      <ns0:c r="L279" s="1">
        <ns0:f>+L278/M278</ns0:f>
        <ns0:v/>
      </ns0:c>
    </ns0:row>
    <ns0:row r="280" ht="38" customHeight="1">
      <ns0:c r="B280" s="2" t="n">
        <ns0:v>45481</ns0:v>
      </ns0:c>
      <ns0:c r="C280" s="1" t="inlineStr">
        <ns0:is>
          <ns0:t xml:space="preserve">Semi Frame Sus + VP+CD and semi Yoke (Day shift E2-4A )
</ns0:t>
        </ns0:is>
      </ns0:c>
      <ns0:c r="D280" s="1" t="inlineStr">
        <ns0:is>
          <ns0:t>AWF Coil Night shift ( E2-4B ) make sample</ns0:t>
        </ns0:is>
      </ns0:c>
      <ns0:c r="E280" s="1" t="n">
        <ns0:v>200</ns0:v>
      </ns0:c>
      <ns0:c r="F280" s="1">
        <ns0:f>+E280-M280</ns0:f>
        <ns0:v/>
      </ns0:c>
      <ns0:c r="G280" s="1" t="n">
        <ns0:v>0</ns0:v>
      </ns0:c>
      <ns0:c r="H280" s="1" t="n">
        <ns0:v>1</ns0:v>
      </ns0:c>
      <ns0:c r="I280" s="1" t="n">
        <ns0:v>0</ns0:v>
      </ns0:c>
      <ns0:c r="J280" s="1" t="n">
        <ns0:v>0</ns0:v>
      </ns0:c>
      <ns0:c r="K280" s="1" t="n">
        <ns0:v>8</ns0:v>
      </ns0:c>
      <ns0:c r="L280" s="1" t="n">
        <ns0:v>7</ns0:v>
      </ns0:c>
      <ns0:c r="M280" s="1">
        <ns0:f>SUM(G280:L280)</ns0:f>
        <ns0:v/>
      </ns0:c>
      <ns0:c r="N280" s="1">
        <ns0:f>M280/E280</ns0:f>
        <ns0:v/>
      </ns0:c>
      <ns0:c r="O280" s="1" t="n">
        <ns0:v>6</ns0:v>
      </ns0:c>
      <ns0:c r="P280" s="1" t="n">
        <ns0:v>3</ns0:v>
      </ns0:c>
      <ns0:c r="Q280" s="1">
        <ns0:f>+P280+O280+J280+I280+H280+G280</ns0:f>
        <ns0:v/>
      </ns0:c>
      <ns0:c r="R280" s="1">
        <ns0:f>+Q280/E280</ns0:f>
        <ns0:v/>
      </ns0:c>
      <ns0:c r="S280" s="1" t="inlineStr">
        <ns0:is>
          <ns0:t xml:space="preserve"> Hearing voltage up 10%</ns0:t>
        </ns0:is>
      </ns0:c>
    </ns0:row>
    <ns0:row r="281" ht="57" customHeight="1">
      <ns0:c r="G281" s="1">
        <ns0:f>+G280/M280</ns0:f>
        <ns0:v/>
      </ns0:c>
      <ns0:c r="H281" s="1">
        <ns0:f>+H280/M280</ns0:f>
        <ns0:v/>
      </ns0:c>
      <ns0:c r="I281" s="1">
        <ns0:f>+I280/M280</ns0:f>
        <ns0:v/>
      </ns0:c>
      <ns0:c r="J281" s="1">
        <ns0:f>+J280/M280</ns0:f>
        <ns0:v/>
      </ns0:c>
      <ns0:c r="K281" s="1">
        <ns0:f>+K280/M280</ns0:f>
        <ns0:v/>
      </ns0:c>
      <ns0:c r="L281" s="1">
        <ns0:f>+L280/M280</ns0:f>
        <ns0:v/>
      </ns0:c>
      <ns0:c r="O281" s="1">
        <ns0:f>+O280/Q280</ns0:f>
        <ns0:v/>
      </ns0:c>
      <ns0:c r="P281" s="1">
        <ns0:f>+P280/Q280</ns0:f>
        <ns0:v/>
      </ns0:c>
    </ns0:row>
    <ns0:row r="282" ht="38" customHeight="1">
      <ns0:c r="C282" s="1" t="inlineStr">
        <ns0:is>
          <ns0:t>Semi Frame + sus + Coil ( Day shift ) Line E2-4A
( after change Air pressure AWF 0.4 =&gt; 0.5Mpa and Off AWF#5 NG High )</ns0:t>
        </ns0:is>
      </ns0:c>
      <ns0:c r="D282" s="1" t="inlineStr">
        <ns0:is>
          <ns0:t xml:space="preserve">VP+CD and semi Yoke night shift ( E2-4B )
Make sample </ns0:t>
        </ns0:is>
      </ns0:c>
      <ns0:c r="E282" s="1" t="n">
        <ns0:v>300</ns0:v>
      </ns0:c>
      <ns0:c r="F282" s="1">
        <ns0:f>+E282-M282</ns0:f>
        <ns0:v/>
      </ns0:c>
      <ns0:c r="G282" s="1" t="n">
        <ns0:v>0</ns0:v>
      </ns0:c>
      <ns0:c r="H282" s="1" t="n">
        <ns0:v>2</ns0:v>
      </ns0:c>
      <ns0:c r="I282" s="1" t="n">
        <ns0:v>0</ns0:v>
      </ns0:c>
      <ns0:c r="J282" s="1" t="n">
        <ns0:v>0</ns0:v>
      </ns0:c>
      <ns0:c r="K282" s="1" t="n">
        <ns0:v>4</ns0:v>
      </ns0:c>
      <ns0:c r="L282" s="1" t="n">
        <ns0:v>4</ns0:v>
      </ns0:c>
      <ns0:c r="M282" s="1">
        <ns0:f>SUM(G282:L282)</ns0:f>
        <ns0:v/>
      </ns0:c>
      <ns0:c r="N282" s="1">
        <ns0:f>M282/E282</ns0:f>
        <ns0:v/>
      </ns0:c>
      <ns0:c r="O282" s="1" t="n">
        <ns0:v>4</ns0:v>
      </ns0:c>
      <ns0:c r="P282" s="1" t="n">
        <ns0:v>1</ns0:v>
      </ns0:c>
      <ns0:c r="Q282" s="1">
        <ns0:f>+P282+O282+J282+I282+H282+G282</ns0:f>
        <ns0:v/>
      </ns0:c>
      <ns0:c r="R282" s="1">
        <ns0:f>+Q282/E282</ns0:f>
        <ns0:v/>
      </ns0:c>
      <ns0:c r="S282" s="1" t="inlineStr">
        <ns0:is>
          <ns0:t xml:space="preserve"> Hearing voltage up 10%</ns0:t>
        </ns0:is>
      </ns0:c>
    </ns0:row>
    <ns0:row r="283" ht="88.5" customHeight="1">
      <ns0:c r="G283" s="1">
        <ns0:f>+G282/M282</ns0:f>
        <ns0:v/>
      </ns0:c>
      <ns0:c r="H283" s="1">
        <ns0:f>+H282/M282</ns0:f>
        <ns0:v/>
      </ns0:c>
      <ns0:c r="I283" s="1">
        <ns0:f>+I282/M282</ns0:f>
        <ns0:v/>
      </ns0:c>
      <ns0:c r="J283" s="1">
        <ns0:f>+J282/M282</ns0:f>
        <ns0:v/>
      </ns0:c>
      <ns0:c r="K283" s="1">
        <ns0:f>+K282/M282</ns0:f>
        <ns0:v/>
      </ns0:c>
      <ns0:c r="L283" s="1">
        <ns0:f>+L282/M282</ns0:f>
        <ns0:v/>
      </ns0:c>
      <ns0:c r="O283" s="1">
        <ns0:f>+O282/Q282</ns0:f>
        <ns0:v/>
      </ns0:c>
      <ns0:c r="P283" s="1">
        <ns0:f>+P282/Q282</ns0:f>
        <ns0:v/>
      </ns0:c>
    </ns0:row>
    <ns0:row r="284" ht="26.25" customHeight="1">
      <ns0:c r="C284" s="1" t="inlineStr">
        <ns0:is>
          <ns0:t>Normal</ns0:t>
        </ns0:is>
      </ns0:c>
      <ns0:c r="E284" s="1" t="n">
        <ns0:v>799</ns0:v>
      </ns0:c>
      <ns0:c r="F284" s="1">
        <ns0:f>+E284-M284</ns0:f>
        <ns0:v/>
      </ns0:c>
      <ns0:c r="G284" s="1" t="n">
        <ns0:v>0</ns0:v>
      </ns0:c>
      <ns0:c r="H284" s="1" t="n">
        <ns0:v>4</ns0:v>
      </ns0:c>
      <ns0:c r="I284" s="1" t="n">
        <ns0:v>2</ns0:v>
      </ns0:c>
      <ns0:c r="J284" s="1" t="n">
        <ns0:v>0</ns0:v>
      </ns0:c>
      <ns0:c r="K284" s="1" t="n">
        <ns0:v>26</ns0:v>
      </ns0:c>
      <ns0:c r="L284" s="1" t="n">
        <ns0:v>166</ns0:v>
      </ns0:c>
      <ns0:c r="M284" s="1">
        <ns0:f>SUM(G284:L284)</ns0:f>
        <ns0:v/>
      </ns0:c>
      <ns0:c r="N284" s="1">
        <ns0:f>M284/E284</ns0:f>
        <ns0:v/>
      </ns0:c>
      <ns0:c r="O284" s="1" t="n">
        <ns0:v>19</ns0:v>
      </ns0:c>
      <ns0:c r="P284" s="1" t="n">
        <ns0:v>75</ns0:v>
      </ns0:c>
      <ns0:c r="Q284" s="1">
        <ns0:f>+P284+O284+J284+I284+H284+G284</ns0:f>
        <ns0:v/>
      </ns0:c>
      <ns0:c r="R284" s="1">
        <ns0:f>+Q284/E284</ns0:f>
        <ns0:v/>
      </ns0:c>
      <ns0:c r="S284" s="1" t="inlineStr">
        <ns0:is>
          <ns0:t xml:space="preserve"> Hearing voltage up 10%</ns0:t>
        </ns0:is>
      </ns0:c>
    </ns0:row>
    <ns0:row r="285" ht="26.25" customHeight="1">
      <ns0:c r="G285" s="1">
        <ns0:f>+G284/M284</ns0:f>
        <ns0:v/>
      </ns0:c>
      <ns0:c r="H285" s="1">
        <ns0:f>+H284/M284</ns0:f>
        <ns0:v/>
      </ns0:c>
      <ns0:c r="I285" s="1">
        <ns0:f>+I284/M284</ns0:f>
        <ns0:v/>
      </ns0:c>
      <ns0:c r="J285" s="1">
        <ns0:f>+J284/M284</ns0:f>
        <ns0:v/>
      </ns0:c>
      <ns0:c r="K285" s="1">
        <ns0:f>+K284/M284</ns0:f>
        <ns0:v/>
      </ns0:c>
      <ns0:c r="L285" s="1">
        <ns0:f>+L284/M284</ns0:f>
        <ns0:v/>
      </ns0:c>
      <ns0:c r="O285" s="1">
        <ns0:f>+O284/Q284</ns0:f>
        <ns0:v/>
      </ns0:c>
      <ns0:c r="P285" s="1">
        <ns0:f>+P284/Q284</ns0:f>
        <ns0:v/>
      </ns0:c>
    </ns0:row>
    <ns0:row r="286" ht="26.25" customHeight="1">
      <ns0:c r="C286" s="1" t="inlineStr">
        <ns0:is>
          <ns0:t>Frame + Coil reverse</ns0:t>
        </ns0:is>
      </ns0:c>
      <ns0:c r="D286" s="1" t="inlineStr">
        <ns0:is>
          <ns0:t>Clamp#1</ns0:t>
        </ns0:is>
      </ns0:c>
      <ns0:c r="E286" s="1" t="n">
        <ns0:v>150</ns0:v>
      </ns0:c>
      <ns0:c r="F286" s="1">
        <ns0:f>+E286-M286</ns0:f>
        <ns0:v/>
      </ns0:c>
      <ns0:c r="G286" s="1" t="n">
        <ns0:v>0</ns0:v>
      </ns0:c>
      <ns0:c r="H286" s="1" t="n">
        <ns0:v>0</ns0:v>
      </ns0:c>
      <ns0:c r="I286" s="1" t="n">
        <ns0:v>0</ns0:v>
      </ns0:c>
      <ns0:c r="J286" s="1" t="n">
        <ns0:v>0</ns0:v>
      </ns0:c>
      <ns0:c r="K286" s="1" t="n">
        <ns0:v>0</ns0:v>
      </ns0:c>
      <ns0:c r="L286" s="1" t="n">
        <ns0:v>35</ns0:v>
      </ns0:c>
      <ns0:c r="M286" s="1">
        <ns0:f>SUM(G286:L286)</ns0:f>
        <ns0:v/>
      </ns0:c>
      <ns0:c r="N286" s="1">
        <ns0:f>M286/E286</ns0:f>
        <ns0:v/>
      </ns0:c>
      <ns0:c r="O286" s="1" t="n">
        <ns0:v>0</ns0:v>
      </ns0:c>
      <ns0:c r="P286" s="1" t="n">
        <ns0:v>14</ns0:v>
      </ns0:c>
      <ns0:c r="Q286" s="1">
        <ns0:f>+P286+O286+J286+I286+H286+G286</ns0:f>
        <ns0:v/>
      </ns0:c>
      <ns0:c r="R286" s="1">
        <ns0:f>+Q286/E286</ns0:f>
        <ns0:v/>
      </ns0:c>
      <ns0:c r="S286" s="1" t="inlineStr">
        <ns0:is>
          <ns0:t xml:space="preserve"> Hearing voltage up 10%</ns0:t>
        </ns0:is>
      </ns0:c>
    </ns0:row>
    <ns0:row r="287" ht="26.25" customHeight="1">
      <ns0:c r="G287" s="1">
        <ns0:f>+G286/M286</ns0:f>
        <ns0:v/>
      </ns0:c>
      <ns0:c r="H287" s="1">
        <ns0:f>+H286/M286</ns0:f>
        <ns0:v/>
      </ns0:c>
      <ns0:c r="I287" s="1">
        <ns0:f>+I286/M286</ns0:f>
        <ns0:v/>
      </ns0:c>
      <ns0:c r="J287" s="1">
        <ns0:f>+J286/M286</ns0:f>
        <ns0:v/>
      </ns0:c>
      <ns0:c r="K287" s="1">
        <ns0:f>+K286/M286</ns0:f>
        <ns0:v/>
      </ns0:c>
      <ns0:c r="L287" s="1">
        <ns0:f>+L286/M286</ns0:f>
        <ns0:v/>
      </ns0:c>
      <ns0:c r="O287" s="1">
        <ns0:f>+O286/Q286</ns0:f>
        <ns0:v/>
      </ns0:c>
      <ns0:c r="P287" s="1">
        <ns0:f>+P286/Q286</ns0:f>
        <ns0:v/>
      </ns0:c>
    </ns0:row>
    <ns0:row r="288" ht="26.25" customHeight="1">
      <ns0:c r="D288" s="1" t="inlineStr">
        <ns0:is>
          <ns0:t>Clamp#2</ns0:t>
        </ns0:is>
      </ns0:c>
      <ns0:c r="E288" s="1" t="n">
        <ns0:v>150</ns0:v>
      </ns0:c>
      <ns0:c r="F288" s="1">
        <ns0:f>+E288-M288</ns0:f>
        <ns0:v/>
      </ns0:c>
      <ns0:c r="G288" s="1" t="n">
        <ns0:v>0</ns0:v>
      </ns0:c>
      <ns0:c r="H288" s="1" t="n">
        <ns0:v>2</ns0:v>
      </ns0:c>
      <ns0:c r="I288" s="1" t="n">
        <ns0:v>0</ns0:v>
      </ns0:c>
      <ns0:c r="J288" s="1" t="n">
        <ns0:v>0</ns0:v>
      </ns0:c>
      <ns0:c r="K288" s="1" t="n">
        <ns0:v>11</ns0:v>
      </ns0:c>
      <ns0:c r="L288" s="1" t="n">
        <ns0:v>0</ns0:v>
      </ns0:c>
      <ns0:c r="M288" s="1">
        <ns0:f>SUM(G288:L288)</ns0:f>
        <ns0:v/>
      </ns0:c>
      <ns0:c r="N288" s="1">
        <ns0:f>M288/E288</ns0:f>
        <ns0:v/>
      </ns0:c>
      <ns0:c r="O288" s="1" t="n">
        <ns0:v>10</ns0:v>
      </ns0:c>
      <ns0:c r="P288" s="1" t="n">
        <ns0:v>1</ns0:v>
      </ns0:c>
      <ns0:c r="Q288" s="1">
        <ns0:f>+P288+O288+J288+I288+H288+G288</ns0:f>
        <ns0:v/>
      </ns0:c>
      <ns0:c r="R288" s="1">
        <ns0:f>+Q288/E288</ns0:f>
        <ns0:v/>
      </ns0:c>
      <ns0:c r="S288" s="1" t="inlineStr">
        <ns0:is>
          <ns0:t xml:space="preserve"> Hearing voltage up 10%</ns0:t>
        </ns0:is>
      </ns0:c>
    </ns0:row>
    <ns0:row r="289" ht="26.25" customHeight="1">
      <ns0:c r="G289" s="1">
        <ns0:f>+G288/M288</ns0:f>
        <ns0:v/>
      </ns0:c>
      <ns0:c r="H289" s="1">
        <ns0:f>+H288/M288</ns0:f>
        <ns0:v/>
      </ns0:c>
      <ns0:c r="I289" s="1">
        <ns0:f>+I288/M288</ns0:f>
        <ns0:v/>
      </ns0:c>
      <ns0:c r="J289" s="1">
        <ns0:f>+J288/M288</ns0:f>
        <ns0:v/>
      </ns0:c>
      <ns0:c r="K289" s="1">
        <ns0:f>+K288/M288</ns0:f>
        <ns0:v/>
      </ns0:c>
      <ns0:c r="L289" s="1">
        <ns0:f>+L288/M288</ns0:f>
        <ns0:v/>
      </ns0:c>
      <ns0:c r="O289" s="1">
        <ns0:f>+O288/Q288</ns0:f>
        <ns0:v/>
      </ns0:c>
      <ns0:c r="P289" s="1">
        <ns0:f>+P288/Q288</ns0:f>
        <ns0:v/>
      </ns0:c>
    </ns0:row>
    <ns0:row r="290" ht="26.25" customHeight="1">
      <ns0:c r="B290" s="2" t="n">
        <ns0:v>45482</ns0:v>
      </ns0:c>
      <ns0:c r="C290" s="1" t="inlineStr">
        <ns0:is>
          <ns0:t>Frame + Coil + Suspension ( Night shift 4B )</ns0:t>
        </ns0:is>
      </ns0:c>
      <ns0:c r="D290" s="1" t="inlineStr">
        <ns0:is>
          <ns0:t>VP+CD+Yoke ( Day shift 4A )</ns0:t>
        </ns0:is>
      </ns0:c>
      <ns0:c r="E290" s="1" t="n">
        <ns0:v>497</ns0:v>
      </ns0:c>
      <ns0:c r="F290" s="1">
        <ns0:f>+E290-M290</ns0:f>
        <ns0:v/>
      </ns0:c>
      <ns0:c r="G290" s="1" t="n">
        <ns0:v>0</ns0:v>
      </ns0:c>
      <ns0:c r="H290" s="1" t="n">
        <ns0:v>1</ns0:v>
      </ns0:c>
      <ns0:c r="I290" s="1" t="n">
        <ns0:v>1</ns0:v>
      </ns0:c>
      <ns0:c r="J290" s="1" t="n">
        <ns0:v>0</ns0:v>
      </ns0:c>
      <ns0:c r="K290" s="1" t="n">
        <ns0:v>8</ns0:v>
      </ns0:c>
      <ns0:c r="L290" s="1" t="n">
        <ns0:v>32</ns0:v>
      </ns0:c>
      <ns0:c r="M290" s="1">
        <ns0:f>SUM(G290:L290)</ns0:f>
        <ns0:v/>
      </ns0:c>
      <ns0:c r="N290" s="1">
        <ns0:f>M290/E290</ns0:f>
        <ns0:v/>
      </ns0:c>
      <ns0:c r="O290" s="1" t="n">
        <ns0:v>6</ns0:v>
      </ns0:c>
      <ns0:c r="P290" s="1" t="n">
        <ns0:v>20</ns0:v>
      </ns0:c>
      <ns0:c r="Q290" s="1">
        <ns0:f>+P290+O290+J290+I290+H290+G290</ns0:f>
        <ns0:v/>
      </ns0:c>
      <ns0:c r="R290" s="1">
        <ns0:f>+Q290/E290</ns0:f>
        <ns0:v/>
      </ns0:c>
      <ns0:c r="S290" s="1" t="inlineStr">
        <ns0:is>
          <ns0:t xml:space="preserve"> Hearing voltage up 10%</ns0:t>
        </ns0:is>
      </ns0:c>
    </ns0:row>
    <ns0:row r="291" ht="26.25" customHeight="1">
      <ns0:c r="G291" s="1">
        <ns0:f>+G290/M290</ns0:f>
        <ns0:v/>
      </ns0:c>
      <ns0:c r="H291" s="1">
        <ns0:f>+H290/M290</ns0:f>
        <ns0:v/>
      </ns0:c>
      <ns0:c r="I291" s="1">
        <ns0:f>+I290/M290</ns0:f>
        <ns0:v/>
      </ns0:c>
      <ns0:c r="J291" s="1">
        <ns0:f>+J290/M290</ns0:f>
        <ns0:v/>
      </ns0:c>
      <ns0:c r="K291" s="1">
        <ns0:f>+K290/M290</ns0:f>
        <ns0:v/>
      </ns0:c>
      <ns0:c r="L291" s="1">
        <ns0:f>+L290/M290</ns0:f>
        <ns0:v/>
      </ns0:c>
      <ns0:c r="O291" s="1">
        <ns0:f>+O290/Q290</ns0:f>
        <ns0:v/>
      </ns0:c>
      <ns0:c r="P291" s="1">
        <ns0:f>+P290/Q290</ns0:f>
        <ns0:v/>
      </ns0:c>
    </ns0:row>
    <ns0:row r="292" ht="26.25" customHeight="1">
      <ns0:c r="C292" s="1" t="inlineStr">
        <ns0:is>
          <ns0:t>Normal</ns0:t>
        </ns0:is>
      </ns0:c>
      <ns0:c r="E292" s="1" t="n">
        <ns0:v>797</ns0:v>
      </ns0:c>
      <ns0:c r="F292" s="1">
        <ns0:f>+E292-M292</ns0:f>
        <ns0:v/>
      </ns0:c>
      <ns0:c r="G292" s="1" t="n">
        <ns0:v>0</ns0:v>
      </ns0:c>
      <ns0:c r="H292" s="1" t="n">
        <ns0:v>6</ns0:v>
      </ns0:c>
      <ns0:c r="I292" s="1" t="n">
        <ns0:v>0</ns0:v>
      </ns0:c>
      <ns0:c r="J292" s="1" t="n">
        <ns0:v>0</ns0:v>
      </ns0:c>
      <ns0:c r="K292" s="1" t="n">
        <ns0:v>30</ns0:v>
      </ns0:c>
      <ns0:c r="L292" s="1" t="n">
        <ns0:v>111</ns0:v>
      </ns0:c>
      <ns0:c r="M292" s="1">
        <ns0:f>SUM(G292:L292)</ns0:f>
        <ns0:v/>
      </ns0:c>
      <ns0:c r="N292" s="1">
        <ns0:f>M292/E292</ns0:f>
        <ns0:v/>
      </ns0:c>
      <ns0:c r="O292" s="1" t="n">
        <ns0:v>12</ns0:v>
      </ns0:c>
      <ns0:c r="P292" s="1" t="n">
        <ns0:v>41</ns0:v>
      </ns0:c>
      <ns0:c r="Q292" s="1">
        <ns0:f>+P292+O292+J292+I292+H292+G292</ns0:f>
        <ns0:v/>
      </ns0:c>
      <ns0:c r="R292" s="1">
        <ns0:f>+Q292/E292</ns0:f>
        <ns0:v/>
      </ns0:c>
      <ns0:c r="S292" s="1" t="inlineStr">
        <ns0:is>
          <ns0:t xml:space="preserve"> Hearing voltage up 10%</ns0:t>
        </ns0:is>
      </ns0:c>
    </ns0:row>
    <ns0:row r="293" ht="26.25" customHeight="1">
      <ns0:c r="G293" s="1">
        <ns0:f>+G292/M292</ns0:f>
        <ns0:v/>
      </ns0:c>
      <ns0:c r="H293" s="1">
        <ns0:f>+H292/M292</ns0:f>
        <ns0:v/>
      </ns0:c>
      <ns0:c r="I293" s="1">
        <ns0:f>+I292/M292</ns0:f>
        <ns0:v/>
      </ns0:c>
      <ns0:c r="J293" s="1">
        <ns0:f>+J292/M292</ns0:f>
        <ns0:v/>
      </ns0:c>
      <ns0:c r="K293" s="1">
        <ns0:f>+K292/M292</ns0:f>
        <ns0:v/>
      </ns0:c>
      <ns0:c r="L293" s="1">
        <ns0:f>+L292/M292</ns0:f>
        <ns0:v/>
      </ns0:c>
      <ns0:c r="O293" s="1">
        <ns0:f>+O292/Q292</ns0:f>
        <ns0:v/>
      </ns0:c>
      <ns0:c r="P293" s="1">
        <ns0:f>+P292/Q292</ns0:f>
        <ns0:v/>
      </ns0:c>
    </ns0:row>
    <ns0:row r="294" ht="26.25" customHeight="1">
      <ns0:c r="C294" s="1" t="inlineStr">
        <ns0:is>
          <ns0:t>VP</ns0:t>
        </ns0:is>
      </ns0:c>
      <ns0:c r="D294" s="1" t="inlineStr">
        <ns0:is>
          <ns0:t>IR 240523059-00001 date 14/6</ns0:t>
        </ns0:is>
      </ns0:c>
      <ns0:c r="E294" s="1" t="n">
        <ns0:v>474</ns0:v>
      </ns0:c>
      <ns0:c r="F294" s="1">
        <ns0:f>+E294-M294</ns0:f>
        <ns0:v/>
      </ns0:c>
      <ns0:c r="G294" s="1" t="n">
        <ns0:v>0</ns0:v>
      </ns0:c>
      <ns0:c r="H294" s="1" t="n">
        <ns0:v>1</ns0:v>
      </ns0:c>
      <ns0:c r="I294" s="1" t="n">
        <ns0:v>0</ns0:v>
      </ns0:c>
      <ns0:c r="J294" s="1" t="n">
        <ns0:v>0</ns0:v>
      </ns0:c>
      <ns0:c r="K294" s="1" t="n">
        <ns0:v>10</ns0:v>
      </ns0:c>
      <ns0:c r="L294" s="1" t="n">
        <ns0:v>19</ns0:v>
      </ns0:c>
      <ns0:c r="M294" s="1">
        <ns0:f>SUM(G294:L294)</ns0:f>
        <ns0:v/>
      </ns0:c>
      <ns0:c r="N294" s="1">
        <ns0:f>M294/E294</ns0:f>
        <ns0:v/>
      </ns0:c>
      <ns0:c r="O294" s="1" t="n">
        <ns0:v>2</ns0:v>
      </ns0:c>
      <ns0:c r="P294" s="1" t="n">
        <ns0:v>8</ns0:v>
      </ns0:c>
      <ns0:c r="Q294" s="1">
        <ns0:f>+P294+O294+J294+I294+H294+G294</ns0:f>
        <ns0:v/>
      </ns0:c>
      <ns0:c r="R294" s="1">
        <ns0:f>+Q294/E294</ns0:f>
        <ns0:v/>
      </ns0:c>
      <ns0:c r="S294" s="1" t="inlineStr">
        <ns0:is>
          <ns0:t xml:space="preserve"> Hearing voltage up 10%</ns0:t>
        </ns0:is>
      </ns0:c>
    </ns0:row>
    <ns0:row r="295" ht="26.25" customHeight="1">
      <ns0:c r="G295" s="1">
        <ns0:f>+G294/M294</ns0:f>
        <ns0:v/>
      </ns0:c>
      <ns0:c r="H295" s="1">
        <ns0:f>+H294/M294</ns0:f>
        <ns0:v/>
      </ns0:c>
      <ns0:c r="I295" s="1">
        <ns0:f>+I294/M294</ns0:f>
        <ns0:v/>
      </ns0:c>
      <ns0:c r="J295" s="1">
        <ns0:f>+J294/M294</ns0:f>
        <ns0:v/>
      </ns0:c>
      <ns0:c r="K295" s="1">
        <ns0:f>+K294/M294</ns0:f>
        <ns0:v/>
      </ns0:c>
      <ns0:c r="L295" s="1">
        <ns0:f>+L294/M294</ns0:f>
        <ns0:v/>
      </ns0:c>
      <ns0:c r="O295" s="1">
        <ns0:f>+O294/Q294</ns0:f>
        <ns0:v/>
      </ns0:c>
      <ns0:c r="P295" s="1">
        <ns0:f>+P294/Q294</ns0:f>
        <ns0:v/>
      </ns0:c>
    </ns0:row>
    <ns0:row r="296" ht="26.25" customHeight="1">
      <ns0:c r="C296" s="1" t="inlineStr">
        <ns0:is>
          <ns0:t>VP IR 240620085-00003 + Frame sus date 3/7 (G2 ) + Yoke 8/7 Line E2-4A ( Day )</ns0:t>
        </ns0:is>
      </ns0:c>
      <ns0:c r="E296" s="1" t="n">
        <ns0:v>474</ns0:v>
      </ns0:c>
      <ns0:c r="F296" s="1">
        <ns0:f>+E296-M296</ns0:f>
        <ns0:v/>
      </ns0:c>
      <ns0:c r="G296" s="1" t="n">
        <ns0:v>0</ns0:v>
      </ns0:c>
      <ns0:c r="H296" s="1" t="n">
        <ns0:v>1</ns0:v>
      </ns0:c>
      <ns0:c r="I296" s="1" t="n">
        <ns0:v>1</ns0:v>
      </ns0:c>
      <ns0:c r="J296" s="1" t="n">
        <ns0:v>0</ns0:v>
      </ns0:c>
      <ns0:c r="K296" s="1" t="n">
        <ns0:v>16</ns0:v>
      </ns0:c>
      <ns0:c r="L296" s="1" t="n">
        <ns0:v>41</ns0:v>
      </ns0:c>
      <ns0:c r="M296" s="1">
        <ns0:f>SUM(G296:L296)</ns0:f>
        <ns0:v/>
      </ns0:c>
      <ns0:c r="N296" s="1">
        <ns0:f>M296/E296</ns0:f>
        <ns0:v/>
      </ns0:c>
      <ns0:c r="O296" s="1" t="n">
        <ns0:v>9</ns0:v>
      </ns0:c>
      <ns0:c r="P296" s="1" t="n">
        <ns0:v>25</ns0:v>
      </ns0:c>
      <ns0:c r="Q296" s="1">
        <ns0:f>+P296+O296+J296+I296+H296+G296</ns0:f>
        <ns0:v/>
      </ns0:c>
      <ns0:c r="R296" s="1">
        <ns0:f>+Q296/E296</ns0:f>
        <ns0:v/>
      </ns0:c>
      <ns0:c r="S296" s="1" t="inlineStr">
        <ns0:is>
          <ns0:t xml:space="preserve"> Hearing voltage up 10%</ns0:t>
        </ns0:is>
      </ns0:c>
    </ns0:row>
    <ns0:row r="297" ht="26.25" customHeight="1">
      <ns0:c r="G297" s="1">
        <ns0:f>+G296/M296</ns0:f>
        <ns0:v/>
      </ns0:c>
      <ns0:c r="H297" s="1">
        <ns0:f>+H296/M296</ns0:f>
        <ns0:v/>
      </ns0:c>
      <ns0:c r="I297" s="1">
        <ns0:f>+I296/M296</ns0:f>
        <ns0:v/>
      </ns0:c>
      <ns0:c r="J297" s="1">
        <ns0:f>+J296/M296</ns0:f>
        <ns0:v/>
      </ns0:c>
      <ns0:c r="K297" s="1">
        <ns0:f>+K296/M296</ns0:f>
        <ns0:v/>
      </ns0:c>
      <ns0:c r="L297" s="1">
        <ns0:f>+L296/M296</ns0:f>
        <ns0:v/>
      </ns0:c>
      <ns0:c r="O297" s="1">
        <ns0:f>+O296/Q296</ns0:f>
        <ns0:v/>
      </ns0:c>
      <ns0:c r="P297" s="1">
        <ns0:f>+P296/Q296</ns0:f>
        <ns0:v/>
      </ns0:c>
    </ns0:row>
    <ns0:row r="298" ht="26.25" customHeight="1">
      <ns0:c r="C298" s="1" t="inlineStr">
        <ns0:is>
          <ns0:t>AAP JIG</ns0:t>
        </ns0:is>
      </ns0:c>
      <ns0:c r="D298" s="1" t="inlineStr">
        <ns0:is>
          <ns0:t>New Peak</ns0:t>
        </ns0:is>
      </ns0:c>
      <ns0:c r="E298" s="1" t="n">
        <ns0:v>100</ns0:v>
      </ns0:c>
      <ns0:c r="F298" s="1">
        <ns0:f>+E298-M298</ns0:f>
        <ns0:v/>
      </ns0:c>
      <ns0:c r="G298" s="1" t="n">
        <ns0:v>0</ns0:v>
      </ns0:c>
      <ns0:c r="H298" s="1" t="n">
        <ns0:v>0</ns0:v>
      </ns0:c>
      <ns0:c r="I298" s="1" t="n">
        <ns0:v>0</ns0:v>
      </ns0:c>
      <ns0:c r="J298" s="1" t="n">
        <ns0:v>0</ns0:v>
      </ns0:c>
      <ns0:c r="K298" s="1" t="n">
        <ns0:v>2</ns0:v>
      </ns0:c>
      <ns0:c r="L298" s="1" t="n">
        <ns0:v>3</ns0:v>
      </ns0:c>
      <ns0:c r="M298" s="1">
        <ns0:f>SUM(G298:L298)</ns0:f>
        <ns0:v/>
      </ns0:c>
      <ns0:c r="N298" s="1">
        <ns0:f>M298/E298</ns0:f>
        <ns0:v/>
      </ns0:c>
      <ns0:c r="O298" s="1" t="n">
        <ns0:v>0</ns0:v>
      </ns0:c>
      <ns0:c r="P298" s="1" t="n">
        <ns0:v>1</ns0:v>
      </ns0:c>
      <ns0:c r="Q298" s="1">
        <ns0:f>+P298+O298+J298+I298+H298+G298</ns0:f>
        <ns0:v/>
      </ns0:c>
      <ns0:c r="R298" s="1">
        <ns0:f>+Q298/E298</ns0:f>
        <ns0:v/>
      </ns0:c>
      <ns0:c r="S298" s="1" t="inlineStr">
        <ns0:is>
          <ns0:t xml:space="preserve"> Hearing voltage up 10%</ns0:t>
        </ns0:is>
      </ns0:c>
    </ns0:row>
    <ns0:row r="299" ht="26.25" customHeight="1">
      <ns0:c r="G299" s="1">
        <ns0:f>+G298/M298</ns0:f>
        <ns0:v/>
      </ns0:c>
      <ns0:c r="H299" s="1">
        <ns0:f>+H298/M298</ns0:f>
        <ns0:v/>
      </ns0:c>
      <ns0:c r="I299" s="1">
        <ns0:f>+I298/M298</ns0:f>
        <ns0:v/>
      </ns0:c>
      <ns0:c r="J299" s="1">
        <ns0:f>+J298/M298</ns0:f>
        <ns0:v/>
      </ns0:c>
      <ns0:c r="K299" s="1">
        <ns0:f>+K298/M298</ns0:f>
        <ns0:v/>
      </ns0:c>
      <ns0:c r="L299" s="1">
        <ns0:f>+L298/M298</ns0:f>
        <ns0:v/>
      </ns0:c>
      <ns0:c r="O299" s="1">
        <ns0:f>+O298/Q298</ns0:f>
        <ns0:v/>
      </ns0:c>
      <ns0:c r="P299" s="1">
        <ns0:f>+P298/Q298</ns0:f>
        <ns0:v/>
      </ns0:c>
    </ns0:row>
    <ns0:row r="300" ht="26.25" customHeight="1">
      <ns0:c r="D300" s="1" t="inlineStr">
        <ns0:is>
          <ns0:t>Old Peak</ns0:t>
        </ns0:is>
      </ns0:c>
      <ns0:c r="E300" s="1" t="n">
        <ns0:v>100</ns0:v>
      </ns0:c>
      <ns0:c r="F300" s="1">
        <ns0:f>+E300-M300</ns0:f>
        <ns0:v/>
      </ns0:c>
      <ns0:c r="G300" s="1" t="n">
        <ns0:v>0</ns0:v>
      </ns0:c>
      <ns0:c r="H300" s="1" t="n">
        <ns0:v>0</ns0:v>
      </ns0:c>
      <ns0:c r="I300" s="1" t="n">
        <ns0:v>0</ns0:v>
      </ns0:c>
      <ns0:c r="J300" s="1" t="n">
        <ns0:v>0</ns0:v>
      </ns0:c>
      <ns0:c r="K300" s="1" t="n">
        <ns0:v>2</ns0:v>
      </ns0:c>
      <ns0:c r="L300" s="1" t="n">
        <ns0:v>8</ns0:v>
      </ns0:c>
      <ns0:c r="M300" s="1">
        <ns0:f>SUM(G300:L300)</ns0:f>
        <ns0:v/>
      </ns0:c>
      <ns0:c r="N300" s="1">
        <ns0:f>M300/E300</ns0:f>
        <ns0:v/>
      </ns0:c>
      <ns0:c r="O300" s="1" t="n">
        <ns0:v>5</ns0:v>
      </ns0:c>
      <ns0:c r="P300" s="1" t="n">
        <ns0:v>3</ns0:v>
      </ns0:c>
      <ns0:c r="Q300" s="1">
        <ns0:f>+P300+O300+J300+I300+H300+G300</ns0:f>
        <ns0:v/>
      </ns0:c>
      <ns0:c r="R300" s="1">
        <ns0:f>+Q300/E300</ns0:f>
        <ns0:v/>
      </ns0:c>
      <ns0:c r="S300" s="1" t="inlineStr">
        <ns0:is>
          <ns0:t xml:space="preserve"> Hearing voltage up 10%</ns0:t>
        </ns0:is>
      </ns0:c>
    </ns0:row>
    <ns0:row r="301" ht="26.25" customHeight="1">
      <ns0:c r="G301" s="1">
        <ns0:f>+G300/M300</ns0:f>
        <ns0:v/>
      </ns0:c>
      <ns0:c r="H301" s="1">
        <ns0:f>+H300/M300</ns0:f>
        <ns0:v/>
      </ns0:c>
      <ns0:c r="I301" s="1">
        <ns0:f>+I300/M300</ns0:f>
        <ns0:v/>
      </ns0:c>
      <ns0:c r="J301" s="1">
        <ns0:f>+J300/M300</ns0:f>
        <ns0:v/>
      </ns0:c>
      <ns0:c r="K301" s="1">
        <ns0:f>+K300/M300</ns0:f>
        <ns0:v/>
      </ns0:c>
      <ns0:c r="L301" s="1">
        <ns0:f>+L300/M300</ns0:f>
        <ns0:v/>
      </ns0:c>
      <ns0:c r="O301" s="1">
        <ns0:f>+O300/Q300</ns0:f>
        <ns0:v/>
      </ns0:c>
      <ns0:c r="P301" s="1">
        <ns0:f>+P300/Q300</ns0:f>
        <ns0:v/>
      </ns0:c>
    </ns0:row>
    <ns0:row r="302" ht="26.25" customHeight="1">
      <ns0:c r="C302" s="1" t="inlineStr">
        <ns0:is>
          <ns0:t>Frame + Yoke</ns0:t>
        </ns0:is>
      </ns0:c>
      <ns0:c r="D302" s="1" t="inlineStr">
        <ns0:is>
          <ns0:t>Ass'y Frame + Yoke Not bonding</ns0:t>
        </ns0:is>
      </ns0:c>
      <ns0:c r="E302" s="1" t="n">
        <ns0:v>100</ns0:v>
      </ns0:c>
      <ns0:c r="F302" s="1">
        <ns0:f>+E302-M302</ns0:f>
        <ns0:v/>
      </ns0:c>
      <ns0:c r="G302" s="1" t="n">
        <ns0:v>0</ns0:v>
      </ns0:c>
      <ns0:c r="H302" s="1" t="n">
        <ns0:v>1</ns0:v>
      </ns0:c>
      <ns0:c r="I302" s="1" t="n">
        <ns0:v>0</ns0:v>
      </ns0:c>
      <ns0:c r="J302" s="1" t="n">
        <ns0:v>0</ns0:v>
      </ns0:c>
      <ns0:c r="K302" s="1" t="n">
        <ns0:v>6</ns0:v>
      </ns0:c>
      <ns0:c r="L302" s="1" t="n">
        <ns0:v>0</ns0:v>
      </ns0:c>
      <ns0:c r="M302" s="1">
        <ns0:f>SUM(G302:L302)</ns0:f>
        <ns0:v/>
      </ns0:c>
      <ns0:c r="N302" s="1">
        <ns0:f>M302/E302</ns0:f>
        <ns0:v/>
      </ns0:c>
      <ns0:c r="O302" s="1" t="n">
        <ns0:v>0</ns0:v>
      </ns0:c>
      <ns0:c r="P302" s="1" t="n">
        <ns0:v>6</ns0:v>
      </ns0:c>
      <ns0:c r="Q302" s="1">
        <ns0:f>+P302+O302+J302+I302+H302+G302</ns0:f>
        <ns0:v/>
      </ns0:c>
      <ns0:c r="R302" s="1">
        <ns0:f>+Q302/E302</ns0:f>
        <ns0:v/>
      </ns0:c>
      <ns0:c r="S302" s="1" t="inlineStr">
        <ns0:is>
          <ns0:t xml:space="preserve"> Hearing voltage up 10%</ns0:t>
        </ns0:is>
      </ns0:c>
    </ns0:row>
    <ns0:row r="303" ht="26.25" customHeight="1">
      <ns0:c r="G303" s="1">
        <ns0:f>+G302/M302</ns0:f>
        <ns0:v/>
      </ns0:c>
      <ns0:c r="H303" s="1">
        <ns0:f>+H302/M302</ns0:f>
        <ns0:v/>
      </ns0:c>
      <ns0:c r="I303" s="1">
        <ns0:f>+I302/M302</ns0:f>
        <ns0:v/>
      </ns0:c>
      <ns0:c r="J303" s="1">
        <ns0:f>+J302/M302</ns0:f>
        <ns0:v/>
      </ns0:c>
      <ns0:c r="K303" s="1">
        <ns0:f>+K302/M302</ns0:f>
        <ns0:v/>
      </ns0:c>
      <ns0:c r="L303" s="1">
        <ns0:f>+L302/M302</ns0:f>
        <ns0:v/>
      </ns0:c>
      <ns0:c r="O303" s="1">
        <ns0:f>+O302/Q302</ns0:f>
        <ns0:v/>
      </ns0:c>
      <ns0:c r="P303" s="1">
        <ns0:f>+P302/Q302</ns0:f>
        <ns0:v/>
      </ns0:c>
    </ns0:row>
    <ns0:row r="304" ht="26.25" customHeight="1">
      <ns0:c r="B304" s="2" t="n">
        <ns0:v>45482</ns0:v>
      </ns0:c>
      <ns0:c r="C304" s="1" t="inlineStr">
        <ns0:is>
          <ns0:t>Frame + suspension Mold G2 ( Day line E2-4A )</ns0:t>
        </ns0:is>
      </ns0:c>
      <ns0:c r="D304" s="1" t="inlineStr">
        <ns0:is>
          <ns0:t>Night shift E2-4B make sample</ns0:t>
        </ns0:is>
      </ns0:c>
      <ns0:c r="E304" s="1" t="n">
        <ns0:v>480</ns0:v>
      </ns0:c>
      <ns0:c r="F304" s="1">
        <ns0:f>+E304-M304</ns0:f>
        <ns0:v/>
      </ns0:c>
      <ns0:c r="G304" s="1" t="n">
        <ns0:v>0</ns0:v>
      </ns0:c>
      <ns0:c r="H304" s="1" t="n">
        <ns0:v>0</ns0:v>
      </ns0:c>
      <ns0:c r="I304" s="1" t="n">
        <ns0:v>1</ns0:v>
      </ns0:c>
      <ns0:c r="J304" s="1" t="n">
        <ns0:v>0</ns0:v>
      </ns0:c>
      <ns0:c r="K304" s="1" t="n">
        <ns0:v>20</ns0:v>
      </ns0:c>
      <ns0:c r="L304" s="1" t="n">
        <ns0:v>17</ns0:v>
      </ns0:c>
      <ns0:c r="M304" s="1">
        <ns0:f>SUM(G304:L304)</ns0:f>
        <ns0:v/>
      </ns0:c>
      <ns0:c r="N304" s="1">
        <ns0:f>M304/E304</ns0:f>
        <ns0:v/>
      </ns0:c>
      <ns0:c r="O304" s="1" t="n">
        <ns0:v>7</ns0:v>
      </ns0:c>
      <ns0:c r="P304" s="1" t="n">
        <ns0:v>4</ns0:v>
      </ns0:c>
      <ns0:c r="Q304" s="1">
        <ns0:f>+P304+O304+J304+I304+H304+G304</ns0:f>
        <ns0:v/>
      </ns0:c>
      <ns0:c r="R304" s="1">
        <ns0:f>+Q304/E304</ns0:f>
        <ns0:v/>
      </ns0:c>
      <ns0:c r="S304" s="1" t="inlineStr">
        <ns0:is>
          <ns0:t xml:space="preserve"> Hearing voltage up 10%</ns0:t>
        </ns0:is>
      </ns0:c>
    </ns0:row>
    <ns0:row r="305" ht="26.25" customHeight="1">
      <ns0:c r="G305" s="1">
        <ns0:f>+G304/M304</ns0:f>
        <ns0:v/>
      </ns0:c>
      <ns0:c r="H305" s="1">
        <ns0:f>+H304/M304</ns0:f>
        <ns0:v/>
      </ns0:c>
      <ns0:c r="I305" s="1">
        <ns0:f>+I304/M304</ns0:f>
        <ns0:v/>
      </ns0:c>
      <ns0:c r="J305" s="1">
        <ns0:f>+J304/M304</ns0:f>
        <ns0:v/>
      </ns0:c>
      <ns0:c r="K305" s="1">
        <ns0:f>+K304/M304</ns0:f>
        <ns0:v/>
      </ns0:c>
      <ns0:c r="L305" s="1">
        <ns0:f>+L304/M304</ns0:f>
        <ns0:v/>
      </ns0:c>
      <ns0:c r="O305" s="1">
        <ns0:f>+O304/Q304</ns0:f>
        <ns0:v/>
      </ns0:c>
      <ns0:c r="P305" s="1">
        <ns0:f>+P304/Q304</ns0:f>
        <ns0:v/>
      </ns0:c>
    </ns0:row>
    <ns0:row r="306" ht="26.25" customHeight="1">
      <ns0:c r="C306" s="1" t="inlineStr">
        <ns0:is>
          <ns0:t>Semi Yoke ( Day line E2-4A )</ns0:t>
        </ns0:is>
      </ns0:c>
      <ns0:c r="D306" s="1" t="inlineStr">
        <ns0:is>
          <ns0:t>Night shift E2-4B make sample</ns0:t>
        </ns0:is>
      </ns0:c>
      <ns0:c r="E306" s="1" t="n">
        <ns0:v>497</ns0:v>
      </ns0:c>
      <ns0:c r="F306" s="1">
        <ns0:f>+E306-M306</ns0:f>
        <ns0:v/>
      </ns0:c>
      <ns0:c r="G306" s="1" t="n">
        <ns0:v>0</ns0:v>
      </ns0:c>
      <ns0:c r="H306" s="1" t="n">
        <ns0:v>0</ns0:v>
      </ns0:c>
      <ns0:c r="I306" s="1" t="n">
        <ns0:v>2</ns0:v>
      </ns0:c>
      <ns0:c r="J306" s="1" t="n">
        <ns0:v>0</ns0:v>
      </ns0:c>
      <ns0:c r="K306" s="1" t="n">
        <ns0:v>4</ns0:v>
      </ns0:c>
      <ns0:c r="L306" s="1" t="n">
        <ns0:v>22</ns0:v>
      </ns0:c>
      <ns0:c r="M306" s="1">
        <ns0:f>SUM(G306:L306)</ns0:f>
        <ns0:v/>
      </ns0:c>
      <ns0:c r="N306" s="1">
        <ns0:f>M306/E306</ns0:f>
        <ns0:v/>
      </ns0:c>
      <ns0:c r="O306" s="1" t="n">
        <ns0:v>4</ns0:v>
      </ns0:c>
      <ns0:c r="P306" s="1" t="n">
        <ns0:v>7</ns0:v>
      </ns0:c>
      <ns0:c r="Q306" s="1">
        <ns0:f>+P306+O306+J306+I306+H306+G306</ns0:f>
        <ns0:v/>
      </ns0:c>
      <ns0:c r="R306" s="1">
        <ns0:f>+Q306/E306</ns0:f>
        <ns0:v/>
      </ns0:c>
      <ns0:c r="S306" s="1" t="inlineStr">
        <ns0:is>
          <ns0:t xml:space="preserve"> Hearing voltage up 10%</ns0:t>
        </ns0:is>
      </ns0:c>
    </ns0:row>
    <ns0:row r="307" ht="26.25" customHeight="1">
      <ns0:c r="G307" s="1">
        <ns0:f>+G306/M306</ns0:f>
        <ns0:v/>
      </ns0:c>
      <ns0:c r="H307" s="1">
        <ns0:f>+H306/M306</ns0:f>
        <ns0:v/>
      </ns0:c>
      <ns0:c r="I307" s="1">
        <ns0:f>+I306/M306</ns0:f>
        <ns0:v/>
      </ns0:c>
      <ns0:c r="J307" s="1">
        <ns0:f>+J306/M306</ns0:f>
        <ns0:v/>
      </ns0:c>
      <ns0:c r="K307" s="1">
        <ns0:f>+K306/M306</ns0:f>
        <ns0:v/>
      </ns0:c>
      <ns0:c r="L307" s="1">
        <ns0:f>+L306/M306</ns0:f>
        <ns0:v/>
      </ns0:c>
      <ns0:c r="O307" s="1">
        <ns0:f>+O306/Q306</ns0:f>
        <ns0:v/>
      </ns0:c>
      <ns0:c r="P307" s="1">
        <ns0:f>+P306/Q306</ns0:f>
        <ns0:v/>
      </ns0:c>
    </ns0:row>
    <ns0:row r="308" ht="26.25" customHeight="1">
      <ns0:c r="C308" s="1" t="inlineStr">
        <ns0:is>
          <ns0:t>VP+CD IR 240620085-00003 ( Day line E2-4A )</ns0:t>
        </ns0:is>
      </ns0:c>
      <ns0:c r="D308" s="1" t="inlineStr">
        <ns0:is>
          <ns0:t>Night shift E2-4B make sample</ns0:t>
        </ns0:is>
      </ns0:c>
      <ns0:c r="E308" s="1" t="n">
        <ns0:v>493</ns0:v>
      </ns0:c>
      <ns0:c r="F308" s="1">
        <ns0:f>+E308-M308</ns0:f>
        <ns0:v/>
      </ns0:c>
      <ns0:c r="G308" s="1" t="n">
        <ns0:v>0</ns0:v>
      </ns0:c>
      <ns0:c r="H308" s="1" t="n">
        <ns0:v>3</ns0:v>
      </ns0:c>
      <ns0:c r="I308" s="1" t="n">
        <ns0:v>2</ns0:v>
      </ns0:c>
      <ns0:c r="J308" s="1" t="n">
        <ns0:v>0</ns0:v>
      </ns0:c>
      <ns0:c r="K308" s="1" t="n">
        <ns0:v>18</ns0:v>
      </ns0:c>
      <ns0:c r="L308" s="1" t="n">
        <ns0:v>42</ns0:v>
      </ns0:c>
      <ns0:c r="M308" s="1">
        <ns0:f>SUM(G308:L308)</ns0:f>
        <ns0:v/>
      </ns0:c>
      <ns0:c r="N308" s="1">
        <ns0:f>M308/E308</ns0:f>
        <ns0:v/>
      </ns0:c>
      <ns0:c r="O308" s="1" t="n">
        <ns0:v>16</ns0:v>
      </ns0:c>
      <ns0:c r="P308" s="1" t="n">
        <ns0:v>17</ns0:v>
      </ns0:c>
      <ns0:c r="Q308" s="1">
        <ns0:f>+P308+O308+J308+I308+H308+G308</ns0:f>
        <ns0:v/>
      </ns0:c>
      <ns0:c r="R308" s="1">
        <ns0:f>+Q308/E308</ns0:f>
        <ns0:v/>
      </ns0:c>
      <ns0:c r="S308" s="1" t="inlineStr">
        <ns0:is>
          <ns0:t xml:space="preserve"> Hearing voltage up 10%</ns0:t>
        </ns0:is>
      </ns0:c>
    </ns0:row>
    <ns0:row r="309" ht="26.25" customHeight="1">
      <ns0:c r="G309" s="1">
        <ns0:f>+G308/M308</ns0:f>
        <ns0:v/>
      </ns0:c>
      <ns0:c r="H309" s="1">
        <ns0:f>+H308/M308</ns0:f>
        <ns0:v/>
      </ns0:c>
      <ns0:c r="I309" s="1">
        <ns0:f>+I308/M308</ns0:f>
        <ns0:v/>
      </ns0:c>
      <ns0:c r="J309" s="1">
        <ns0:f>+J308/M308</ns0:f>
        <ns0:v/>
      </ns0:c>
      <ns0:c r="K309" s="1">
        <ns0:f>+K308/M308</ns0:f>
        <ns0:v/>
      </ns0:c>
      <ns0:c r="L309" s="1">
        <ns0:f>+L308/M308</ns0:f>
        <ns0:v/>
      </ns0:c>
      <ns0:c r="O309" s="1">
        <ns0:f>+O308/Q308</ns0:f>
        <ns0:v/>
      </ns0:c>
      <ns0:c r="P309" s="1">
        <ns0:f>+P308/Q308</ns0:f>
        <ns0:v/>
      </ns0:c>
    </ns0:row>
    <ns0:row r="310" ht="26.25" customHeight="1">
      <ns0:c r="B310" s="2" t="n">
        <ns0:v>45483</ns0:v>
      </ns0:c>
      <ns0:c r="C310" s="1" t="inlineStr">
        <ns0:is>
          <ns0:t>VP+CD SUB1</ns0:t>
        </ns0:is>
      </ns0:c>
      <ns0:c r="D310" s="1" t="inlineStr">
        <ns0:is>
          <ns0:t>Dry UV Led 3 ( 2 time )</ns0:t>
        </ns0:is>
      </ns0:c>
      <ns0:c r="E310" s="1" t="n">
        <ns0:v>132</ns0:v>
      </ns0:c>
      <ns0:c r="F310" s="1">
        <ns0:f>+E310-M310</ns0:f>
        <ns0:v/>
      </ns0:c>
      <ns0:c r="G310" s="1" t="n">
        <ns0:v>0</ns0:v>
      </ns0:c>
      <ns0:c r="H310" s="1" t="n">
        <ns0:v>0</ns0:v>
      </ns0:c>
      <ns0:c r="I310" s="1" t="n">
        <ns0:v>0</ns0:v>
      </ns0:c>
      <ns0:c r="J310" s="1" t="n">
        <ns0:v>0</ns0:v>
      </ns0:c>
      <ns0:c r="K310" s="1" t="n">
        <ns0:v>5</ns0:v>
      </ns0:c>
      <ns0:c r="L310" s="1" t="n">
        <ns0:v>18</ns0:v>
      </ns0:c>
      <ns0:c r="M310" s="1">
        <ns0:f>SUM(G310:L310)</ns0:f>
        <ns0:v/>
      </ns0:c>
      <ns0:c r="N310" s="1">
        <ns0:f>M310/E310</ns0:f>
        <ns0:v/>
      </ns0:c>
      <ns0:c r="O310" s="1" t="n">
        <ns0:v>3</ns0:v>
      </ns0:c>
      <ns0:c r="P310" s="1" t="n">
        <ns0:v>11</ns0:v>
      </ns0:c>
      <ns0:c r="Q310" s="1">
        <ns0:f>+P310+O310+J310+I310+H310+G310</ns0:f>
        <ns0:v/>
      </ns0:c>
      <ns0:c r="R310" s="1">
        <ns0:f>+Q310/E310</ns0:f>
        <ns0:v/>
      </ns0:c>
      <ns0:c r="S310" s="1" t="inlineStr">
        <ns0:is>
          <ns0:t xml:space="preserve"> Hearing voltage up 10%</ns0:t>
        </ns0:is>
      </ns0:c>
    </ns0:row>
    <ns0:row r="311" ht="26.25" customHeight="1">
      <ns0:c r="G311" s="1">
        <ns0:f>+G310/M310</ns0:f>
        <ns0:v/>
      </ns0:c>
      <ns0:c r="H311" s="1">
        <ns0:f>+H310/M310</ns0:f>
        <ns0:v/>
      </ns0:c>
      <ns0:c r="I311" s="1">
        <ns0:f>+I310/M310</ns0:f>
        <ns0:v/>
      </ns0:c>
      <ns0:c r="J311" s="1">
        <ns0:f>+J310/M310</ns0:f>
        <ns0:v/>
      </ns0:c>
      <ns0:c r="K311" s="1">
        <ns0:f>+K310/M310</ns0:f>
        <ns0:v/>
      </ns0:c>
      <ns0:c r="L311" s="1">
        <ns0:f>+L310/M310</ns0:f>
        <ns0:v/>
      </ns0:c>
      <ns0:c r="O311" s="1">
        <ns0:f>+O310/Q310</ns0:f>
        <ns0:v/>
      </ns0:c>
      <ns0:c r="P311" s="1">
        <ns0:f>+P310/Q310</ns0:f>
        <ns0:v/>
      </ns0:c>
    </ns0:row>
    <ns0:row r="312" ht="26.25" customHeight="1">
      <ns0:c r="C312" s="1" t="inlineStr">
        <ns0:is>
          <ns0:t>Frame + Coil + Suspension ( Night shift 4B )</ns0:t>
        </ns0:is>
      </ns0:c>
      <ns0:c r="D312" s="1" t="inlineStr">
        <ns0:is>
          <ns0:t xml:space="preserve">VP+CD IR240620085-00003 Day shift E2-4A </ns0:t>
        </ns0:is>
      </ns0:c>
      <ns0:c r="E312" s="1" t="n">
        <ns0:v>733</ns0:v>
      </ns0:c>
      <ns0:c r="F312" s="1">
        <ns0:f>+E312-M312</ns0:f>
        <ns0:v/>
      </ns0:c>
      <ns0:c r="G312" s="1" t="n">
        <ns0:v>0</ns0:v>
      </ns0:c>
      <ns0:c r="H312" s="1" t="n">
        <ns0:v>0</ns0:v>
      </ns0:c>
      <ns0:c r="I312" s="1" t="n">
        <ns0:v>0</ns0:v>
      </ns0:c>
      <ns0:c r="J312" s="1" t="n">
        <ns0:v>0</ns0:v>
      </ns0:c>
      <ns0:c r="K312" s="1" t="n">
        <ns0:v>16</ns0:v>
      </ns0:c>
      <ns0:c r="L312" s="1" t="n">
        <ns0:v>54</ns0:v>
      </ns0:c>
      <ns0:c r="M312" s="1">
        <ns0:f>SUM(G312:L312)</ns0:f>
        <ns0:v/>
      </ns0:c>
      <ns0:c r="N312" s="1">
        <ns0:f>M312/E312</ns0:f>
        <ns0:v/>
      </ns0:c>
      <ns0:c r="O312" s="1" t="n">
        <ns0:v>12</ns0:v>
      </ns0:c>
      <ns0:c r="P312" s="1" t="n">
        <ns0:v>26</ns0:v>
      </ns0:c>
      <ns0:c r="Q312" s="1">
        <ns0:f>+P312+O312+J312+I312+H312+G312</ns0:f>
        <ns0:v/>
      </ns0:c>
      <ns0:c r="R312" s="1">
        <ns0:f>+Q312/E312</ns0:f>
        <ns0:v/>
      </ns0:c>
      <ns0:c r="S312" s="1" t="inlineStr">
        <ns0:is>
          <ns0:t xml:space="preserve"> Hearing voltage up 10%</ns0:t>
        </ns0:is>
      </ns0:c>
    </ns0:row>
    <ns0:row r="313" ht="26.25" customHeight="1">
      <ns0:c r="G313" s="1">
        <ns0:f>+G312/M312</ns0:f>
        <ns0:v/>
      </ns0:c>
      <ns0:c r="H313" s="1">
        <ns0:f>+H312/M312</ns0:f>
        <ns0:v/>
      </ns0:c>
      <ns0:c r="I313" s="1">
        <ns0:f>+I312/M312</ns0:f>
        <ns0:v/>
      </ns0:c>
      <ns0:c r="J313" s="1">
        <ns0:f>+J312/M312</ns0:f>
        <ns0:v/>
      </ns0:c>
      <ns0:c r="K313" s="1">
        <ns0:f>+K312/M312</ns0:f>
        <ns0:v/>
      </ns0:c>
      <ns0:c r="L313" s="1">
        <ns0:f>+L312/M312</ns0:f>
        <ns0:v/>
      </ns0:c>
      <ns0:c r="O313" s="1">
        <ns0:f>+O312/Q312</ns0:f>
        <ns0:v/>
      </ns0:c>
      <ns0:c r="P313" s="1">
        <ns0:f>+P312/Q312</ns0:f>
        <ns0:v/>
      </ns0:c>
    </ns0:row>
    <ns0:row r="314" ht="26.25" customHeight="1">
      <ns0:c r="C314" s="1" t="inlineStr">
        <ns0:is>
          <ns0:t>AAP JIG</ns0:t>
        </ns0:is>
      </ns0:c>
      <ns0:c r="D314" s="1" t="inlineStr">
        <ns0:is>
          <ns0:t>New Peak</ns0:t>
        </ns0:is>
      </ns0:c>
      <ns0:c r="E314" s="1" t="n">
        <ns0:v>200</ns0:v>
      </ns0:c>
      <ns0:c r="F314" s="1">
        <ns0:f>+E314-M314</ns0:f>
        <ns0:v/>
      </ns0:c>
      <ns0:c r="G314" s="1" t="n">
        <ns0:v>0</ns0:v>
      </ns0:c>
      <ns0:c r="H314" s="1" t="n">
        <ns0:v>0</ns0:v>
      </ns0:c>
      <ns0:c r="I314" s="1" t="n">
        <ns0:v>0</ns0:v>
      </ns0:c>
      <ns0:c r="J314" s="1" t="n">
        <ns0:v>0</ns0:v>
      </ns0:c>
      <ns0:c r="K314" s="1" t="n">
        <ns0:v>3</ns0:v>
      </ns0:c>
      <ns0:c r="L314" s="1" t="n">
        <ns0:v>17</ns0:v>
      </ns0:c>
      <ns0:c r="M314" s="1">
        <ns0:f>SUM(G314:L314)</ns0:f>
        <ns0:v/>
      </ns0:c>
      <ns0:c r="N314" s="1">
        <ns0:f>M314/E314</ns0:f>
        <ns0:v/>
      </ns0:c>
      <ns0:c r="O314" s="1" t="n">
        <ns0:v>1</ns0:v>
      </ns0:c>
      <ns0:c r="P314" s="1" t="n">
        <ns0:v>11</ns0:v>
      </ns0:c>
      <ns0:c r="Q314" s="1">
        <ns0:f>+P314+O314+J314+I314+H314+G314</ns0:f>
        <ns0:v/>
      </ns0:c>
      <ns0:c r="R314" s="1">
        <ns0:f>+Q314/E314</ns0:f>
        <ns0:v/>
      </ns0:c>
      <ns0:c r="S314" s="1" t="inlineStr">
        <ns0:is>
          <ns0:t xml:space="preserve"> Hearing voltage up 10%</ns0:t>
        </ns0:is>
      </ns0:c>
    </ns0:row>
    <ns0:row r="315" ht="26.25" customHeight="1">
      <ns0:c r="G315" s="1">
        <ns0:f>+G314/M314</ns0:f>
        <ns0:v/>
      </ns0:c>
      <ns0:c r="H315" s="1">
        <ns0:f>+H314/M314</ns0:f>
        <ns0:v/>
      </ns0:c>
      <ns0:c r="I315" s="1">
        <ns0:f>+I314/M314</ns0:f>
        <ns0:v/>
      </ns0:c>
      <ns0:c r="J315" s="1">
        <ns0:f>+J314/M314</ns0:f>
        <ns0:v/>
      </ns0:c>
      <ns0:c r="K315" s="1">
        <ns0:f>+K314/M314</ns0:f>
        <ns0:v/>
      </ns0:c>
      <ns0:c r="L315" s="1" t="n">
        <ns0:v>0.03</ns0:v>
      </ns0:c>
      <ns0:c r="O315" s="1">
        <ns0:f>+O314/Q314</ns0:f>
        <ns0:v/>
      </ns0:c>
      <ns0:c r="P315" s="1">
        <ns0:f>+P314/Q314</ns0:f>
        <ns0:v/>
      </ns0:c>
    </ns0:row>
    <ns0:row r="316" ht="26.25" customHeight="1">
      <ns0:c r="D316" s="1" t="inlineStr">
        <ns0:is>
          <ns0:t>Old Peak</ns0:t>
        </ns0:is>
      </ns0:c>
      <ns0:c r="E316" s="1" t="n">
        <ns0:v>200</ns0:v>
      </ns0:c>
      <ns0:c r="F316" s="1">
        <ns0:f>+E316-M316</ns0:f>
        <ns0:v/>
      </ns0:c>
      <ns0:c r="G316" s="1" t="n">
        <ns0:v>1</ns0:v>
      </ns0:c>
      <ns0:c r="H316" s="1" t="n">
        <ns0:v>0</ns0:v>
      </ns0:c>
      <ns0:c r="I316" s="1" t="n">
        <ns0:v>0</ns0:v>
      </ns0:c>
      <ns0:c r="J316" s="1" t="n">
        <ns0:v>0</ns0:v>
      </ns0:c>
      <ns0:c r="K316" s="1" t="n">
        <ns0:v>7</ns0:v>
      </ns0:c>
      <ns0:c r="L316" s="1" t="n">
        <ns0:v>19</ns0:v>
      </ns0:c>
      <ns0:c r="M316" s="1">
        <ns0:f>SUM(G316:L316)</ns0:f>
        <ns0:v/>
      </ns0:c>
      <ns0:c r="N316" s="1">
        <ns0:f>M316/E316</ns0:f>
        <ns0:v/>
      </ns0:c>
      <ns0:c r="O316" s="1" t="n">
        <ns0:v>3</ns0:v>
      </ns0:c>
      <ns0:c r="P316" s="1" t="n">
        <ns0:v>9</ns0:v>
      </ns0:c>
      <ns0:c r="Q316" s="1">
        <ns0:f>+P316+O316+J316+I316+H316+G316</ns0:f>
        <ns0:v/>
      </ns0:c>
      <ns0:c r="R316" s="1">
        <ns0:f>+Q316/E316</ns0:f>
        <ns0:v/>
      </ns0:c>
      <ns0:c r="S316" s="1" t="inlineStr">
        <ns0:is>
          <ns0:t xml:space="preserve"> Hearing voltage up 10%</ns0:t>
        </ns0:is>
      </ns0:c>
    </ns0:row>
    <ns0:row r="317" ht="26.25" customHeight="1">
      <ns0:c r="G317" s="1">
        <ns0:f>+G316/M316</ns0:f>
        <ns0:v/>
      </ns0:c>
      <ns0:c r="H317" s="1">
        <ns0:f>+H316/M316</ns0:f>
        <ns0:v/>
      </ns0:c>
      <ns0:c r="I317" s="1">
        <ns0:f>+I316/M316</ns0:f>
        <ns0:v/>
      </ns0:c>
      <ns0:c r="J317" s="1">
        <ns0:f>+J316/M316</ns0:f>
        <ns0:v/>
      </ns0:c>
      <ns0:c r="K317" s="1">
        <ns0:f>+K316/M316</ns0:f>
        <ns0:v/>
      </ns0:c>
      <ns0:c r="L317" s="1">
        <ns0:f>+L316/M316</ns0:f>
        <ns0:v/>
      </ns0:c>
      <ns0:c r="O317" s="1">
        <ns0:f>+O316/Q316</ns0:f>
        <ns0:v/>
      </ns0:c>
      <ns0:c r="P317" s="1">
        <ns0:f>+P316/Q316</ns0:f>
        <ns0:v/>
      </ns0:c>
    </ns0:row>
    <ns0:row r="318" ht="26.25" customHeight="1">
      <ns0:c r="C318" s="1" t="inlineStr">
        <ns0:is>
          <ns0:t xml:space="preserve">VP IR 240620085-00003 + Frame sus date 3/7 (K1 ) + Yoke 8/7 Line E2-4B ( Night ) </ns0:t>
        </ns0:is>
      </ns0:c>
      <ns0:c r="E318" s="1" t="n">
        <ns0:v>500</ns0:v>
      </ns0:c>
      <ns0:c r="F318" s="1">
        <ns0:f>+E318-M318</ns0:f>
        <ns0:v/>
      </ns0:c>
      <ns0:c r="G318" s="1" t="n">
        <ns0:v>0</ns0:v>
      </ns0:c>
      <ns0:c r="H318" s="1" t="n">
        <ns0:v>2</ns0:v>
      </ns0:c>
      <ns0:c r="I318" s="1" t="n">
        <ns0:v>1</ns0:v>
      </ns0:c>
      <ns0:c r="J318" s="1" t="n">
        <ns0:v>0</ns0:v>
      </ns0:c>
      <ns0:c r="K318" s="1" t="n">
        <ns0:v>8</ns0:v>
      </ns0:c>
      <ns0:c r="L318" s="1" t="n">
        <ns0:v>54</ns0:v>
      </ns0:c>
      <ns0:c r="M318" s="1">
        <ns0:f>SUM(G318:L318)</ns0:f>
        <ns0:v/>
      </ns0:c>
      <ns0:c r="N318" s="1">
        <ns0:f>M318/E318</ns0:f>
        <ns0:v/>
      </ns0:c>
      <ns0:c r="O318" s="1" t="n">
        <ns0:v>2</ns0:v>
      </ns0:c>
      <ns0:c r="P318" s="1" t="n">
        <ns0:v>18</ns0:v>
      </ns0:c>
      <ns0:c r="Q318" s="1">
        <ns0:f>+P318+O318+J318+I318+H318+G318</ns0:f>
        <ns0:v/>
      </ns0:c>
      <ns0:c r="R318" s="1">
        <ns0:f>+Q318/E318</ns0:f>
        <ns0:v/>
      </ns0:c>
      <ns0:c r="S318" s="1" t="inlineStr">
        <ns0:is>
          <ns0:t xml:space="preserve"> Hearing voltage up 10%</ns0:t>
        </ns0:is>
      </ns0:c>
    </ns0:row>
    <ns0:row r="319" ht="26.25" customHeight="1">
      <ns0:c r="G319" s="1">
        <ns0:f>+G318/M318</ns0:f>
        <ns0:v/>
      </ns0:c>
      <ns0:c r="H319" s="1">
        <ns0:f>+H318/M318</ns0:f>
        <ns0:v/>
      </ns0:c>
      <ns0:c r="I319" s="1">
        <ns0:f>+I318/M318</ns0:f>
        <ns0:v/>
      </ns0:c>
      <ns0:c r="J319" s="1">
        <ns0:f>+J318/M318</ns0:f>
        <ns0:v/>
      </ns0:c>
      <ns0:c r="K319" s="1">
        <ns0:f>+K318/M318</ns0:f>
        <ns0:v/>
      </ns0:c>
      <ns0:c r="L319" s="1">
        <ns0:f>+L318/M318</ns0:f>
        <ns0:v/>
      </ns0:c>
      <ns0:c r="O319" s="1">
        <ns0:f>+O318/Q318</ns0:f>
        <ns0:v/>
      </ns0:c>
      <ns0:c r="P319" s="1">
        <ns0:f>+P318/Q318</ns0:f>
        <ns0:v/>
      </ns0:c>
    </ns0:row>
    <ns0:row r="320" ht="26.25" customHeight="1">
      <ns0:c r="C320" s="1" t="inlineStr">
        <ns0:is>
          <ns0:t>Final SPK</ns0:t>
        </ns0:is>
      </ns0:c>
      <ns0:c r="D320" s="1" t="inlineStr">
        <ns0:is>
          <ns0:t>Dry 20min</ns0:t>
        </ns0:is>
      </ns0:c>
      <ns0:c r="E320" s="1" t="n">
        <ns0:v>795</ns0:v>
      </ns0:c>
      <ns0:c r="F320" s="1">
        <ns0:f>+E320-M320</ns0:f>
        <ns0:v/>
      </ns0:c>
      <ns0:c r="G320" s="1" t="n">
        <ns0:v>0</ns0:v>
      </ns0:c>
      <ns0:c r="H320" s="1" t="n">
        <ns0:v>3</ns0:v>
      </ns0:c>
      <ns0:c r="I320" s="1" t="n">
        <ns0:v>2</ns0:v>
      </ns0:c>
      <ns0:c r="J320" s="1" t="n">
        <ns0:v>0</ns0:v>
      </ns0:c>
      <ns0:c r="K320" s="1" t="n">
        <ns0:v>10</ns0:v>
      </ns0:c>
      <ns0:c r="L320" s="1" t="n">
        <ns0:v>67</ns0:v>
      </ns0:c>
      <ns0:c r="M320" s="1">
        <ns0:f>SUM(G320:L320)</ns0:f>
        <ns0:v/>
      </ns0:c>
      <ns0:c r="N320" s="1">
        <ns0:f>M320/E320</ns0:f>
        <ns0:v/>
      </ns0:c>
      <ns0:c r="O320" s="1" t="n">
        <ns0:v>8</ns0:v>
      </ns0:c>
      <ns0:c r="P320" s="1" t="n">
        <ns0:v>43</ns0:v>
      </ns0:c>
      <ns0:c r="Q320" s="1">
        <ns0:f>+P320+O320+J320+I320+H320+G320</ns0:f>
        <ns0:v/>
      </ns0:c>
      <ns0:c r="R320" s="1">
        <ns0:f>+Q320/E320</ns0:f>
        <ns0:v/>
      </ns0:c>
      <ns0:c r="S320" s="1" t="inlineStr">
        <ns0:is>
          <ns0:t xml:space="preserve"> Hearing voltage up 10%</ns0:t>
        </ns0:is>
      </ns0:c>
    </ns0:row>
    <ns0:row r="321" ht="26.25" customHeight="1">
      <ns0:c r="G321" s="1">
        <ns0:f>+G320/M320</ns0:f>
        <ns0:v/>
      </ns0:c>
      <ns0:c r="H321" s="1">
        <ns0:f>+H320/M320</ns0:f>
        <ns0:v/>
      </ns0:c>
      <ns0:c r="I321" s="1">
        <ns0:f>+I320/M320</ns0:f>
        <ns0:v/>
      </ns0:c>
      <ns0:c r="J321" s="1">
        <ns0:f>+J320/M320</ns0:f>
        <ns0:v/>
      </ns0:c>
      <ns0:c r="K321" s="1">
        <ns0:f>+K320/M320</ns0:f>
        <ns0:v/>
      </ns0:c>
      <ns0:c r="L321" s="1">
        <ns0:f>+L320/M320</ns0:f>
        <ns0:v/>
      </ns0:c>
      <ns0:c r="O321" s="1">
        <ns0:f>+O320/Q320</ns0:f>
        <ns0:v/>
      </ns0:c>
      <ns0:c r="P321" s="1">
        <ns0:f>+P320/Q320</ns0:f>
        <ns0:v/>
      </ns0:c>
    </ns0:row>
    <ns0:row r="322" ht="26.25" customHeight="1">
      <ns0:c r="D322" s="1" t="inlineStr">
        <ns0:is>
          <ns0:t>Dry 15min</ns0:t>
        </ns0:is>
      </ns0:c>
      <ns0:c r="E322" s="1" t="n">
        <ns0:v>792</ns0:v>
      </ns0:c>
      <ns0:c r="F322" s="1">
        <ns0:f>+E322-M322</ns0:f>
        <ns0:v/>
      </ns0:c>
      <ns0:c r="G322" s="1" t="n">
        <ns0:v>0</ns0:v>
      </ns0:c>
      <ns0:c r="H322" s="1" t="n">
        <ns0:v>1</ns0:v>
      </ns0:c>
      <ns0:c r="I322" s="1" t="n">
        <ns0:v>0</ns0:v>
      </ns0:c>
      <ns0:c r="J322" s="1" t="n">
        <ns0:v>0</ns0:v>
      </ns0:c>
      <ns0:c r="K322" s="1" t="n">
        <ns0:v>15</ns0:v>
      </ns0:c>
      <ns0:c r="L322" s="1" t="n">
        <ns0:v>81</ns0:v>
      </ns0:c>
      <ns0:c r="M322" s="1">
        <ns0:f>SUM(G322:L322)</ns0:f>
        <ns0:v/>
      </ns0:c>
      <ns0:c r="N322" s="1">
        <ns0:f>M322/E322</ns0:f>
        <ns0:v/>
      </ns0:c>
      <ns0:c r="O322" s="1" t="n">
        <ns0:v>14</ns0:v>
      </ns0:c>
      <ns0:c r="P322" s="1" t="n">
        <ns0:v>33</ns0:v>
      </ns0:c>
      <ns0:c r="Q322" s="1">
        <ns0:f>+P322+O322+J322+I322+H322+G322</ns0:f>
        <ns0:v/>
      </ns0:c>
      <ns0:c r="R322" s="1">
        <ns0:f>+Q322/E322</ns0:f>
        <ns0:v/>
      </ns0:c>
      <ns0:c r="S322" s="1" t="inlineStr">
        <ns0:is>
          <ns0:t xml:space="preserve"> Hearing voltage up 10%</ns0:t>
        </ns0:is>
      </ns0:c>
    </ns0:row>
    <ns0:row r="323" ht="26.25" customHeight="1">
      <ns0:c r="G323" s="1">
        <ns0:f>+G322/M322</ns0:f>
        <ns0:v/>
      </ns0:c>
      <ns0:c r="H323" s="1">
        <ns0:f>+H322/M322</ns0:f>
        <ns0:v/>
      </ns0:c>
      <ns0:c r="I323" s="1">
        <ns0:f>+I322/M322</ns0:f>
        <ns0:v/>
      </ns0:c>
      <ns0:c r="J323" s="1">
        <ns0:f>+J322/M322</ns0:f>
        <ns0:v/>
      </ns0:c>
      <ns0:c r="K323" s="1">
        <ns0:f>+K322/M322</ns0:f>
        <ns0:v/>
      </ns0:c>
      <ns0:c r="L323" s="1">
        <ns0:f>+L322/M322</ns0:f>
        <ns0:v/>
      </ns0:c>
      <ns0:c r="O323" s="1">
        <ns0:f>+O322/Q322</ns0:f>
        <ns0:v/>
      </ns0:c>
      <ns0:c r="P323" s="1">
        <ns0:f>+P322/Q322</ns0:f>
        <ns0:v/>
      </ns0:c>
    </ns0:row>
    <ns0:row r="324" ht="26.25" customHeight="1">
      <ns0:c r="D324" s="1" t="inlineStr">
        <ns0:is>
          <ns0:t>Dry 10min</ns0:t>
        </ns0:is>
      </ns0:c>
      <ns0:c r="E324" s="1" t="n">
        <ns0:v>792</ns0:v>
      </ns0:c>
      <ns0:c r="F324" s="1">
        <ns0:f>+E324-M324</ns0:f>
        <ns0:v/>
      </ns0:c>
      <ns0:c r="G324" s="1" t="n">
        <ns0:v>0</ns0:v>
      </ns0:c>
      <ns0:c r="H324" s="1" t="n">
        <ns0:v>3</ns0:v>
      </ns0:c>
      <ns0:c r="I324" s="1" t="n">
        <ns0:v>0</ns0:v>
      </ns0:c>
      <ns0:c r="J324" s="1" t="n">
        <ns0:v>0</ns0:v>
      </ns0:c>
      <ns0:c r="K324" s="1" t="n">
        <ns0:v>15</ns0:v>
      </ns0:c>
      <ns0:c r="L324" s="1" t="n">
        <ns0:v>73</ns0:v>
      </ns0:c>
      <ns0:c r="M324" s="1">
        <ns0:f>SUM(G324:L324)</ns0:f>
        <ns0:v/>
      </ns0:c>
      <ns0:c r="N324" s="1">
        <ns0:f>M324/E324</ns0:f>
        <ns0:v/>
      </ns0:c>
      <ns0:c r="O324" s="1" t="n">
        <ns0:v>13</ns0:v>
      </ns0:c>
      <ns0:c r="P324" s="1" t="n">
        <ns0:v>50</ns0:v>
      </ns0:c>
      <ns0:c r="Q324" s="1">
        <ns0:f>+P324+O324+J324+I324+H324+G324</ns0:f>
        <ns0:v/>
      </ns0:c>
      <ns0:c r="R324" s="1">
        <ns0:f>+Q324/E324</ns0:f>
        <ns0:v/>
      </ns0:c>
      <ns0:c r="S324" s="1" t="inlineStr">
        <ns0:is>
          <ns0:t xml:space="preserve"> Hearing voltage up 10%</ns0:t>
        </ns0:is>
      </ns0:c>
    </ns0:row>
    <ns0:row r="325" ht="26.25" customHeight="1">
      <ns0:c r="G325" s="1">
        <ns0:f>+G324/M324</ns0:f>
        <ns0:v/>
      </ns0:c>
      <ns0:c r="H325" s="1">
        <ns0:f>+H324/M324</ns0:f>
        <ns0:v/>
      </ns0:c>
      <ns0:c r="I325" s="1">
        <ns0:f>+I324/M324</ns0:f>
        <ns0:v/>
      </ns0:c>
      <ns0:c r="J325" s="1">
        <ns0:f>+J324/M324</ns0:f>
        <ns0:v/>
      </ns0:c>
      <ns0:c r="K325" s="1">
        <ns0:f>+K324/M324</ns0:f>
        <ns0:v/>
      </ns0:c>
      <ns0:c r="L325" s="1">
        <ns0:f>+L324/M324</ns0:f>
        <ns0:v/>
      </ns0:c>
      <ns0:c r="O325" s="1">
        <ns0:f>+O324/Q324</ns0:f>
        <ns0:v/>
      </ns0:c>
      <ns0:c r="P325" s="1">
        <ns0:f>+P324/Q324</ns0:f>
        <ns0:v/>
      </ns0:c>
    </ns0:row>
    <ns0:row r="326" ht="26.25" customHeight="1">
      <ns0:c r="D326" s="1" t="inlineStr">
        <ns0:is>
          <ns0:t>Not Dry</ns0:t>
        </ns0:is>
      </ns0:c>
      <ns0:c r="E326" s="1" t="n">
        <ns0:v>795</ns0:v>
      </ns0:c>
      <ns0:c r="F326" s="1">
        <ns0:f>+E326-M326</ns0:f>
        <ns0:v/>
      </ns0:c>
      <ns0:c r="G326" s="1" t="n">
        <ns0:v>0</ns0:v>
      </ns0:c>
      <ns0:c r="H326" s="1" t="n">
        <ns0:v>2</ns0:v>
      </ns0:c>
      <ns0:c r="I326" s="1" t="n">
        <ns0:v>1</ns0:v>
      </ns0:c>
      <ns0:c r="J326" s="1" t="n">
        <ns0:v>0</ns0:v>
      </ns0:c>
      <ns0:c r="K326" s="1" t="n">
        <ns0:v>28</ns0:v>
      </ns0:c>
      <ns0:c r="L326" s="1" t="n">
        <ns0:v>39</ns0:v>
      </ns0:c>
      <ns0:c r="M326" s="1">
        <ns0:f>SUM(G326:L326)</ns0:f>
        <ns0:v/>
      </ns0:c>
      <ns0:c r="N326" s="1">
        <ns0:f>M326/E326</ns0:f>
        <ns0:v/>
      </ns0:c>
      <ns0:c r="O326" s="1" t="n">
        <ns0:v>17</ns0:v>
      </ns0:c>
      <ns0:c r="P326" s="1" t="n">
        <ns0:v>18</ns0:v>
      </ns0:c>
      <ns0:c r="Q326" s="1">
        <ns0:f>+P326+O326+J326+I326+H326+G326</ns0:f>
        <ns0:v/>
      </ns0:c>
      <ns0:c r="R326" s="1">
        <ns0:f>+Q326/E326</ns0:f>
        <ns0:v/>
      </ns0:c>
      <ns0:c r="S326" s="1" t="inlineStr">
        <ns0:is>
          <ns0:t xml:space="preserve"> Hearing voltage up 10%</ns0:t>
        </ns0:is>
      </ns0:c>
    </ns0:row>
    <ns0:row r="327" ht="26.25" customHeight="1">
      <ns0:c r="G327" s="1">
        <ns0:f>+G326/M326</ns0:f>
        <ns0:v/>
      </ns0:c>
      <ns0:c r="H327" s="1">
        <ns0:f>+H326/M326</ns0:f>
        <ns0:v/>
      </ns0:c>
      <ns0:c r="I327" s="1">
        <ns0:f>+I326/M326</ns0:f>
        <ns0:v/>
      </ns0:c>
      <ns0:c r="J327" s="1">
        <ns0:f>+J326/M326</ns0:f>
        <ns0:v/>
      </ns0:c>
      <ns0:c r="K327" s="1">
        <ns0:f>+K326/M326</ns0:f>
        <ns0:v/>
      </ns0:c>
      <ns0:c r="L327" s="1">
        <ns0:f>+L326/M326</ns0:f>
        <ns0:v/>
      </ns0:c>
      <ns0:c r="O327" s="1">
        <ns0:f>+O326/Q326</ns0:f>
        <ns0:v/>
      </ns0:c>
      <ns0:c r="P327" s="1">
        <ns0:f>+P326/Q326</ns0:f>
        <ns0:v/>
      </ns0:c>
    </ns0:row>
    <ns0:row r="328" ht="26.25" customHeight="1">
      <ns0:c r="C328" s="1" t="inlineStr">
        <ns0:is>
          <ns0:t>VP IR 40614037-00005 ( Ngày ) + Frame sus date 4/7 (K1 ) ( Ngày ) + Yoke 8/7 Line ( Ngày ) + Coil  ( Ngày )</ns0:t>
        </ns0:is>
      </ns0:c>
      <ns0:c r="E328" s="1" t="n">
        <ns0:v>490</ns0:v>
      </ns0:c>
      <ns0:c r="F328" s="1">
        <ns0:f>+E328-M328</ns0:f>
        <ns0:v/>
      </ns0:c>
      <ns0:c r="G328" s="1" t="n">
        <ns0:v>0</ns0:v>
      </ns0:c>
      <ns0:c r="H328" s="1" t="n">
        <ns0:v>0</ns0:v>
      </ns0:c>
      <ns0:c r="I328" s="1" t="n">
        <ns0:v>1</ns0:v>
      </ns0:c>
      <ns0:c r="J328" s="1" t="n">
        <ns0:v>0</ns0:v>
      </ns0:c>
      <ns0:c r="K328" s="1" t="n">
        <ns0:v>11</ns0:v>
      </ns0:c>
      <ns0:c r="L328" s="1" t="n">
        <ns0:v>36</ns0:v>
      </ns0:c>
      <ns0:c r="M328" s="1">
        <ns0:f>SUM(G328:L328)</ns0:f>
        <ns0:v/>
      </ns0:c>
      <ns0:c r="N328" s="1">
        <ns0:f>M328/E328</ns0:f>
        <ns0:v/>
      </ns0:c>
      <ns0:c r="O328" s="1" t="n">
        <ns0:v>7</ns0:v>
      </ns0:c>
      <ns0:c r="P328" s="1" t="n">
        <ns0:v>12</ns0:v>
      </ns0:c>
      <ns0:c r="Q328" s="1">
        <ns0:f>+P328+O328+J328+I328+H328+G328</ns0:f>
        <ns0:v/>
      </ns0:c>
      <ns0:c r="R328" s="1">
        <ns0:f>+Q328/E328</ns0:f>
        <ns0:v/>
      </ns0:c>
      <ns0:c r="S328" s="1" t="inlineStr">
        <ns0:is>
          <ns0:t xml:space="preserve"> Hearing voltage up 10%</ns0:t>
        </ns0:is>
      </ns0:c>
    </ns0:row>
    <ns0:row r="329" ht="26.25" customHeight="1">
      <ns0:c r="G329" s="1">
        <ns0:f>+G328/M328</ns0:f>
        <ns0:v/>
      </ns0:c>
      <ns0:c r="H329" s="1">
        <ns0:f>+H328/M328</ns0:f>
        <ns0:v/>
      </ns0:c>
      <ns0:c r="I329" s="1">
        <ns0:f>+I328/M328</ns0:f>
        <ns0:v/>
      </ns0:c>
      <ns0:c r="J329" s="1">
        <ns0:f>+J328/M328</ns0:f>
        <ns0:v/>
      </ns0:c>
      <ns0:c r="K329" s="1">
        <ns0:f>+K328/M328</ns0:f>
        <ns0:v/>
      </ns0:c>
      <ns0:c r="L329" s="1">
        <ns0:f>+L328/M328</ns0:f>
        <ns0:v/>
      </ns0:c>
      <ns0:c r="O329" s="1">
        <ns0:f>+O328/Q328</ns0:f>
        <ns0:v/>
      </ns0:c>
      <ns0:c r="P329" s="1">
        <ns0:f>+P328/Q328</ns0:f>
        <ns0:v/>
      </ns0:c>
    </ns0:row>
    <ns0:row r="330" ht="26.25" customHeight="1">
      <ns0:c r="C330" s="1" t="inlineStr">
        <ns0:is>
          <ns0:t>VP IR 40614037-00005 ( Ngày ) + Frame sus date 4/7 (K1 ) ( Ngày ) + Yoke 8/7 ( Ngày ) + Coil ( Đêm )</ns0:t>
        </ns0:is>
      </ns0:c>
      <ns0:c r="E330" s="1" t="n">
        <ns0:v>489</ns0:v>
      </ns0:c>
      <ns0:c r="F330" s="1">
        <ns0:f>+E330-M330</ns0:f>
        <ns0:v/>
      </ns0:c>
      <ns0:c r="G330" s="1" t="n">
        <ns0:v>0</ns0:v>
      </ns0:c>
      <ns0:c r="H330" s="1" t="n">
        <ns0:v>0</ns0:v>
      </ns0:c>
      <ns0:c r="I330" s="1" t="n">
        <ns0:v>2</ns0:v>
      </ns0:c>
      <ns0:c r="J330" s="1" t="n">
        <ns0:v>0</ns0:v>
      </ns0:c>
      <ns0:c r="K330" s="1" t="n">
        <ns0:v>13</ns0:v>
      </ns0:c>
      <ns0:c r="L330" s="1" t="n">
        <ns0:v>52</ns0:v>
      </ns0:c>
      <ns0:c r="M330" s="1">
        <ns0:f>SUM(G330:L330)</ns0:f>
        <ns0:v/>
      </ns0:c>
      <ns0:c r="N330" s="1">
        <ns0:f>M330/E330</ns0:f>
        <ns0:v/>
      </ns0:c>
      <ns0:c r="O330" s="1" t="n">
        <ns0:v>11</ns0:v>
      </ns0:c>
      <ns0:c r="P330" s="1" t="n">
        <ns0:v>21</ns0:v>
      </ns0:c>
      <ns0:c r="Q330" s="1">
        <ns0:f>+P330+O330+J330+I330+H330+G330</ns0:f>
        <ns0:v/>
      </ns0:c>
      <ns0:c r="R330" s="1">
        <ns0:f>+Q330/E330</ns0:f>
        <ns0:v/>
      </ns0:c>
      <ns0:c r="S330" s="1" t="inlineStr">
        <ns0:is>
          <ns0:t xml:space="preserve"> Hearing voltage up 10%</ns0:t>
        </ns0:is>
      </ns0:c>
    </ns0:row>
    <ns0:row r="331" ht="26.25" customHeight="1">
      <ns0:c r="G331" s="1">
        <ns0:f>+G330/M330</ns0:f>
        <ns0:v/>
      </ns0:c>
      <ns0:c r="H331" s="1">
        <ns0:f>+H330/M330</ns0:f>
        <ns0:v/>
      </ns0:c>
      <ns0:c r="I331" s="1">
        <ns0:f>+I330/M330</ns0:f>
        <ns0:v/>
      </ns0:c>
      <ns0:c r="J331" s="1">
        <ns0:f>+J330/M330</ns0:f>
        <ns0:v/>
      </ns0:c>
      <ns0:c r="K331" s="1">
        <ns0:f>+K330/M330</ns0:f>
        <ns0:v/>
      </ns0:c>
      <ns0:c r="L331" s="1">
        <ns0:f>+L330/M330</ns0:f>
        <ns0:v/>
      </ns0:c>
      <ns0:c r="O331" s="1">
        <ns0:f>+O330/Q330</ns0:f>
        <ns0:v/>
      </ns0:c>
      <ns0:c r="P331" s="1">
        <ns0:f>+P330/Q330</ns0:f>
        <ns0:v/>
      </ns0:c>
    </ns0:row>
    <ns0:row r="332" ht="26.25" customHeight="1">
      <ns0:c r="B332" s="2" t="n">
        <ns0:v>45484</ns0:v>
      </ns0:c>
      <ns0:c r="C332" s="1" t="inlineStr">
        <ns0:is>
          <ns0:t>VP</ns0:t>
        </ns0:is>
      </ns0:c>
      <ns0:c r="D332" s="1" t="inlineStr">
        <ns0:is>
          <ns0:t xml:space="preserve">IR 240620085-00003 ( Date 10.7 ) </ns0:t>
        </ns0:is>
      </ns0:c>
      <ns0:c r="E332" s="1" t="n">
        <ns0:v>960</ns0:v>
      </ns0:c>
      <ns0:c r="F332" s="1">
        <ns0:f>+E332-M332</ns0:f>
        <ns0:v/>
      </ns0:c>
      <ns0:c r="G332" s="1" t="n">
        <ns0:v>0</ns0:v>
      </ns0:c>
      <ns0:c r="H332" s="1" t="n">
        <ns0:v>6</ns0:v>
      </ns0:c>
      <ns0:c r="I332" s="1" t="n">
        <ns0:v>1</ns0:v>
      </ns0:c>
      <ns0:c r="J332" s="1" t="n">
        <ns0:v>0</ns0:v>
      </ns0:c>
      <ns0:c r="K332" s="1" t="n">
        <ns0:v>19</ns0:v>
      </ns0:c>
      <ns0:c r="L332" s="1" t="n">
        <ns0:v>81</ns0:v>
      </ns0:c>
      <ns0:c r="M332" s="1">
        <ns0:f>SUM(G332:L332)</ns0:f>
        <ns0:v/>
      </ns0:c>
      <ns0:c r="N332" s="1">
        <ns0:f>M332/E332</ns0:f>
        <ns0:v/>
      </ns0:c>
      <ns0:c r="O332" s="1" t="n">
        <ns0:v>12</ns0:v>
      </ns0:c>
      <ns0:c r="P332" s="1" t="n">
        <ns0:v>34</ns0:v>
      </ns0:c>
      <ns0:c r="Q332" s="1">
        <ns0:f>+P332+O332+J332+I332+H332+G332</ns0:f>
        <ns0:v/>
      </ns0:c>
      <ns0:c r="R332" s="1">
        <ns0:f>+Q332/E332</ns0:f>
        <ns0:v/>
      </ns0:c>
      <ns0:c r="S332" s="1" t="inlineStr">
        <ns0:is>
          <ns0:t xml:space="preserve"> Hearing voltage up 10%</ns0:t>
        </ns0:is>
      </ns0:c>
    </ns0:row>
    <ns0:row r="333" ht="26.25" customHeight="1">
      <ns0:c r="G333" s="1">
        <ns0:f>+G332/M332</ns0:f>
        <ns0:v/>
      </ns0:c>
      <ns0:c r="H333" s="1">
        <ns0:f>+H332/M332</ns0:f>
        <ns0:v/>
      </ns0:c>
      <ns0:c r="I333" s="1">
        <ns0:f>+I332/M332</ns0:f>
        <ns0:v/>
      </ns0:c>
      <ns0:c r="J333" s="1">
        <ns0:f>+J332/M332</ns0:f>
        <ns0:v/>
      </ns0:c>
      <ns0:c r="K333" s="1">
        <ns0:f>+K332/M332</ns0:f>
        <ns0:v/>
      </ns0:c>
      <ns0:c r="L333" s="1">
        <ns0:f>+L332/M332</ns0:f>
        <ns0:v/>
      </ns0:c>
      <ns0:c r="O333" s="1">
        <ns0:f>+O332/Q332</ns0:f>
        <ns0:v/>
      </ns0:c>
      <ns0:c r="P333" s="1">
        <ns0:f>+P332/Q332</ns0:f>
        <ns0:v/>
      </ns0:c>
    </ns0:row>
    <ns0:row r="334" ht="26.25" customHeight="1">
      <ns0:c r="D334" s="1" t="inlineStr">
        <ns0:is>
          <ns0:t xml:space="preserve">IR 240620085-00003 ( Date 10.7 ) </ns0:t>
        </ns0:is>
      </ns0:c>
      <ns0:c r="E334" s="1" t="n">
        <ns0:v>951</ns0:v>
      </ns0:c>
      <ns0:c r="F334" s="1">
        <ns0:f>+E334-M334</ns0:f>
        <ns0:v/>
      </ns0:c>
      <ns0:c r="G334" s="1" t="n">
        <ns0:v>0</ns0:v>
      </ns0:c>
      <ns0:c r="H334" s="1" t="n">
        <ns0:v>6</ns0:v>
      </ns0:c>
      <ns0:c r="I334" s="1" t="n">
        <ns0:v>1</ns0:v>
      </ns0:c>
      <ns0:c r="J334" s="1" t="n">
        <ns0:v>0</ns0:v>
      </ns0:c>
      <ns0:c r="K334" s="1" t="n">
        <ns0:v>12</ns0:v>
      </ns0:c>
      <ns0:c r="L334" s="1" t="n">
        <ns0:v>126</ns0:v>
      </ns0:c>
      <ns0:c r="M334" s="1">
        <ns0:f>SUM(G334:L334)</ns0:f>
        <ns0:v/>
      </ns0:c>
      <ns0:c r="N334" s="1">
        <ns0:f>M334/E334</ns0:f>
        <ns0:v/>
      </ns0:c>
      <ns0:c r="O334" s="1" t="n">
        <ns0:v>14</ns0:v>
      </ns0:c>
      <ns0:c r="P334" s="1" t="n">
        <ns0:v>60</ns0:v>
      </ns0:c>
      <ns0:c r="Q334" s="1">
        <ns0:f>+P334+O334+J334+I334+H334+G334</ns0:f>
        <ns0:v/>
      </ns0:c>
      <ns0:c r="R334" s="1">
        <ns0:f>+Q334/E334</ns0:f>
        <ns0:v/>
      </ns0:c>
      <ns0:c r="S334" s="1" t="inlineStr">
        <ns0:is>
          <ns0:t xml:space="preserve"> Hearing voltage up 10%</ns0:t>
        </ns0:is>
      </ns0:c>
    </ns0:row>
    <ns0:row r="335" ht="26.25" customHeight="1">
      <ns0:c r="G335" s="1">
        <ns0:f>+G334/M334</ns0:f>
        <ns0:v/>
      </ns0:c>
      <ns0:c r="H335" s="1">
        <ns0:f>+H334/M334</ns0:f>
        <ns0:v/>
      </ns0:c>
      <ns0:c r="I335" s="1">
        <ns0:f>+I334/M334</ns0:f>
        <ns0:v/>
      </ns0:c>
      <ns0:c r="J335" s="1">
        <ns0:f>+J334/M334</ns0:f>
        <ns0:v/>
      </ns0:c>
      <ns0:c r="K335" s="1">
        <ns0:f>+K334/M334</ns0:f>
        <ns0:v/>
      </ns0:c>
      <ns0:c r="L335" s="1">
        <ns0:f>+L334/M334</ns0:f>
        <ns0:v/>
      </ns0:c>
      <ns0:c r="O335" s="1">
        <ns0:f>+O334/Q334</ns0:f>
        <ns0:v/>
      </ns0:c>
      <ns0:c r="P335" s="1">
        <ns0:f>+P334/Q334</ns0:f>
        <ns0:v/>
      </ns0:c>
    </ns0:row>
    <ns0:row r="336" ht="26.25" customHeight="1">
      <ns0:c r="D336" s="1" t="inlineStr">
        <ns0:is>
          <ns0:t>Total</ns0:t>
        </ns0:is>
      </ns0:c>
      <ns0:c r="E336" s="1">
        <ns0:f>+E332+E334</ns0:f>
        <ns0:v/>
      </ns0:c>
      <ns0:c r="F336" s="1">
        <ns0:f>+F332+F334</ns0:f>
        <ns0:v/>
      </ns0:c>
      <ns0:c r="G336" s="1">
        <ns0:f>+G332+G334</ns0:f>
        <ns0:v/>
      </ns0:c>
      <ns0:c r="H336" s="1">
        <ns0:f>+H332+H334</ns0:f>
        <ns0:v/>
      </ns0:c>
      <ns0:c r="I336" s="1">
        <ns0:f>+I332+I334</ns0:f>
        <ns0:v/>
      </ns0:c>
      <ns0:c r="J336" s="1">
        <ns0:f>+J332+J334</ns0:f>
        <ns0:v/>
      </ns0:c>
      <ns0:c r="K336" s="1">
        <ns0:f>+K332+K334</ns0:f>
        <ns0:v/>
      </ns0:c>
      <ns0:c r="L336" s="1">
        <ns0:f>+L332+L334</ns0:f>
        <ns0:v/>
      </ns0:c>
      <ns0:c r="M336" s="1">
        <ns0:f>SUM(G336:L336)</ns0:f>
        <ns0:v/>
      </ns0:c>
      <ns0:c r="N336" s="1">
        <ns0:f>M336/E336</ns0:f>
        <ns0:v/>
      </ns0:c>
      <ns0:c r="O336" s="1">
        <ns0:f>+O332+O334</ns0:f>
        <ns0:v/>
      </ns0:c>
      <ns0:c r="P336" s="1">
        <ns0:f>+P332+P334</ns0:f>
        <ns0:v/>
      </ns0:c>
      <ns0:c r="Q336" s="1">
        <ns0:f>+P336+O336+J336+I336+H336+G336</ns0:f>
        <ns0:v/>
      </ns0:c>
      <ns0:c r="R336" s="1">
        <ns0:f>+Q336/E336</ns0:f>
        <ns0:v/>
      </ns0:c>
      <ns0:c r="S336" s="1" t="inlineStr">
        <ns0:is>
          <ns0:t xml:space="preserve"> Hearing voltage up 10%</ns0:t>
        </ns0:is>
      </ns0:c>
    </ns0:row>
    <ns0:row r="337" ht="26.25" customHeight="1">
      <ns0:c r="G337" s="1">
        <ns0:f>+G336/M336</ns0:f>
        <ns0:v/>
      </ns0:c>
      <ns0:c r="H337" s="1">
        <ns0:f>+H336/M336</ns0:f>
        <ns0:v/>
      </ns0:c>
      <ns0:c r="I337" s="1">
        <ns0:f>+I336/M336</ns0:f>
        <ns0:v/>
      </ns0:c>
      <ns0:c r="J337" s="1">
        <ns0:f>+J336/M336</ns0:f>
        <ns0:v/>
      </ns0:c>
      <ns0:c r="K337" s="1">
        <ns0:f>+K336/M336</ns0:f>
        <ns0:v/>
      </ns0:c>
      <ns0:c r="L337" s="1">
        <ns0:f>+L336/M336</ns0:f>
        <ns0:v/>
      </ns0:c>
      <ns0:c r="O337" s="1">
        <ns0:f>+O336/Q336</ns0:f>
        <ns0:v/>
      </ns0:c>
      <ns0:c r="P337" s="1">
        <ns0:f>+P336/Q336</ns0:f>
        <ns0:v/>
      </ns0:c>
    </ns0:row>
    <ns0:row r="338" ht="26.25" customHeight="1">
      <ns0:c r="D338" s="1" t="inlineStr">
        <ns0:is>
          <ns0:t xml:space="preserve">IR 240614037-00005 ( Date 8.7 ) </ns0:t>
        </ns0:is>
      </ns0:c>
      <ns0:c r="E338" s="1" t="n">
        <ns0:v>958</ns0:v>
      </ns0:c>
      <ns0:c r="F338" s="1">
        <ns0:f>+E338-M338</ns0:f>
        <ns0:v/>
      </ns0:c>
      <ns0:c r="G338" s="1" t="n">
        <ns0:v>1</ns0:v>
      </ns0:c>
      <ns0:c r="H338" s="1" t="n">
        <ns0:v>4</ns0:v>
      </ns0:c>
      <ns0:c r="I338" s="1" t="n">
        <ns0:v>1</ns0:v>
      </ns0:c>
      <ns0:c r="J338" s="1" t="n">
        <ns0:v>0</ns0:v>
      </ns0:c>
      <ns0:c r="K338" s="1" t="n">
        <ns0:v>22</ns0:v>
      </ns0:c>
      <ns0:c r="L338" s="1" t="n">
        <ns0:v>158</ns0:v>
      </ns0:c>
      <ns0:c r="M338" s="1">
        <ns0:f>SUM(G338:L338)</ns0:f>
        <ns0:v/>
      </ns0:c>
      <ns0:c r="N338" s="1">
        <ns0:f>M338/E338</ns0:f>
        <ns0:v/>
      </ns0:c>
      <ns0:c r="O338" s="1" t="n">
        <ns0:v>15</ns0:v>
      </ns0:c>
      <ns0:c r="P338" s="1" t="n">
        <ns0:v>78</ns0:v>
      </ns0:c>
      <ns0:c r="Q338" s="1">
        <ns0:f>+P338+O338+J338+I338+H338+G338</ns0:f>
        <ns0:v/>
      </ns0:c>
      <ns0:c r="R338" s="1">
        <ns0:f>+Q338/E338</ns0:f>
        <ns0:v/>
      </ns0:c>
      <ns0:c r="S338" s="1" t="inlineStr">
        <ns0:is>
          <ns0:t xml:space="preserve"> Hearing voltage up 10%</ns0:t>
        </ns0:is>
      </ns0:c>
    </ns0:row>
    <ns0:row r="339" ht="26.25" customHeight="1">
      <ns0:c r="G339" s="1">
        <ns0:f>+G338/M338</ns0:f>
        <ns0:v/>
      </ns0:c>
      <ns0:c r="H339" s="1">
        <ns0:f>+H338/M338</ns0:f>
        <ns0:v/>
      </ns0:c>
      <ns0:c r="I339" s="1">
        <ns0:f>+I338/M338</ns0:f>
        <ns0:v/>
      </ns0:c>
      <ns0:c r="J339" s="1">
        <ns0:f>+J338/M338</ns0:f>
        <ns0:v/>
      </ns0:c>
      <ns0:c r="K339" s="1">
        <ns0:f>+K338/M338</ns0:f>
        <ns0:v/>
      </ns0:c>
      <ns0:c r="L339" s="1">
        <ns0:f>+L338/M338</ns0:f>
        <ns0:v/>
      </ns0:c>
      <ns0:c r="O339" s="1">
        <ns0:f>+O338/Q338</ns0:f>
        <ns0:v/>
      </ns0:c>
      <ns0:c r="P339" s="1">
        <ns0:f>+P338/Q338</ns0:f>
        <ns0:v/>
      </ns0:c>
    </ns0:row>
    <ns0:row r="340">
      <ns0:c r="D340" s="1" t="inlineStr">
        <ns0:is>
          <ns0:t>Dry 20min</ns0:t>
        </ns0:is>
      </ns0:c>
      <ns0:c r="F340" s="1">
        <ns0:f>+E340-M340</ns0:f>
        <ns0:v/>
      </ns0:c>
      <ns0:c r="M340" s="1">
        <ns0:f>SUM(G340:L340)</ns0:f>
        <ns0:v/>
      </ns0:c>
      <ns0:c r="N340" s="1">
        <ns0:f>M340/E340</ns0:f>
        <ns0:v/>
      </ns0:c>
      <ns0:c r="Q340" s="1">
        <ns0:f>+P340+O340+J340+I340+H340+G340</ns0:f>
        <ns0:v/>
      </ns0:c>
      <ns0:c r="R340" s="1">
        <ns0:f>+Q340/E340</ns0:f>
        <ns0:v/>
      </ns0:c>
      <ns0:c r="S340" s="1" t="inlineStr">
        <ns0:is>
          <ns0:t xml:space="preserve"> Hearing voltage up 10%</ns0:t>
        </ns0:is>
      </ns0:c>
    </ns0:row>
    <ns0:row r="341">
      <ns0:c r="G341" s="1">
        <ns0:f>+G340/M340</ns0:f>
        <ns0:v/>
      </ns0:c>
      <ns0:c r="H341" s="1">
        <ns0:f>+H340/M340</ns0:f>
        <ns0:v/>
      </ns0:c>
      <ns0:c r="I341" s="1">
        <ns0:f>+I340/M340</ns0:f>
        <ns0:v/>
      </ns0:c>
      <ns0:c r="J341" s="1">
        <ns0:f>+J340/M340</ns0:f>
        <ns0:v/>
      </ns0:c>
      <ns0:c r="K341" s="1">
        <ns0:f>+K340/M340</ns0:f>
        <ns0:v/>
      </ns0:c>
      <ns0:c r="L341" s="1">
        <ns0:f>+L340/M340</ns0:f>
        <ns0:v/>
      </ns0:c>
      <ns0:c r="O341" s="1">
        <ns0:f>+O340/Q340</ns0:f>
        <ns0:v/>
      </ns0:c>
      <ns0:c r="P341" s="1">
        <ns0:f>+P340/Q340</ns0:f>
        <ns0:v/>
      </ns0:c>
    </ns0:row>
    <ns0:row r="342">
      <ns0:c r="D342" s="1" t="inlineStr">
        <ns0:is>
          <ns0:t>Dry 15min</ns0:t>
        </ns0:is>
      </ns0:c>
      <ns0:c r="F342" s="1">
        <ns0:f>+E342-M342</ns0:f>
        <ns0:v/>
      </ns0:c>
      <ns0:c r="M342" s="1">
        <ns0:f>SUM(G342:L342)</ns0:f>
        <ns0:v/>
      </ns0:c>
      <ns0:c r="N342" s="1">
        <ns0:f>M342/E342</ns0:f>
        <ns0:v/>
      </ns0:c>
      <ns0:c r="Q342" s="1">
        <ns0:f>+P342+O342+J342+I342+H342+G342</ns0:f>
        <ns0:v/>
      </ns0:c>
      <ns0:c r="R342" s="1">
        <ns0:f>+Q342/E342</ns0:f>
        <ns0:v/>
      </ns0:c>
      <ns0:c r="S342" s="1" t="inlineStr">
        <ns0:is>
          <ns0:t xml:space="preserve"> Hearing voltage up 10%</ns0:t>
        </ns0:is>
      </ns0:c>
    </ns0:row>
    <ns0:row r="343">
      <ns0:c r="G343" s="1">
        <ns0:f>+G342/M342</ns0:f>
        <ns0:v/>
      </ns0:c>
      <ns0:c r="H343" s="1">
        <ns0:f>+H342/M342</ns0:f>
        <ns0:v/>
      </ns0:c>
      <ns0:c r="I343" s="1">
        <ns0:f>+I342/M342</ns0:f>
        <ns0:v/>
      </ns0:c>
      <ns0:c r="J343" s="1">
        <ns0:f>+J342/M342</ns0:f>
        <ns0:v/>
      </ns0:c>
      <ns0:c r="K343" s="1">
        <ns0:f>+K342/M342</ns0:f>
        <ns0:v/>
      </ns0:c>
      <ns0:c r="L343" s="1">
        <ns0:f>+L342/M342</ns0:f>
        <ns0:v/>
      </ns0:c>
      <ns0:c r="O343" s="1">
        <ns0:f>+O342/Q342</ns0:f>
        <ns0:v/>
      </ns0:c>
      <ns0:c r="P343" s="1">
        <ns0:f>+P342/Q342</ns0:f>
        <ns0:v/>
      </ns0:c>
    </ns0:row>
    <ns0:row r="344">
      <ns0:c r="D344" s="1" t="inlineStr">
        <ns0:is>
          <ns0:t>Dry 10min</ns0:t>
        </ns0:is>
      </ns0:c>
      <ns0:c r="F344" s="1">
        <ns0:f>+E344-M344</ns0:f>
        <ns0:v/>
      </ns0:c>
      <ns0:c r="M344" s="1">
        <ns0:f>SUM(G344:L344)</ns0:f>
        <ns0:v/>
      </ns0:c>
      <ns0:c r="N344" s="1">
        <ns0:f>M344/E344</ns0:f>
        <ns0:v/>
      </ns0:c>
      <ns0:c r="Q344" s="1">
        <ns0:f>+P344+O344+J344+I344+H344+G344</ns0:f>
        <ns0:v/>
      </ns0:c>
      <ns0:c r="R344" s="1">
        <ns0:f>+Q344/E344</ns0:f>
        <ns0:v/>
      </ns0:c>
      <ns0:c r="S344" s="1" t="inlineStr">
        <ns0:is>
          <ns0:t xml:space="preserve"> Hearing voltage up 10%</ns0:t>
        </ns0:is>
      </ns0:c>
    </ns0:row>
    <ns0:row r="345">
      <ns0:c r="G345" s="1">
        <ns0:f>+G344/M344</ns0:f>
        <ns0:v/>
      </ns0:c>
      <ns0:c r="H345" s="1">
        <ns0:f>+H344/M344</ns0:f>
        <ns0:v/>
      </ns0:c>
      <ns0:c r="I345" s="1">
        <ns0:f>+I344/M344</ns0:f>
        <ns0:v/>
      </ns0:c>
      <ns0:c r="J345" s="1">
        <ns0:f>+J344/M344</ns0:f>
        <ns0:v/>
      </ns0:c>
      <ns0:c r="K345" s="1">
        <ns0:f>+K344/M344</ns0:f>
        <ns0:v/>
      </ns0:c>
      <ns0:c r="L345" s="1">
        <ns0:f>+L344/M344</ns0:f>
        <ns0:v/>
      </ns0:c>
      <ns0:c r="O345" s="1">
        <ns0:f>+O344/Q344</ns0:f>
        <ns0:v/>
      </ns0:c>
      <ns0:c r="P345" s="1">
        <ns0:f>+P344/Q344</ns0:f>
        <ns0:v/>
      </ns0:c>
    </ns0:row>
    <ns0:row r="346">
      <ns0:c r="D346" s="1" t="inlineStr">
        <ns0:is>
          <ns0:t>Not Dry</ns0:t>
        </ns0:is>
      </ns0:c>
      <ns0:c r="F346" s="1">
        <ns0:f>+E346-M346</ns0:f>
        <ns0:v/>
      </ns0:c>
      <ns0:c r="M346" s="1">
        <ns0:f>SUM(G346:L346)</ns0:f>
        <ns0:v/>
      </ns0:c>
      <ns0:c r="N346" s="1">
        <ns0:f>M346/E346</ns0:f>
        <ns0:v/>
      </ns0:c>
      <ns0:c r="Q346" s="1">
        <ns0:f>+P346+O346+J346+I346+H346+G346</ns0:f>
        <ns0:v/>
      </ns0:c>
      <ns0:c r="R346" s="1">
        <ns0:f>+Q346/E346</ns0:f>
        <ns0:v/>
      </ns0:c>
      <ns0:c r="S346" s="1" t="inlineStr">
        <ns0:is>
          <ns0:t xml:space="preserve"> Hearing voltage up 10%</ns0:t>
        </ns0:is>
      </ns0:c>
    </ns0:row>
    <ns0:row r="347">
      <ns0:c r="G347" s="1">
        <ns0:f>+G346/M346</ns0:f>
        <ns0:v/>
      </ns0:c>
      <ns0:c r="H347" s="1">
        <ns0:f>+H346/M346</ns0:f>
        <ns0:v/>
      </ns0:c>
      <ns0:c r="I347" s="1">
        <ns0:f>+I346/M346</ns0:f>
        <ns0:v/>
      </ns0:c>
      <ns0:c r="J347" s="1">
        <ns0:f>+J346/M346</ns0:f>
        <ns0:v/>
      </ns0:c>
      <ns0:c r="K347" s="1">
        <ns0:f>+K346/M346</ns0:f>
        <ns0:v/>
      </ns0:c>
      <ns0:c r="L347" s="1">
        <ns0:f>+L346/M346</ns0:f>
        <ns0:v/>
      </ns0:c>
      <ns0:c r="O347" s="1">
        <ns0:f>+O346/Q346</ns0:f>
        <ns0:v/>
      </ns0:c>
      <ns0:c r="P347" s="1">
        <ns0:f>+P346/Q346</ns0:f>
        <ns0:v/>
      </ns0:c>
    </ns0:row>
    <ns0:row r="348" ht="26.25" customHeight="1">
      <ns0:c r="D348" s="1" t="inlineStr">
        <ns0:is>
          <ns0:t xml:space="preserve">IR 240614037-00005 ( Date 8.7 ) </ns0:t>
        </ns0:is>
      </ns0:c>
      <ns0:c r="E348" s="1" t="n">
        <ns0:v>949</ns0:v>
      </ns0:c>
      <ns0:c r="F348" s="1">
        <ns0:f>+E348-M348</ns0:f>
        <ns0:v/>
      </ns0:c>
      <ns0:c r="G348" s="1" t="n">
        <ns0:v>0</ns0:v>
      </ns0:c>
      <ns0:c r="H348" s="1" t="n">
        <ns0:v>5</ns0:v>
      </ns0:c>
      <ns0:c r="I348" s="1" t="n">
        <ns0:v>1</ns0:v>
      </ns0:c>
      <ns0:c r="J348" s="1" t="n">
        <ns0:v>0</ns0:v>
      </ns0:c>
      <ns0:c r="K348" s="1" t="n">
        <ns0:v>17</ns0:v>
      </ns0:c>
      <ns0:c r="L348" s="1" t="n">
        <ns0:v>116</ns0:v>
      </ns0:c>
      <ns0:c r="M348" s="1">
        <ns0:f>SUM(G348:L348)</ns0:f>
        <ns0:v/>
      </ns0:c>
      <ns0:c r="N348" s="1">
        <ns0:f>M348/E348</ns0:f>
        <ns0:v/>
      </ns0:c>
      <ns0:c r="O348" s="1" t="n">
        <ns0:v>9</ns0:v>
      </ns0:c>
      <ns0:c r="P348" s="1" t="n">
        <ns0:v>73</ns0:v>
      </ns0:c>
      <ns0:c r="Q348" s="1">
        <ns0:f>+P348+O348+J348+I348+H348+G348</ns0:f>
        <ns0:v/>
      </ns0:c>
      <ns0:c r="R348" s="1">
        <ns0:f>+Q348/E348</ns0:f>
        <ns0:v/>
      </ns0:c>
      <ns0:c r="S348" s="1" t="inlineStr">
        <ns0:is>
          <ns0:t xml:space="preserve"> Hearing voltage up 10%</ns0:t>
        </ns0:is>
      </ns0:c>
    </ns0:row>
    <ns0:row r="349" ht="26.25" customHeight="1">
      <ns0:c r="G349" s="1">
        <ns0:f>+G348/M348</ns0:f>
        <ns0:v/>
      </ns0:c>
      <ns0:c r="H349" s="1">
        <ns0:f>+H348/M348</ns0:f>
        <ns0:v/>
      </ns0:c>
      <ns0:c r="I349" s="1">
        <ns0:f>+I348/M348</ns0:f>
        <ns0:v/>
      </ns0:c>
      <ns0:c r="J349" s="1">
        <ns0:f>+J348/M348</ns0:f>
        <ns0:v/>
      </ns0:c>
      <ns0:c r="K349" s="1">
        <ns0:f>+K348/M348</ns0:f>
        <ns0:v/>
      </ns0:c>
      <ns0:c r="L349" s="1">
        <ns0:f>+L348/M348</ns0:f>
        <ns0:v/>
      </ns0:c>
      <ns0:c r="O349" s="1">
        <ns0:f>+O348/Q348</ns0:f>
        <ns0:v/>
      </ns0:c>
      <ns0:c r="P349" s="1">
        <ns0:f>+P348/Q348</ns0:f>
        <ns0:v/>
      </ns0:c>
    </ns0:row>
    <ns0:row r="350" ht="26.25" customHeight="1">
      <ns0:c r="D350" s="1" t="inlineStr">
        <ns0:is>
          <ns0:t>Total</ns0:t>
        </ns0:is>
      </ns0:c>
      <ns0:c r="E350" s="1">
        <ns0:f>E338+E348</ns0:f>
        <ns0:v/>
      </ns0:c>
      <ns0:c r="F350" s="1">
        <ns0:f>F338+F348</ns0:f>
        <ns0:v/>
      </ns0:c>
      <ns0:c r="G350" s="1">
        <ns0:f>+G338+G348</ns0:f>
        <ns0:v/>
      </ns0:c>
      <ns0:c r="H350" s="1">
        <ns0:f>+H338+H348</ns0:f>
        <ns0:v/>
      </ns0:c>
      <ns0:c r="I350" s="1">
        <ns0:f>+I338+I348</ns0:f>
        <ns0:v/>
      </ns0:c>
      <ns0:c r="J350" s="1">
        <ns0:f>+J338+J348</ns0:f>
        <ns0:v/>
      </ns0:c>
      <ns0:c r="K350" s="1">
        <ns0:f>+K338+K348</ns0:f>
        <ns0:v/>
      </ns0:c>
      <ns0:c r="L350" s="1">
        <ns0:f>+L338+L348</ns0:f>
        <ns0:v/>
      </ns0:c>
      <ns0:c r="M350" s="1">
        <ns0:f>SUM(G350:L350)</ns0:f>
        <ns0:v/>
      </ns0:c>
      <ns0:c r="N350" s="1">
        <ns0:f>M350/E350</ns0:f>
        <ns0:v/>
      </ns0:c>
      <ns0:c r="O350" s="1">
        <ns0:f>+O338+O348</ns0:f>
        <ns0:v/>
      </ns0:c>
      <ns0:c r="P350" s="1">
        <ns0:f>+P338+P348</ns0:f>
        <ns0:v/>
      </ns0:c>
      <ns0:c r="Q350" s="1">
        <ns0:f>+P350+O350+J350+I350+H350+G350</ns0:f>
        <ns0:v/>
      </ns0:c>
      <ns0:c r="R350" s="1">
        <ns0:f>+Q350/E350</ns0:f>
        <ns0:v/>
      </ns0:c>
      <ns0:c r="S350" s="1" t="inlineStr">
        <ns0:is>
          <ns0:t xml:space="preserve"> Hearing voltage up 10%</ns0:t>
        </ns0:is>
      </ns0:c>
    </ns0:row>
    <ns0:row r="351" ht="23" customHeight="1">
      <ns0:c r="G351" s="1">
        <ns0:f>+G350/M350</ns0:f>
        <ns0:v/>
      </ns0:c>
      <ns0:c r="H351" s="1">
        <ns0:f>+H350/M350</ns0:f>
        <ns0:v/>
      </ns0:c>
      <ns0:c r="I351" s="1">
        <ns0:f>+I350/M350</ns0:f>
        <ns0:v/>
      </ns0:c>
      <ns0:c r="J351" s="1">
        <ns0:f>+J350/M350</ns0:f>
        <ns0:v/>
      </ns0:c>
      <ns0:c r="K351" s="1">
        <ns0:f>+K350/M350</ns0:f>
        <ns0:v/>
      </ns0:c>
      <ns0:c r="L351" s="1">
        <ns0:f>+L350/M350</ns0:f>
        <ns0:v/>
      </ns0:c>
      <ns0:c r="O351" s="1">
        <ns0:f>+O350/Q350</ns0:f>
        <ns0:v/>
      </ns0:c>
      <ns0:c r="P351" s="1">
        <ns0:f>+P350/Q350</ns0:f>
        <ns0:v/>
      </ns0:c>
    </ns0:row>
    <ns0:row r="352" ht="26.25" customHeight="1">
      <ns0:c r="B352" s="2" t="n">
        <ns0:v>45485</ns0:v>
      </ns0:c>
      <ns0:c r="C352" s="1" t="inlineStr">
        <ns0:is>
          <ns0:t>VP</ns0:t>
        </ns0:is>
      </ns0:c>
      <ns0:c r="D352" s="1" t="inlineStr">
        <ns0:is>
          <ns0:t xml:space="preserve"> IR 240627081-00003 ( B1 not press cover tape )</ns0:t>
        </ns0:is>
      </ns0:c>
      <ns0:c r="E352" s="1" t="n">
        <ns0:v>995</ns0:v>
      </ns0:c>
      <ns0:c r="F352" s="1">
        <ns0:f>+E352-M352</ns0:f>
        <ns0:v/>
      </ns0:c>
      <ns0:c r="G352" s="1" t="n">
        <ns0:v>0</ns0:v>
      </ns0:c>
      <ns0:c r="H352" s="1" t="n">
        <ns0:v>3</ns0:v>
      </ns0:c>
      <ns0:c r="I352" s="1" t="n">
        <ns0:v>0</ns0:v>
      </ns0:c>
      <ns0:c r="J352" s="1" t="n">
        <ns0:v>0</ns0:v>
      </ns0:c>
      <ns0:c r="K352" s="1" t="n">
        <ns0:v>14</ns0:v>
      </ns0:c>
      <ns0:c r="L352" s="1" t="n">
        <ns0:v>230</ns0:v>
      </ns0:c>
      <ns0:c r="M352" s="1">
        <ns0:f>SUM(G352:L352)</ns0:f>
        <ns0:v/>
      </ns0:c>
      <ns0:c r="N352" s="1">
        <ns0:f>M352/E352</ns0:f>
        <ns0:v/>
      </ns0:c>
      <ns0:c r="O352" s="1" t="n">
        <ns0:v>12</ns0:v>
      </ns0:c>
      <ns0:c r="P352" s="1" t="n">
        <ns0:v>103</ns0:v>
      </ns0:c>
      <ns0:c r="Q352" s="1">
        <ns0:f>+P352+O352+J352+I352+H352+G352</ns0:f>
        <ns0:v/>
      </ns0:c>
      <ns0:c r="R352" s="1">
        <ns0:f>+Q352/E352</ns0:f>
        <ns0:v/>
      </ns0:c>
      <ns0:c r="S352" s="1" t="inlineStr">
        <ns0:is>
          <ns0:t xml:space="preserve"> Hearing voltage up 10%</ns0:t>
        </ns0:is>
      </ns0:c>
    </ns0:row>
    <ns0:row r="353" ht="26.25" customHeight="1">
      <ns0:c r="G353" s="1">
        <ns0:f>+G352/M352</ns0:f>
        <ns0:v/>
      </ns0:c>
      <ns0:c r="H353" s="1">
        <ns0:f>+H352/M352</ns0:f>
        <ns0:v/>
      </ns0:c>
      <ns0:c r="I353" s="1">
        <ns0:f>+I352/M352</ns0:f>
        <ns0:v/>
      </ns0:c>
      <ns0:c r="J353" s="1">
        <ns0:f>+J352/M352</ns0:f>
        <ns0:v/>
      </ns0:c>
      <ns0:c r="K353" s="1">
        <ns0:f>+K352/M352</ns0:f>
        <ns0:v/>
      </ns0:c>
      <ns0:c r="L353" s="1">
        <ns0:f>+L352/M352</ns0:f>
        <ns0:v/>
      </ns0:c>
      <ns0:c r="O353" s="1">
        <ns0:f>+O352/Q352</ns0:f>
        <ns0:v/>
      </ns0:c>
      <ns0:c r="P353" s="1">
        <ns0:f>+P352/Q352</ns0:f>
        <ns0:v/>
      </ns0:c>
    </ns0:row>
    <ns0:row r="354" ht="26.25" customHeight="1">
      <ns0:c r="D354" s="1" t="inlineStr">
        <ns0:is>
          <ns0:t>Normal</ns0:t>
        </ns0:is>
      </ns0:c>
      <ns0:c r="E354" s="1" t="n">
        <ns0:v>730</ns0:v>
      </ns0:c>
      <ns0:c r="F354" s="1">
        <ns0:f>+E354-M354</ns0:f>
        <ns0:v/>
      </ns0:c>
      <ns0:c r="G354" s="1" t="n">
        <ns0:v>0</ns0:v>
      </ns0:c>
      <ns0:c r="H354" s="1" t="n">
        <ns0:v>4</ns0:v>
      </ns0:c>
      <ns0:c r="I354" s="1" t="n">
        <ns0:v>3</ns0:v>
      </ns0:c>
      <ns0:c r="J354" s="1" t="n">
        <ns0:v>0</ns0:v>
      </ns0:c>
      <ns0:c r="K354" s="1" t="n">
        <ns0:v>10</ns0:v>
      </ns0:c>
      <ns0:c r="L354" s="1" t="n">
        <ns0:v>72</ns0:v>
      </ns0:c>
      <ns0:c r="M354" s="1">
        <ns0:f>SUM(G354:L354)</ns0:f>
        <ns0:v/>
      </ns0:c>
      <ns0:c r="N354" s="1">
        <ns0:f>M354/E354</ns0:f>
        <ns0:v/>
      </ns0:c>
      <ns0:c r="O354" s="1" t="n">
        <ns0:v>7</ns0:v>
      </ns0:c>
      <ns0:c r="P354" s="1" t="n">
        <ns0:v>41</ns0:v>
      </ns0:c>
      <ns0:c r="Q354" s="1">
        <ns0:f>+P354+O354+J354+I354+H354+G354</ns0:f>
        <ns0:v/>
      </ns0:c>
      <ns0:c r="R354" s="1">
        <ns0:f>+Q354/E354</ns0:f>
        <ns0:v/>
      </ns0:c>
      <ns0:c r="S354" s="1" t="inlineStr">
        <ns0:is>
          <ns0:t xml:space="preserve"> Hearing voltage up 10%</ns0:t>
        </ns0:is>
      </ns0:c>
    </ns0:row>
    <ns0:row r="355" ht="26.25" customHeight="1">
      <ns0:c r="G355" s="1">
        <ns0:f>+G354/M354</ns0:f>
        <ns0:v/>
      </ns0:c>
      <ns0:c r="H355" s="1">
        <ns0:f>+H354/M354</ns0:f>
        <ns0:v/>
      </ns0:c>
      <ns0:c r="I355" s="1">
        <ns0:f>+I354/M354</ns0:f>
        <ns0:v/>
      </ns0:c>
      <ns0:c r="J355" s="1">
        <ns0:f>+J354/M354</ns0:f>
        <ns0:v/>
      </ns0:c>
      <ns0:c r="K355" s="1">
        <ns0:f>+K354/M354</ns0:f>
        <ns0:v/>
      </ns0:c>
      <ns0:c r="L355" s="1">
        <ns0:f>+L354/M354</ns0:f>
        <ns0:v/>
      </ns0:c>
      <ns0:c r="O355" s="1">
        <ns0:f>+O354/Q354</ns0:f>
        <ns0:v/>
      </ns0:c>
      <ns0:c r="P355" s="1">
        <ns0:f>+P354/Q354</ns0:f>
        <ns0:v/>
      </ns0:c>
    </ns0:row>
    <ns0:row r="356" ht="26.25" customHeight="1">
      <ns0:c r="C356" s="1" t="inlineStr">
        <ns0:is>
          <ns0:t>TEST Dry final SPK</ns0:t>
        </ns0:is>
      </ns0:c>
      <ns0:c r="D356" s="1" t="inlineStr">
        <ns0:is>
          <ns0:t>Dry 50do-30min</ns0:t>
        </ns0:is>
      </ns0:c>
      <ns0:c r="E356" s="1" t="n">
        <ns0:v>200</ns0:v>
      </ns0:c>
      <ns0:c r="F356" s="1">
        <ns0:f>+E356-M356</ns0:f>
        <ns0:v/>
      </ns0:c>
      <ns0:c r="G356" s="1" t="n">
        <ns0:v>0</ns0:v>
      </ns0:c>
      <ns0:c r="H356" s="1" t="n">
        <ns0:v>0</ns0:v>
      </ns0:c>
      <ns0:c r="I356" s="1" t="n">
        <ns0:v>1</ns0:v>
      </ns0:c>
      <ns0:c r="J356" s="1" t="n">
        <ns0:v>0</ns0:v>
      </ns0:c>
      <ns0:c r="K356" s="1" t="n">
        <ns0:v>7</ns0:v>
      </ns0:c>
      <ns0:c r="L356" s="1" t="n">
        <ns0:v>11</ns0:v>
      </ns0:c>
      <ns0:c r="M356" s="1">
        <ns0:f>SUM(G356:L356)</ns0:f>
        <ns0:v/>
      </ns0:c>
      <ns0:c r="N356" s="1">
        <ns0:f>M356/E356</ns0:f>
        <ns0:v/>
      </ns0:c>
      <ns0:c r="O356" s="1" t="n">
        <ns0:v>6</ns0:v>
      </ns0:c>
      <ns0:c r="P356" s="1" t="n">
        <ns0:v>1</ns0:v>
      </ns0:c>
      <ns0:c r="Q356" s="1">
        <ns0:f>+P356+O356+J356+I356+H356+G356</ns0:f>
        <ns0:v/>
      </ns0:c>
      <ns0:c r="R356" s="1">
        <ns0:f>+Q356/E356</ns0:f>
        <ns0:v/>
      </ns0:c>
      <ns0:c r="S356" s="1" t="inlineStr">
        <ns0:is>
          <ns0:t xml:space="preserve"> Hearing voltage up 10%</ns0:t>
        </ns0:is>
      </ns0:c>
    </ns0:row>
    <ns0:row r="357" ht="26.25" customHeight="1">
      <ns0:c r="G357" s="1">
        <ns0:f>+G356/M356</ns0:f>
        <ns0:v/>
      </ns0:c>
      <ns0:c r="H357" s="1">
        <ns0:f>+H356/M356</ns0:f>
        <ns0:v/>
      </ns0:c>
      <ns0:c r="I357" s="1">
        <ns0:f>+I356/M356</ns0:f>
        <ns0:v/>
      </ns0:c>
      <ns0:c r="J357" s="1">
        <ns0:f>+J356/M356</ns0:f>
        <ns0:v/>
      </ns0:c>
      <ns0:c r="K357" s="1">
        <ns0:f>+K356/M356</ns0:f>
        <ns0:v/>
      </ns0:c>
      <ns0:c r="L357" s="1">
        <ns0:f>+L356/M356</ns0:f>
        <ns0:v/>
      </ns0:c>
      <ns0:c r="O357" s="1">
        <ns0:f>+O356/Q356</ns0:f>
        <ns0:v/>
      </ns0:c>
      <ns0:c r="P357" s="1">
        <ns0:f>+P356/Q356</ns0:f>
        <ns0:v/>
      </ns0:c>
    </ns0:row>
    <ns0:row r="358" ht="26.25" customHeight="1">
      <ns0:c r="D358" s="1" t="inlineStr">
        <ns0:is>
          <ns0:t>Dry 65do-30min</ns0:t>
        </ns0:is>
      </ns0:c>
      <ns0:c r="E358" s="1" t="n">
        <ns0:v>199</ns0:v>
      </ns0:c>
      <ns0:c r="F358" s="1">
        <ns0:f>+E358-M358</ns0:f>
        <ns0:v/>
      </ns0:c>
      <ns0:c r="G358" s="1" t="n">
        <ns0:v>0</ns0:v>
      </ns0:c>
      <ns0:c r="H358" s="1" t="n">
        <ns0:v>0</ns0:v>
      </ns0:c>
      <ns0:c r="I358" s="1" t="n">
        <ns0:v>1</ns0:v>
      </ns0:c>
      <ns0:c r="J358" s="1" t="n">
        <ns0:v>0</ns0:v>
      </ns0:c>
      <ns0:c r="K358" s="1" t="n">
        <ns0:v>6</ns0:v>
      </ns0:c>
      <ns0:c r="L358" s="1" t="n">
        <ns0:v>28</ns0:v>
      </ns0:c>
      <ns0:c r="M358" s="1">
        <ns0:f>SUM(G358:L358)</ns0:f>
        <ns0:v/>
      </ns0:c>
      <ns0:c r="N358" s="1">
        <ns0:f>M358/E358</ns0:f>
        <ns0:v/>
      </ns0:c>
      <ns0:c r="O358" s="1" t="n">
        <ns0:v>6</ns0:v>
      </ns0:c>
      <ns0:c r="P358" s="1" t="n">
        <ns0:v>7</ns0:v>
      </ns0:c>
      <ns0:c r="Q358" s="1">
        <ns0:f>+P358+O358+J358+I358+H358+G358</ns0:f>
        <ns0:v/>
      </ns0:c>
      <ns0:c r="R358" s="1">
        <ns0:f>+Q358/E358</ns0:f>
        <ns0:v/>
      </ns0:c>
      <ns0:c r="S358" s="1" t="inlineStr">
        <ns0:is>
          <ns0:t xml:space="preserve"> Hearing voltage up 10%</ns0:t>
        </ns0:is>
      </ns0:c>
    </ns0:row>
    <ns0:row r="359" ht="26.25" customHeight="1">
      <ns0:c r="G359" s="1">
        <ns0:f>+G358/M358</ns0:f>
        <ns0:v/>
      </ns0:c>
      <ns0:c r="H359" s="1">
        <ns0:f>+H358/M358</ns0:f>
        <ns0:v/>
      </ns0:c>
      <ns0:c r="I359" s="1">
        <ns0:f>+I358/M358</ns0:f>
        <ns0:v/>
      </ns0:c>
      <ns0:c r="J359" s="1">
        <ns0:f>+J358/M358</ns0:f>
        <ns0:v/>
      </ns0:c>
      <ns0:c r="K359" s="1">
        <ns0:f>+K358/M358</ns0:f>
        <ns0:v/>
      </ns0:c>
      <ns0:c r="L359" s="1">
        <ns0:f>+L358/M358</ns0:f>
        <ns0:v/>
      </ns0:c>
      <ns0:c r="O359" s="1">
        <ns0:f>+O358/Q358</ns0:f>
        <ns0:v/>
      </ns0:c>
      <ns0:c r="P359" s="1">
        <ns0:f>+P358/Q358</ns0:f>
        <ns0:v/>
      </ns0:c>
    </ns0:row>
    <ns0:row r="360" ht="26.25" customHeight="1">
      <ns0:c r="D360" s="1" t="inlineStr">
        <ns0:is>
          <ns0:t>Normal (80do)</ns0:t>
        </ns0:is>
      </ns0:c>
      <ns0:c r="E360" s="1" t="n">
        <ns0:v>793</ns0:v>
      </ns0:c>
      <ns0:c r="F360" s="1">
        <ns0:f>+E360-M360</ns0:f>
        <ns0:v/>
      </ns0:c>
      <ns0:c r="G360" s="1" t="n">
        <ns0:v>0</ns0:v>
      </ns0:c>
      <ns0:c r="H360" s="1" t="n">
        <ns0:v>1</ns0:v>
      </ns0:c>
      <ns0:c r="I360" s="1" t="n">
        <ns0:v>0</ns0:v>
      </ns0:c>
      <ns0:c r="J360" s="1" t="n">
        <ns0:v>0</ns0:v>
      </ns0:c>
      <ns0:c r="K360" s="1" t="n">
        <ns0:v>19</ns0:v>
      </ns0:c>
      <ns0:c r="L360" s="1" t="n">
        <ns0:v>69</ns0:v>
      </ns0:c>
      <ns0:c r="M360" s="1">
        <ns0:f>SUM(G360:L360)</ns0:f>
        <ns0:v/>
      </ns0:c>
      <ns0:c r="N360" s="1">
        <ns0:f>M360/E360</ns0:f>
        <ns0:v/>
      </ns0:c>
      <ns0:c r="O360" s="1" t="n">
        <ns0:v>15</ns0:v>
      </ns0:c>
      <ns0:c r="P360" s="1" t="n">
        <ns0:v>37</ns0:v>
      </ns0:c>
      <ns0:c r="Q360" s="1">
        <ns0:f>+P360+O360+J360+I360+H360+G360</ns0:f>
        <ns0:v/>
      </ns0:c>
      <ns0:c r="R360" s="1">
        <ns0:f>+Q360/E360</ns0:f>
        <ns0:v/>
      </ns0:c>
      <ns0:c r="S360" s="1" t="inlineStr">
        <ns0:is>
          <ns0:t xml:space="preserve"> Hearing voltage up 10%</ns0:t>
        </ns0:is>
      </ns0:c>
    </ns0:row>
    <ns0:row r="361" ht="26.25" customHeight="1">
      <ns0:c r="G361" s="1">
        <ns0:f>+G360/M360</ns0:f>
        <ns0:v/>
      </ns0:c>
      <ns0:c r="H361" s="1">
        <ns0:f>+H360/M360</ns0:f>
        <ns0:v/>
      </ns0:c>
      <ns0:c r="I361" s="1">
        <ns0:f>+I360/M360</ns0:f>
        <ns0:v/>
      </ns0:c>
      <ns0:c r="J361" s="1">
        <ns0:f>+J360/M360</ns0:f>
        <ns0:v/>
      </ns0:c>
      <ns0:c r="K361" s="1">
        <ns0:f>+K360/M360</ns0:f>
        <ns0:v/>
      </ns0:c>
      <ns0:c r="L361" s="1">
        <ns0:f>+L360/M360</ns0:f>
        <ns0:v/>
      </ns0:c>
      <ns0:c r="O361" s="1">
        <ns0:f>+O360/Q360</ns0:f>
        <ns0:v/>
      </ns0:c>
      <ns0:c r="P361" s="1">
        <ns0:f>+P360/Q360</ns0:f>
        <ns0:v/>
      </ns0:c>
    </ns0:row>
    <ns0:row r="362" ht="26.25" customHeight="1">
      <ns0:c r="C362" s="1" t="inlineStr">
        <ns0:is>
          <ns0:t>Frame + Yoke</ns0:t>
        </ns0:is>
      </ns0:c>
      <ns0:c r="D362" s="1" t="inlineStr">
        <ns0:is>
          <ns0:t>Asss'y frame + yoke by hand ( not bonding )</ns0:t>
        </ns0:is>
      </ns0:c>
      <ns0:c r="E362" s="1" t="n">
        <ns0:v>100</ns0:v>
      </ns0:c>
      <ns0:c r="F362" s="1">
        <ns0:f>+E362-M362</ns0:f>
        <ns0:v/>
      </ns0:c>
      <ns0:c r="G362" s="1" t="n">
        <ns0:v>0</ns0:v>
      </ns0:c>
      <ns0:c r="H362" s="1" t="n">
        <ns0:v>0</ns0:v>
      </ns0:c>
      <ns0:c r="I362" s="1" t="n">
        <ns0:v>0</ns0:v>
      </ns0:c>
      <ns0:c r="J362" s="1" t="n">
        <ns0:v>0</ns0:v>
      </ns0:c>
      <ns0:c r="K362" s="1" t="n">
        <ns0:v>2</ns0:v>
      </ns0:c>
      <ns0:c r="L362" s="1" t="n">
        <ns0:v>11</ns0:v>
      </ns0:c>
      <ns0:c r="M362" s="1">
        <ns0:f>SUM(G362:L362)</ns0:f>
        <ns0:v/>
      </ns0:c>
      <ns0:c r="N362" s="1">
        <ns0:f>M362/E362</ns0:f>
        <ns0:v/>
      </ns0:c>
      <ns0:c r="O362" s="1" t="n">
        <ns0:v>1</ns0:v>
      </ns0:c>
      <ns0:c r="P362" s="1" t="n">
        <ns0:v>5</ns0:v>
      </ns0:c>
      <ns0:c r="Q362" s="1">
        <ns0:f>+P362+O362+J362+I362+H362+G362</ns0:f>
        <ns0:v/>
      </ns0:c>
      <ns0:c r="R362" s="1">
        <ns0:f>+Q362/E362</ns0:f>
        <ns0:v/>
      </ns0:c>
      <ns0:c r="S362" s="1" t="inlineStr">
        <ns0:is>
          <ns0:t xml:space="preserve"> Hearing voltage up 10%</ns0:t>
        </ns0:is>
      </ns0:c>
    </ns0:row>
    <ns0:row r="363" ht="26.25" customHeight="1">
      <ns0:c r="G363" s="1">
        <ns0:f>+G362/M362</ns0:f>
        <ns0:v/>
      </ns0:c>
      <ns0:c r="H363" s="1">
        <ns0:f>+H362/M362</ns0:f>
        <ns0:v/>
      </ns0:c>
      <ns0:c r="I363" s="1">
        <ns0:f>+I362/M362</ns0:f>
        <ns0:v/>
      </ns0:c>
      <ns0:c r="J363" s="1">
        <ns0:f>+J362/M362</ns0:f>
        <ns0:v/>
      </ns0:c>
      <ns0:c r="K363" s="1">
        <ns0:f>+K362/M362</ns0:f>
        <ns0:v/>
      </ns0:c>
      <ns0:c r="L363" s="1">
        <ns0:f>+L362/M362</ns0:f>
        <ns0:v/>
      </ns0:c>
      <ns0:c r="O363" s="1">
        <ns0:f>+O362/Q362</ns0:f>
        <ns0:v/>
      </ns0:c>
      <ns0:c r="P363" s="1">
        <ns0:f>+P362/Q362</ns0:f>
        <ns0:v/>
      </ns0:c>
    </ns0:row>
    <ns0:row r="364" ht="26.25" customHeight="1">
      <ns0:c r="C364" s="1" t="inlineStr">
        <ns0:is>
          <ns0:t>Normal</ns0:t>
        </ns0:is>
      </ns0:c>
      <ns0:c r="E364" s="1" t="n">
        <ns0:v>797</ns0:v>
      </ns0:c>
      <ns0:c r="F364" s="1">
        <ns0:f>+E364-M364</ns0:f>
        <ns0:v/>
      </ns0:c>
      <ns0:c r="G364" s="1" t="n">
        <ns0:v>0</ns0:v>
      </ns0:c>
      <ns0:c r="H364" s="1" t="n">
        <ns0:v>2</ns0:v>
      </ns0:c>
      <ns0:c r="I364" s="1" t="n">
        <ns0:v>0</ns0:v>
      </ns0:c>
      <ns0:c r="J364" s="1" t="n">
        <ns0:v>0</ns0:v>
      </ns0:c>
      <ns0:c r="K364" s="1" t="n">
        <ns0:v>17</ns0:v>
      </ns0:c>
      <ns0:c r="L364" s="1" t="n">
        <ns0:v>137</ns0:v>
      </ns0:c>
      <ns0:c r="M364" s="1">
        <ns0:f>SUM(G364:L364)</ns0:f>
        <ns0:v/>
      </ns0:c>
      <ns0:c r="N364" s="1">
        <ns0:f>M364/E364</ns0:f>
        <ns0:v/>
      </ns0:c>
      <ns0:c r="O364" s="1" t="n">
        <ns0:v>12</ns0:v>
      </ns0:c>
      <ns0:c r="P364" s="1" t="n">
        <ns0:v>63</ns0:v>
      </ns0:c>
      <ns0:c r="Q364" s="1">
        <ns0:f>+P364+O364+J364+I364+H364+G364</ns0:f>
        <ns0:v/>
      </ns0:c>
      <ns0:c r="R364" s="1">
        <ns0:f>+Q364/E364</ns0:f>
        <ns0:v/>
      </ns0:c>
      <ns0:c r="S364" s="1" t="inlineStr">
        <ns0:is>
          <ns0:t xml:space="preserve"> Hearing voltage up 10%</ns0:t>
        </ns0:is>
      </ns0:c>
    </ns0:row>
    <ns0:row r="365" ht="26.25" customHeight="1">
      <ns0:c r="G365" s="1">
        <ns0:f>+G364/M364</ns0:f>
        <ns0:v/>
      </ns0:c>
      <ns0:c r="H365" s="1">
        <ns0:f>+H364/M364</ns0:f>
        <ns0:v/>
      </ns0:c>
      <ns0:c r="I365" s="1">
        <ns0:f>+I364/M364</ns0:f>
        <ns0:v/>
      </ns0:c>
      <ns0:c r="J365" s="1">
        <ns0:f>+J364/M364</ns0:f>
        <ns0:v/>
      </ns0:c>
      <ns0:c r="K365" s="1">
        <ns0:f>+K364/M364</ns0:f>
        <ns0:v/>
      </ns0:c>
      <ns0:c r="L365" s="1">
        <ns0:f>+L364/M364</ns0:f>
        <ns0:v/>
      </ns0:c>
      <ns0:c r="O365" s="1">
        <ns0:f>+O364/Q364</ns0:f>
        <ns0:v/>
      </ns0:c>
      <ns0:c r="P365" s="1">
        <ns0:f>+P364/Q364</ns0:f>
        <ns0:v/>
      </ns0:c>
    </ns0:row>
    <ns0:row r="366" ht="26.25" customHeight="1">
      <ns0:c r="B366" s="2" t="n">
        <ns0:v>45486</ns0:v>
      </ns0:c>
      <ns0:c r="C366" s="1" t="inlineStr">
        <ns0:is>
          <ns0:t>Drying Frame + VP 1st</ns0:t>
        </ns0:is>
      </ns0:c>
      <ns0:c r="D366" s="1" t="inlineStr">
        <ns0:is>
          <ns0:t xml:space="preserve">Temperature 50 ⁰C  </ns0:t>
        </ns0:is>
      </ns0:c>
      <ns0:c r="E366" s="1" t="n">
        <ns0:v>366</ns0:v>
      </ns0:c>
      <ns0:c r="F366" s="1">
        <ns0:f>+E366-M366</ns0:f>
        <ns0:v/>
      </ns0:c>
      <ns0:c r="G366" s="1" t="n">
        <ns0:v>1</ns0:v>
      </ns0:c>
      <ns0:c r="H366" s="1" t="n">
        <ns0:v>1</ns0:v>
      </ns0:c>
      <ns0:c r="I366" s="1" t="n">
        <ns0:v>0</ns0:v>
      </ns0:c>
      <ns0:c r="J366" s="1" t="n">
        <ns0:v>0</ns0:v>
      </ns0:c>
      <ns0:c r="K366" s="1" t="n">
        <ns0:v>11</ns0:v>
      </ns0:c>
      <ns0:c r="L366" s="1" t="n">
        <ns0:v>34</ns0:v>
      </ns0:c>
      <ns0:c r="M366" s="1">
        <ns0:f>SUM(G366:L366)</ns0:f>
        <ns0:v/>
      </ns0:c>
      <ns0:c r="N366" s="1">
        <ns0:f>M366/E366</ns0:f>
        <ns0:v/>
      </ns0:c>
      <ns0:c r="O366" s="1" t="n">
        <ns0:v>4</ns0:v>
      </ns0:c>
      <ns0:c r="P366" s="1" t="n">
        <ns0:v>7</ns0:v>
      </ns0:c>
      <ns0:c r="Q366" s="1">
        <ns0:f>+P366+O366+J366+I366+H366+G366</ns0:f>
        <ns0:v/>
      </ns0:c>
      <ns0:c r="R366" s="1">
        <ns0:f>+Q366/E366</ns0:f>
        <ns0:v/>
      </ns0:c>
    </ns0:row>
    <ns0:row r="367" ht="26.25" customHeight="1">
      <ns0:c r="G367" s="1">
        <ns0:f>+G366/M366</ns0:f>
        <ns0:v/>
      </ns0:c>
      <ns0:c r="H367" s="1">
        <ns0:f>+H366/M366</ns0:f>
        <ns0:v/>
      </ns0:c>
      <ns0:c r="I367" s="1">
        <ns0:f>+I366/M366</ns0:f>
        <ns0:v/>
      </ns0:c>
      <ns0:c r="J367" s="1">
        <ns0:f>+J366/M366</ns0:f>
        <ns0:v/>
      </ns0:c>
      <ns0:c r="K367" s="1">
        <ns0:f>+K366/M366</ns0:f>
        <ns0:v/>
      </ns0:c>
      <ns0:c r="L367" s="1">
        <ns0:f>+L366/M366</ns0:f>
        <ns0:v/>
      </ns0:c>
      <ns0:c r="O367" s="1">
        <ns0:f>+O366/Q366</ns0:f>
        <ns0:v/>
      </ns0:c>
      <ns0:c r="P367" s="1">
        <ns0:f>+P366/Q366</ns0:f>
        <ns0:v/>
      </ns0:c>
    </ns0:row>
    <ns0:row r="368" ht="26.25" customHeight="1">
      <ns0:c r="C368" s="1" t="inlineStr">
        <ns0:is>
          <ns0:t>Normal (  Temperature 75 ⁰C ~ 85⁰C )</ns0:t>
        </ns0:is>
      </ns0:c>
      <ns0:c r="E368" s="1" t="n">
        <ns0:v>796</ns0:v>
      </ns0:c>
      <ns0:c r="F368" s="1">
        <ns0:f>+E368-M368</ns0:f>
        <ns0:v/>
      </ns0:c>
      <ns0:c r="G368" s="1" t="n">
        <ns0:v>0</ns0:v>
      </ns0:c>
      <ns0:c r="H368" s="1" t="n">
        <ns0:v>5</ns0:v>
      </ns0:c>
      <ns0:c r="I368" s="1" t="n">
        <ns0:v>0</ns0:v>
      </ns0:c>
      <ns0:c r="J368" s="1" t="n">
        <ns0:v>0</ns0:v>
      </ns0:c>
      <ns0:c r="K368" s="1" t="n">
        <ns0:v>3</ns0:v>
      </ns0:c>
      <ns0:c r="L368" s="1" t="n">
        <ns0:v>162</ns0:v>
      </ns0:c>
      <ns0:c r="M368" s="1">
        <ns0:f>SUM(G368:L368)</ns0:f>
        <ns0:v/>
      </ns0:c>
      <ns0:c r="N368" s="1">
        <ns0:f>M368/E368</ns0:f>
        <ns0:v/>
      </ns0:c>
      <ns0:c r="O368" s="1" t="n">
        <ns0:v>7</ns0:v>
      </ns0:c>
      <ns0:c r="P368" s="1" t="n">
        <ns0:v>79</ns0:v>
      </ns0:c>
      <ns0:c r="Q368" s="1">
        <ns0:f>+P368+O368+J368+I368+H368+G368</ns0:f>
        <ns0:v/>
      </ns0:c>
      <ns0:c r="R368" s="1">
        <ns0:f>+Q368/E368</ns0:f>
        <ns0:v/>
      </ns0:c>
    </ns0:row>
    <ns0:row r="369" ht="26.25" customHeight="1">
      <ns0:c r="G369" s="1">
        <ns0:f>+G368/M368</ns0:f>
        <ns0:v/>
      </ns0:c>
      <ns0:c r="H369" s="1">
        <ns0:f>+H368/M368</ns0:f>
        <ns0:v/>
      </ns0:c>
      <ns0:c r="I369" s="1">
        <ns0:f>+I368/M368</ns0:f>
        <ns0:v/>
      </ns0:c>
      <ns0:c r="J369" s="1">
        <ns0:f>+J368/M368</ns0:f>
        <ns0:v/>
      </ns0:c>
      <ns0:c r="K369" s="1">
        <ns0:f>+K368/M368</ns0:f>
        <ns0:v/>
      </ns0:c>
      <ns0:c r="L369" s="1">
        <ns0:f>+L368/M368</ns0:f>
        <ns0:v/>
      </ns0:c>
      <ns0:c r="O369" s="1">
        <ns0:f>+O368/Q368</ns0:f>
        <ns0:v/>
      </ns0:c>
      <ns0:c r="P369" s="1">
        <ns0:f>+P368/Q368</ns0:f>
        <ns0:v/>
      </ns0:c>
    </ns0:row>
    <ns0:row r="370" ht="26.25" customHeight="1">
      <ns0:c r="B370" s="2" t="n">
        <ns0:v>45488</ns0:v>
      </ns0:c>
      <ns0:c r="C370" s="1" t="inlineStr">
        <ns0:is>
          <ns0:t>Drying Frame + VP 2nd</ns0:t>
        </ns0:is>
      </ns0:c>
      <ns0:c r="D370" s="1" t="inlineStr">
        <ns0:is>
          <ns0:t xml:space="preserve">Temperature 50 ⁰C  </ns0:t>
        </ns0:is>
      </ns0:c>
      <ns0:c r="E370" s="1" t="n">
        <ns0:v>767</ns0:v>
      </ns0:c>
      <ns0:c r="F370" s="1">
        <ns0:f>+E370-M370</ns0:f>
        <ns0:v/>
      </ns0:c>
      <ns0:c r="G370" s="1" t="n">
        <ns0:v>0</ns0:v>
      </ns0:c>
      <ns0:c r="H370" s="1" t="n">
        <ns0:v>6</ns0:v>
      </ns0:c>
      <ns0:c r="I370" s="1" t="n">
        <ns0:v>0</ns0:v>
      </ns0:c>
      <ns0:c r="J370" s="1" t="n">
        <ns0:v>0</ns0:v>
      </ns0:c>
      <ns0:c r="K370" s="1" t="n">
        <ns0:v>17</ns0:v>
      </ns0:c>
      <ns0:c r="L370" s="1" t="n">
        <ns0:v>283</ns0:v>
      </ns0:c>
      <ns0:c r="M370" s="1">
        <ns0:f>SUM(G370:L370)</ns0:f>
        <ns0:v/>
      </ns0:c>
      <ns0:c r="N370" s="1">
        <ns0:f>M370/E370</ns0:f>
        <ns0:v/>
      </ns0:c>
      <ns0:c r="O370" s="1" t="n">
        <ns0:v>15</ns0:v>
      </ns0:c>
      <ns0:c r="P370" s="1" t="n">
        <ns0:v>150</ns0:v>
      </ns0:c>
      <ns0:c r="Q370" s="1">
        <ns0:f>+P370+O370+J370+I370+H370+G370</ns0:f>
        <ns0:v/>
      </ns0:c>
      <ns0:c r="R370" s="1">
        <ns0:f>+Q370/E370</ns0:f>
        <ns0:v/>
      </ns0:c>
    </ns0:row>
    <ns0:row r="371" ht="26.25" customHeight="1">
      <ns0:c r="G371" s="1">
        <ns0:f>+G370/M370</ns0:f>
        <ns0:v/>
      </ns0:c>
      <ns0:c r="H371" s="1">
        <ns0:f>+H370/M370</ns0:f>
        <ns0:v/>
      </ns0:c>
      <ns0:c r="I371" s="1">
        <ns0:f>+I370/M370</ns0:f>
        <ns0:v/>
      </ns0:c>
      <ns0:c r="J371" s="1">
        <ns0:f>+J370/M370</ns0:f>
        <ns0:v/>
      </ns0:c>
      <ns0:c r="K371" s="1">
        <ns0:f>+K370/M370</ns0:f>
        <ns0:v/>
      </ns0:c>
      <ns0:c r="L371" s="1">
        <ns0:f>+L370/M370</ns0:f>
        <ns0:v/>
      </ns0:c>
      <ns0:c r="O371" s="1">
        <ns0:f>+O370/Q370</ns0:f>
        <ns0:v/>
      </ns0:c>
      <ns0:c r="P371" s="1">
        <ns0:f>+P370/Q370</ns0:f>
        <ns0:v/>
      </ns0:c>
    </ns0:row>
    <ns0:row r="372" ht="26.25" customHeight="1">
      <ns0:c r="C372" s="1" t="inlineStr">
        <ns0:is>
          <ns0:t>Normal (  Temperature 75 ⁰C ~ 85⁰C )</ns0:t>
        </ns0:is>
      </ns0:c>
      <ns0:c r="E372" s="1" t="n">
        <ns0:v>487</ns0:v>
      </ns0:c>
      <ns0:c r="F372" s="1">
        <ns0:f>+E372-M372</ns0:f>
        <ns0:v/>
      </ns0:c>
      <ns0:c r="G372" s="1" t="n">
        <ns0:v>0</ns0:v>
      </ns0:c>
      <ns0:c r="H372" s="1" t="n">
        <ns0:v>4</ns0:v>
      </ns0:c>
      <ns0:c r="I372" s="1" t="n">
        <ns0:v>0</ns0:v>
      </ns0:c>
      <ns0:c r="J372" s="1" t="n">
        <ns0:v>0</ns0:v>
      </ns0:c>
      <ns0:c r="K372" s="1" t="n">
        <ns0:v>13</ns0:v>
      </ns0:c>
      <ns0:c r="L372" s="1" t="n">
        <ns0:v>86</ns0:v>
      </ns0:c>
      <ns0:c r="M372" s="1">
        <ns0:f>SUM(G372:L372)</ns0:f>
        <ns0:v/>
      </ns0:c>
      <ns0:c r="N372" s="1">
        <ns0:f>M372/E372</ns0:f>
        <ns0:v/>
      </ns0:c>
      <ns0:c r="O372" s="1" t="n">
        <ns0:v>9</ns0:v>
      </ns0:c>
      <ns0:c r="P372" s="1" t="n">
        <ns0:v>37</ns0:v>
      </ns0:c>
      <ns0:c r="Q372" s="1">
        <ns0:f>+P372+O372+J372+I372+H372+G372</ns0:f>
        <ns0:v/>
      </ns0:c>
      <ns0:c r="R372" s="1">
        <ns0:f>+Q372/E372</ns0:f>
        <ns0:v/>
      </ns0:c>
    </ns0:row>
    <ns0:row r="373" ht="26.25" customHeight="1">
      <ns0:c r="G373" s="1">
        <ns0:f>+G372/M372</ns0:f>
        <ns0:v/>
      </ns0:c>
      <ns0:c r="H373" s="1">
        <ns0:f>+H372/M372</ns0:f>
        <ns0:v/>
      </ns0:c>
      <ns0:c r="I373" s="1">
        <ns0:f>+I372/M372</ns0:f>
        <ns0:v/>
      </ns0:c>
      <ns0:c r="J373" s="1">
        <ns0:f>+J372/M372</ns0:f>
        <ns0:v/>
      </ns0:c>
      <ns0:c r="K373" s="1">
        <ns0:f>+K372/M372</ns0:f>
        <ns0:v/>
      </ns0:c>
      <ns0:c r="L373" s="1">
        <ns0:f>+L372/M372</ns0:f>
        <ns0:v/>
      </ns0:c>
      <ns0:c r="O373" s="1">
        <ns0:f>+O372/Q372</ns0:f>
        <ns0:v/>
      </ns0:c>
      <ns0:c r="P373" s="1">
        <ns0:f>+P372/Q372</ns0:f>
        <ns0:v/>
      </ns0:c>
    </ns0:row>
    <ns0:row r="374" ht="26.25" customHeight="1">
      <ns0:c r="C374" s="1" t="inlineStr">
        <ns0:is>
          <ns0:t xml:space="preserve">Total Test </ns0:t>
        </ns0:is>
      </ns0:c>
      <ns0:c r="E374" s="1">
        <ns0:f>+E366+E370</ns0:f>
        <ns0:v/>
      </ns0:c>
      <ns0:c r="F374" s="1">
        <ns0:f>+F366+F370</ns0:f>
        <ns0:v/>
      </ns0:c>
      <ns0:c r="G374" s="1">
        <ns0:f>+G366+G370</ns0:f>
        <ns0:v/>
      </ns0:c>
      <ns0:c r="H374" s="1">
        <ns0:f>+H366+H370</ns0:f>
        <ns0:v/>
      </ns0:c>
      <ns0:c r="I374" s="1">
        <ns0:f>+I366+I370</ns0:f>
        <ns0:v/>
      </ns0:c>
      <ns0:c r="J374" s="1">
        <ns0:f>+J366+J370</ns0:f>
        <ns0:v/>
      </ns0:c>
      <ns0:c r="K374" s="1">
        <ns0:f>+K366+K370</ns0:f>
        <ns0:v/>
      </ns0:c>
      <ns0:c r="L374" s="1">
        <ns0:f>+L366+L370</ns0:f>
        <ns0:v/>
      </ns0:c>
      <ns0:c r="M374" s="1">
        <ns0:f>SUM(G374:L374)</ns0:f>
        <ns0:v/>
      </ns0:c>
      <ns0:c r="N374" s="1">
        <ns0:f>M374/E374</ns0:f>
        <ns0:v/>
      </ns0:c>
      <ns0:c r="O374" s="1">
        <ns0:f>+O366+O370</ns0:f>
        <ns0:v/>
      </ns0:c>
      <ns0:c r="P374" s="1">
        <ns0:f>+P366+P370</ns0:f>
        <ns0:v/>
      </ns0:c>
      <ns0:c r="Q374" s="1">
        <ns0:f>+P374+O374+J374+I374+H374+G374</ns0:f>
        <ns0:v/>
      </ns0:c>
      <ns0:c r="R374" s="1">
        <ns0:f>+Q374/E374</ns0:f>
        <ns0:v/>
      </ns0:c>
    </ns0:row>
    <ns0:row r="375" ht="26.25" customHeight="1">
      <ns0:c r="G375" s="1">
        <ns0:f>+G374/M374</ns0:f>
        <ns0:v/>
      </ns0:c>
      <ns0:c r="H375" s="1">
        <ns0:f>+H374/M374</ns0:f>
        <ns0:v/>
      </ns0:c>
      <ns0:c r="I375" s="1">
        <ns0:f>+I374/M374</ns0:f>
        <ns0:v/>
      </ns0:c>
      <ns0:c r="J375" s="1">
        <ns0:f>+J374/M374</ns0:f>
        <ns0:v/>
      </ns0:c>
      <ns0:c r="K375" s="1">
        <ns0:f>+K374/M374</ns0:f>
        <ns0:v/>
      </ns0:c>
      <ns0:c r="L375" s="1">
        <ns0:f>+L374/M374</ns0:f>
        <ns0:v/>
      </ns0:c>
      <ns0:c r="O375" s="1">
        <ns0:f>+O374/Q374</ns0:f>
        <ns0:v/>
      </ns0:c>
      <ns0:c r="P375" s="1">
        <ns0:f>+P374/Q374</ns0:f>
        <ns0:v/>
      </ns0:c>
    </ns0:row>
    <ns0:row r="376" ht="26.25" customHeight="1">
      <ns0:c r="C376" s="1" t="inlineStr">
        <ns0:is>
          <ns0:t xml:space="preserve">Total Normal </ns0:t>
        </ns0:is>
      </ns0:c>
      <ns0:c r="E376" s="1">
        <ns0:f>+E368+E372</ns0:f>
        <ns0:v/>
      </ns0:c>
      <ns0:c r="F376" s="1">
        <ns0:f>+F360+F372</ns0:f>
        <ns0:v/>
      </ns0:c>
      <ns0:c r="G376" s="1">
        <ns0:f>+G368+G372</ns0:f>
        <ns0:v/>
      </ns0:c>
      <ns0:c r="H376" s="1">
        <ns0:f>+H368+H372</ns0:f>
        <ns0:v/>
      </ns0:c>
      <ns0:c r="I376" s="1">
        <ns0:f>+I368+I372</ns0:f>
        <ns0:v/>
      </ns0:c>
      <ns0:c r="J376" s="1">
        <ns0:f>+J368+J372</ns0:f>
        <ns0:v/>
      </ns0:c>
      <ns0:c r="K376" s="1">
        <ns0:f>+K368+K372</ns0:f>
        <ns0:v/>
      </ns0:c>
      <ns0:c r="L376" s="1">
        <ns0:f>+L368+L372</ns0:f>
        <ns0:v/>
      </ns0:c>
      <ns0:c r="M376" s="1">
        <ns0:f>SUM(G376:L376)</ns0:f>
        <ns0:v/>
      </ns0:c>
      <ns0:c r="N376" s="1">
        <ns0:f>M376/E376</ns0:f>
        <ns0:v/>
      </ns0:c>
      <ns0:c r="O376" s="1">
        <ns0:f>+O368+O372</ns0:f>
        <ns0:v/>
      </ns0:c>
      <ns0:c r="P376" s="1">
        <ns0:f>+P368+P372</ns0:f>
        <ns0:v/>
      </ns0:c>
      <ns0:c r="Q376" s="1">
        <ns0:f>+P376+O376+J376+I376+H376+G376</ns0:f>
        <ns0:v/>
      </ns0:c>
      <ns0:c r="R376" s="1">
        <ns0:f>+Q376/E376</ns0:f>
        <ns0:v/>
      </ns0:c>
    </ns0:row>
    <ns0:row r="377" ht="26.25" customHeight="1">
      <ns0:c r="G377" s="1">
        <ns0:f>+G376/M376</ns0:f>
        <ns0:v/>
      </ns0:c>
      <ns0:c r="H377" s="1">
        <ns0:f>+H376/M376</ns0:f>
        <ns0:v/>
      </ns0:c>
      <ns0:c r="I377" s="1">
        <ns0:f>+I376/M376</ns0:f>
        <ns0:v/>
      </ns0:c>
      <ns0:c r="J377" s="1">
        <ns0:f>+J376/M376</ns0:f>
        <ns0:v/>
      </ns0:c>
      <ns0:c r="K377" s="1">
        <ns0:f>+K376/M376</ns0:f>
        <ns0:v/>
      </ns0:c>
      <ns0:c r="L377" s="1">
        <ns0:f>+L376/M376</ns0:f>
        <ns0:v/>
      </ns0:c>
      <ns0:c r="O377" s="1">
        <ns0:f>+O376/Q376</ns0:f>
        <ns0:v/>
      </ns0:c>
      <ns0:c r="P377" s="1">
        <ns0:f>+P376/Q376</ns0:f>
        <ns0:v/>
      </ns0:c>
    </ns0:row>
    <ns0:row r="378" ht="26.25" customHeight="1">
      <ns0:c r="B378" s="2" t="n">
        <ns0:v>45489</ns0:v>
      </ns0:c>
      <ns0:c r="C378" s="1" t="inlineStr">
        <ns0:is>
          <ns0:t>VP</ns0:t>
        </ns0:is>
      </ns0:c>
      <ns0:c r="D378" s="1" t="inlineStr">
        <ns0:is>
          <ns0:t>VP CÓ VÂN</ns0:t>
        </ns0:is>
      </ns0:c>
      <ns0:c r="E378" s="1" t="n">
        <ns0:v>95</ns0:v>
      </ns0:c>
      <ns0:c r="F378" s="1">
        <ns0:f>+E378-M378</ns0:f>
        <ns0:v/>
      </ns0:c>
      <ns0:c r="G378" s="1" t="n">
        <ns0:v>0</ns0:v>
      </ns0:c>
      <ns0:c r="H378" s="1" t="n">
        <ns0:v>0</ns0:v>
      </ns0:c>
      <ns0:c r="I378" s="1" t="n">
        <ns0:v>0</ns0:v>
      </ns0:c>
      <ns0:c r="J378" s="1" t="n">
        <ns0:v>0</ns0:v>
      </ns0:c>
      <ns0:c r="K378" s="1" t="n">
        <ns0:v>1</ns0:v>
      </ns0:c>
      <ns0:c r="L378" s="1" t="n">
        <ns0:v>17</ns0:v>
      </ns0:c>
      <ns0:c r="M378" s="1">
        <ns0:f>SUM(G378:L378)</ns0:f>
        <ns0:v/>
      </ns0:c>
      <ns0:c r="N378" s="1">
        <ns0:f>M378/E378</ns0:f>
        <ns0:v/>
      </ns0:c>
      <ns0:c r="O378" s="1" t="n">
        <ns0:v>1</ns0:v>
      </ns0:c>
      <ns0:c r="P378" s="1" t="n">
        <ns0:v>14</ns0:v>
      </ns0:c>
      <ns0:c r="Q378" s="1">
        <ns0:f>+P378+O378+J378+I378+H378+G378</ns0:f>
        <ns0:v/>
      </ns0:c>
      <ns0:c r="R378" s="1">
        <ns0:f>+Q378/E378</ns0:f>
        <ns0:v/>
      </ns0:c>
    </ns0:row>
    <ns0:row r="379" ht="26.25" customHeight="1">
      <ns0:c r="G379" s="1">
        <ns0:f>+G378/M378</ns0:f>
        <ns0:v/>
      </ns0:c>
      <ns0:c r="H379" s="1">
        <ns0:f>+H378/M378</ns0:f>
        <ns0:v/>
      </ns0:c>
      <ns0:c r="I379" s="1">
        <ns0:f>+I378/M378</ns0:f>
        <ns0:v/>
      </ns0:c>
      <ns0:c r="J379" s="1">
        <ns0:f>+J378/M378</ns0:f>
        <ns0:v/>
      </ns0:c>
      <ns0:c r="K379" s="1">
        <ns0:f>+K378/M378</ns0:f>
        <ns0:v/>
      </ns0:c>
      <ns0:c r="L379" s="1">
        <ns0:f>+L378/M378</ns0:f>
        <ns0:v/>
      </ns0:c>
      <ns0:c r="O379" s="1">
        <ns0:f>+O378/Q378</ns0:f>
        <ns0:v/>
      </ns0:c>
      <ns0:c r="P379" s="1">
        <ns0:f>+P378/Q378</ns0:f>
        <ns0:v/>
      </ns0:c>
    </ns0:row>
    <ns0:row r="380" ht="26.25" customHeight="1">
      <ns0:c r="D380" s="1" t="inlineStr">
        <ns0:is>
          <ns0:t>VP KHÔNG CÓ VÂN</ns0:t>
        </ns0:is>
      </ns0:c>
      <ns0:c r="E380" s="1" t="n">
        <ns0:v>50</ns0:v>
      </ns0:c>
      <ns0:c r="F380" s="1">
        <ns0:f>+E380-M380</ns0:f>
        <ns0:v/>
      </ns0:c>
      <ns0:c r="G380" s="1" t="n">
        <ns0:v>0</ns0:v>
      </ns0:c>
      <ns0:c r="H380" s="1" t="n">
        <ns0:v>0</ns0:v>
      </ns0:c>
      <ns0:c r="I380" s="1" t="n">
        <ns0:v>0</ns0:v>
      </ns0:c>
      <ns0:c r="J380" s="1" t="n">
        <ns0:v>0</ns0:v>
      </ns0:c>
      <ns0:c r="K380" s="1" t="n">
        <ns0:v>8</ns0:v>
      </ns0:c>
      <ns0:c r="L380" s="1" t="n">
        <ns0:v>0</ns0:v>
      </ns0:c>
      <ns0:c r="M380" s="1">
        <ns0:f>SUM(G380:L380)</ns0:f>
        <ns0:v/>
      </ns0:c>
      <ns0:c r="N380" s="1">
        <ns0:f>M380/E380</ns0:f>
        <ns0:v/>
      </ns0:c>
      <ns0:c r="O380" s="1" t="n">
        <ns0:v>0</ns0:v>
      </ns0:c>
      <ns0:c r="P380" s="1" t="n">
        <ns0:v>4</ns0:v>
      </ns0:c>
      <ns0:c r="Q380" s="1">
        <ns0:f>+P380+O380+J380+I380+H380+G380</ns0:f>
        <ns0:v/>
      </ns0:c>
      <ns0:c r="R380" s="1">
        <ns0:f>+Q380/E380</ns0:f>
        <ns0:v/>
      </ns0:c>
    </ns0:row>
    <ns0:row r="381" ht="26.25" customHeight="1">
      <ns0:c r="G381" s="1">
        <ns0:f>+G380/M380</ns0:f>
        <ns0:v/>
      </ns0:c>
      <ns0:c r="H381" s="1">
        <ns0:f>+H380/M380</ns0:f>
        <ns0:v/>
      </ns0:c>
      <ns0:c r="I381" s="1">
        <ns0:f>+I380/M380</ns0:f>
        <ns0:v/>
      </ns0:c>
      <ns0:c r="J381" s="1">
        <ns0:f>+J380/M380</ns0:f>
        <ns0:v/>
      </ns0:c>
      <ns0:c r="K381" s="1">
        <ns0:f>+K380/M380</ns0:f>
        <ns0:v/>
      </ns0:c>
      <ns0:c r="L381" s="1">
        <ns0:f>+L380/M380</ns0:f>
        <ns0:v/>
      </ns0:c>
      <ns0:c r="O381" s="1">
        <ns0:f>+O380/Q380</ns0:f>
        <ns0:v/>
      </ns0:c>
      <ns0:c r="P381" s="1">
        <ns0:f>+P380/Q380</ns0:f>
        <ns0:v/>
      </ns0:c>
    </ns0:row>
    <ns0:row r="382" ht="26.25" customHeight="1">
      <ns0:c r="C382" s="1" t="inlineStr">
        <ns0:is>
          <ns0:t>Normal</ns0:t>
        </ns0:is>
      </ns0:c>
      <ns0:c r="E382" s="1" t="n">
        <ns0:v>560</ns0:v>
      </ns0:c>
      <ns0:c r="F382" s="1">
        <ns0:f>+E382-M382</ns0:f>
        <ns0:v/>
      </ns0:c>
      <ns0:c r="G382" s="1" t="n">
        <ns0:v>0</ns0:v>
      </ns0:c>
      <ns0:c r="H382" s="1" t="n">
        <ns0:v>2</ns0:v>
      </ns0:c>
      <ns0:c r="I382" s="1" t="n">
        <ns0:v>2</ns0:v>
      </ns0:c>
      <ns0:c r="J382" s="1" t="n">
        <ns0:v>0</ns0:v>
      </ns0:c>
      <ns0:c r="K382" s="1" t="n">
        <ns0:v>6</ns0:v>
      </ns0:c>
      <ns0:c r="L382" s="1" t="n">
        <ns0:v>106</ns0:v>
      </ns0:c>
      <ns0:c r="M382" s="1">
        <ns0:f>SUM(G382:L382)</ns0:f>
        <ns0:v/>
      </ns0:c>
      <ns0:c r="N382" s="1">
        <ns0:f>M382/E382</ns0:f>
        <ns0:v/>
      </ns0:c>
      <ns0:c r="O382" s="1" t="n">
        <ns0:v>6</ns0:v>
      </ns0:c>
      <ns0:c r="P382" s="1" t="n">
        <ns0:v>81</ns0:v>
      </ns0:c>
      <ns0:c r="Q382" s="1">
        <ns0:f>+P382+O382+J382+I382+H382+G382</ns0:f>
        <ns0:v/>
      </ns0:c>
      <ns0:c r="R382" s="1">
        <ns0:f>+Q382/E382</ns0:f>
        <ns0:v/>
      </ns0:c>
    </ns0:row>
    <ns0:row r="383" ht="26.25" customHeight="1">
      <ns0:c r="G383" s="1">
        <ns0:f>+G382/M382</ns0:f>
        <ns0:v/>
      </ns0:c>
      <ns0:c r="H383" s="1">
        <ns0:f>+H382/M382</ns0:f>
        <ns0:v/>
      </ns0:c>
      <ns0:c r="I383" s="1">
        <ns0:f>+I382/M382</ns0:f>
        <ns0:v/>
      </ns0:c>
      <ns0:c r="J383" s="1">
        <ns0:f>+J382/M382</ns0:f>
        <ns0:v/>
      </ns0:c>
      <ns0:c r="K383" s="1">
        <ns0:f>+K382/M382</ns0:f>
        <ns0:v/>
      </ns0:c>
      <ns0:c r="L383" s="1">
        <ns0:f>+L382/M382</ns0:f>
        <ns0:v/>
      </ns0:c>
      <ns0:c r="O383" s="1">
        <ns0:f>+O382/Q382</ns0:f>
        <ns0:v/>
      </ns0:c>
      <ns0:c r="P383" s="1">
        <ns0:f>+P382/Q382</ns0:f>
        <ns0:v/>
      </ns0:c>
    </ns0:row>
    <ns0:row r="384" ht="26.25" customHeight="1">
      <ns0:c r="B384" s="2" t="n">
        <ns0:v>45490</ns0:v>
      </ns0:c>
      <ns0:c r="C384" s="1" t="inlineStr">
        <ns0:is>
          <ns0:t>Frame R-PT improve</ns0:t>
        </ns0:is>
      </ns0:c>
      <ns0:c r="D384" s="1" t="inlineStr">
        <ns0:is>
          <ns0:t>VP IR-2406270081-00001 ( 12/7 )</ns0:t>
        </ns0:is>
      </ns0:c>
      <ns0:c r="E384" s="1" t="n">
        <ns0:v>558</ns0:v>
      </ns0:c>
      <ns0:c r="F384" s="1">
        <ns0:f>+E384-M384</ns0:f>
        <ns0:v/>
      </ns0:c>
      <ns0:c r="G384" s="1" t="n">
        <ns0:v>0</ns0:v>
      </ns0:c>
      <ns0:c r="H384" s="1" t="n">
        <ns0:v>1</ns0:v>
      </ns0:c>
      <ns0:c r="I384" s="1" t="n">
        <ns0:v>2</ns0:v>
      </ns0:c>
      <ns0:c r="J384" s="1" t="n">
        <ns0:v>0</ns0:v>
      </ns0:c>
      <ns0:c r="K384" s="1" t="n">
        <ns0:v>12</ns0:v>
      </ns0:c>
      <ns0:c r="L384" s="1" t="n">
        <ns0:v>178</ns0:v>
      </ns0:c>
      <ns0:c r="M384" s="1">
        <ns0:f>SUM(G384:L384)</ns0:f>
        <ns0:v/>
      </ns0:c>
      <ns0:c r="N384" s="1">
        <ns0:f>M384/E384</ns0:f>
        <ns0:v/>
      </ns0:c>
      <ns0:c r="O384" s="1" t="n">
        <ns0:v>7</ns0:v>
      </ns0:c>
      <ns0:c r="P384" s="1" t="n">
        <ns0:v>142</ns0:v>
      </ns0:c>
      <ns0:c r="Q384" s="1">
        <ns0:f>+P384+O384+J384+I384+H384+G384</ns0:f>
        <ns0:v/>
      </ns0:c>
      <ns0:c r="R384" s="1">
        <ns0:f>+Q384/E384</ns0:f>
        <ns0:v/>
      </ns0:c>
      <ns0:c r="S384" s="1" t="inlineStr">
        <ns0:is>
          <ns0:t xml:space="preserve"> Hearing voltage up 10%</ns0:t>
        </ns0:is>
      </ns0:c>
    </ns0:row>
    <ns0:row r="385" ht="26.25" customHeight="1">
      <ns0:c r="G385" s="1">
        <ns0:f>+G384/M384</ns0:f>
        <ns0:v/>
      </ns0:c>
      <ns0:c r="H385" s="1">
        <ns0:f>+H384/M384</ns0:f>
        <ns0:v/>
      </ns0:c>
      <ns0:c r="I385" s="1">
        <ns0:f>+I384/M384</ns0:f>
        <ns0:v/>
      </ns0:c>
      <ns0:c r="J385" s="1">
        <ns0:f>+J384/M384</ns0:f>
        <ns0:v/>
      </ns0:c>
      <ns0:c r="K385" s="1">
        <ns0:f>+K384/M384</ns0:f>
        <ns0:v/>
      </ns0:c>
      <ns0:c r="L385" s="1">
        <ns0:f>+L384/M384</ns0:f>
        <ns0:v/>
      </ns0:c>
      <ns0:c r="O385" s="1">
        <ns0:f>+O384/Q384</ns0:f>
        <ns0:v/>
      </ns0:c>
      <ns0:c r="P385" s="1">
        <ns0:f>+P384/Q384</ns0:f>
        <ns0:v/>
      </ns0:c>
    </ns0:row>
    <ns0:row r="386" ht="26.25" customHeight="1">
      <ns0:c r="D386" s="1" t="inlineStr">
        <ns0:is>
          <ns0:t xml:space="preserve">VP IR-2406270081-00001 ( 12/7 ) </ns0:t>
        </ns0:is>
      </ns0:c>
      <ns0:c r="E386" s="1" t="n">
        <ns0:v>596</ns0:v>
      </ns0:c>
      <ns0:c r="F386" s="1">
        <ns0:f>+E386-Q386</ns0:f>
        <ns0:v/>
      </ns0:c>
      <ns0:c r="G386" s="1" t="n">
        <ns0:v>1</ns0:v>
      </ns0:c>
      <ns0:c r="H386" s="1" t="n">
        <ns0:v>1</ns0:v>
      </ns0:c>
      <ns0:c r="I386" s="1" t="n">
        <ns0:v>0</ns0:v>
      </ns0:c>
      <ns0:c r="J386" s="1" t="n">
        <ns0:v>0</ns0:v>
      </ns0:c>
      <ns0:c r="K386" s="1" t="n">
        <ns0:v>7</ns0:v>
      </ns0:c>
      <ns0:c r="L386" s="1" t="n">
        <ns0:v>115</ns0:v>
      </ns0:c>
      <ns0:c r="M386" s="1">
        <ns0:f>SUM(G386:L386)</ns0:f>
        <ns0:v/>
      </ns0:c>
      <ns0:c r="N386" s="1">
        <ns0:f>M386/E386</ns0:f>
        <ns0:v/>
      </ns0:c>
      <ns0:c r="O386" s="1" t="n">
        <ns0:v>0</ns0:v>
      </ns0:c>
      <ns0:c r="P386" s="1" t="n">
        <ns0:v>104</ns0:v>
      </ns0:c>
      <ns0:c r="Q386" s="1">
        <ns0:f>+P386+O386+J386+I386+H386+G386</ns0:f>
        <ns0:v/>
      </ns0:c>
      <ns0:c r="R386" s="1">
        <ns0:f>+Q386/E386</ns0:f>
        <ns0:v/>
      </ns0:c>
      <ns0:c r="S386" s="1" t="inlineStr">
        <ns0:is>
          <ns0:t>SPK line E2-4A ( Night )</ns0:t>
        </ns0:is>
      </ns0:c>
    </ns0:row>
    <ns0:row r="387" ht="26.25" customHeight="1">
      <ns0:c r="G387" s="1">
        <ns0:f>+G386/M386</ns0:f>
        <ns0:v/>
      </ns0:c>
      <ns0:c r="H387" s="1">
        <ns0:f>+H386/M386</ns0:f>
        <ns0:v/>
      </ns0:c>
      <ns0:c r="I387" s="1">
        <ns0:f>+I386/M386</ns0:f>
        <ns0:v/>
      </ns0:c>
      <ns0:c r="J387" s="1">
        <ns0:f>+J386/M386</ns0:f>
        <ns0:v/>
      </ns0:c>
      <ns0:c r="K387" s="1">
        <ns0:f>+K386/M386</ns0:f>
        <ns0:v/>
      </ns0:c>
      <ns0:c r="L387" s="1">
        <ns0:f>+L386/M386</ns0:f>
        <ns0:v/>
      </ns0:c>
      <ns0:c r="O387" s="1">
        <ns0:f>+O386/Q386</ns0:f>
        <ns0:v/>
      </ns0:c>
      <ns0:c r="P387" s="1">
        <ns0:f>+P386/Q386</ns0:f>
        <ns0:v/>
      </ns0:c>
    </ns0:row>
    <ns0:row r="388" ht="26.25" customHeight="1">
      <ns0:c r="D388" s="1" t="inlineStr">
        <ns0:is>
          <ns0:t>VP IR-2406270081-00001 ( 12/7 )</ns0:t>
        </ns0:is>
      </ns0:c>
      <ns0:c r="E388" s="1" t="n">
        <ns0:v>557</ns0:v>
      </ns0:c>
      <ns0:c r="F388" s="1">
        <ns0:f>+E388-Q388</ns0:f>
        <ns0:v/>
      </ns0:c>
      <ns0:c r="G388" s="1" t="n">
        <ns0:v>1</ns0:v>
      </ns0:c>
      <ns0:c r="H388" s="1" t="n">
        <ns0:v>0</ns0:v>
      </ns0:c>
      <ns0:c r="I388" s="1" t="n">
        <ns0:v>3</ns0:v>
      </ns0:c>
      <ns0:c r="J388" s="1" t="n">
        <ns0:v>0</ns0:v>
      </ns0:c>
      <ns0:c r="K388" s="1" t="n">
        <ns0:v>7</ns0:v>
      </ns0:c>
      <ns0:c r="L388" s="1" t="n">
        <ns0:v>129</ns0:v>
      </ns0:c>
      <ns0:c r="M388" s="1">
        <ns0:f>SUM(G388:L388)</ns0:f>
        <ns0:v/>
      </ns0:c>
      <ns0:c r="N388" s="1">
        <ns0:f>M388/E388</ns0:f>
        <ns0:v/>
      </ns0:c>
      <ns0:c r="O388" s="1" t="n">
        <ns0:v>8</ns0:v>
      </ns0:c>
      <ns0:c r="P388" s="1" t="n">
        <ns0:v>90</ns0:v>
      </ns0:c>
      <ns0:c r="Q388" s="1">
        <ns0:f>+P388+O388+J388+I388+H388+G388</ns0:f>
        <ns0:v/>
      </ns0:c>
      <ns0:c r="R388" s="1">
        <ns0:f>+Q388/E388</ns0:f>
        <ns0:v/>
      </ns0:c>
      <ns0:c r="S388" s="1" t="inlineStr">
        <ns0:is>
          <ns0:t xml:space="preserve"> Hearing voltage up 10%</ns0:t>
        </ns0:is>
      </ns0:c>
    </ns0:row>
    <ns0:row r="389" ht="26.25" customHeight="1">
      <ns0:c r="G389" s="1">
        <ns0:f>+G388/M388</ns0:f>
        <ns0:v/>
      </ns0:c>
      <ns0:c r="H389" s="1">
        <ns0:f>+H388/M388</ns0:f>
        <ns0:v/>
      </ns0:c>
      <ns0:c r="I389" s="1">
        <ns0:f>+I388/M388</ns0:f>
        <ns0:v/>
      </ns0:c>
      <ns0:c r="J389" s="1">
        <ns0:f>+J388/M388</ns0:f>
        <ns0:v/>
      </ns0:c>
      <ns0:c r="K389" s="1">
        <ns0:f>+K388/M388</ns0:f>
        <ns0:v/>
      </ns0:c>
      <ns0:c r="L389" s="1">
        <ns0:f>+L388/M388</ns0:f>
        <ns0:v/>
      </ns0:c>
      <ns0:c r="O389" s="1">
        <ns0:f>+O388/Q388</ns0:f>
        <ns0:v/>
      </ns0:c>
      <ns0:c r="P389" s="1">
        <ns0:f>+P388/Q388</ns0:f>
        <ns0:v/>
      </ns0:c>
    </ns0:row>
    <ns0:row r="390" ht="26.25" customHeight="1">
      <ns0:c r="D390" s="1" t="inlineStr">
        <ns0:is>
          <ns0:t>VP IR-2406270081-00001 ( 12/7 )</ns0:t>
        </ns0:is>
      </ns0:c>
      <ns0:c r="E390" s="1" t="n">
        <ns0:v>556</ns0:v>
      </ns0:c>
      <ns0:c r="F390" s="1">
        <ns0:f>+E390-Q390</ns0:f>
        <ns0:v/>
      </ns0:c>
      <ns0:c r="G390" s="1" t="n">
        <ns0:v>0</ns0:v>
      </ns0:c>
      <ns0:c r="H390" s="1" t="n">
        <ns0:v>1</ns0:v>
      </ns0:c>
      <ns0:c r="I390" s="1" t="n">
        <ns0:v>0</ns0:v>
      </ns0:c>
      <ns0:c r="J390" s="1" t="n">
        <ns0:v>0</ns0:v>
      </ns0:c>
      <ns0:c r="K390" s="1" t="n">
        <ns0:v>6</ns0:v>
      </ns0:c>
      <ns0:c r="L390" s="1" t="n">
        <ns0:v>126</ns0:v>
      </ns0:c>
      <ns0:c r="M390" s="1">
        <ns0:f>SUM(G390:L390)</ns0:f>
        <ns0:v/>
      </ns0:c>
      <ns0:c r="N390" s="1">
        <ns0:f>M390/E390</ns0:f>
        <ns0:v/>
      </ns0:c>
      <ns0:c r="O390" s="1" t="n">
        <ns0:v>4</ns0:v>
      </ns0:c>
      <ns0:c r="P390" s="1" t="n">
        <ns0:v>76</ns0:v>
      </ns0:c>
      <ns0:c r="Q390" s="1">
        <ns0:f>+P390+O390+J390+I390+H390+G390</ns0:f>
        <ns0:v/>
      </ns0:c>
      <ns0:c r="R390" s="1">
        <ns0:f>+Q390/E390</ns0:f>
        <ns0:v/>
      </ns0:c>
      <ns0:c r="S390" s="1" t="inlineStr">
        <ns0:is>
          <ns0:t xml:space="preserve"> Hearing voltage up 10%</ns0:t>
        </ns0:is>
      </ns0:c>
    </ns0:row>
    <ns0:row r="391" ht="26.25" customHeight="1">
      <ns0:c r="G391" s="1">
        <ns0:f>+G390/M390</ns0:f>
        <ns0:v/>
      </ns0:c>
      <ns0:c r="H391" s="1">
        <ns0:f>+H390/M390</ns0:f>
        <ns0:v/>
      </ns0:c>
      <ns0:c r="I391" s="1">
        <ns0:f>+I390/M390</ns0:f>
        <ns0:v/>
      </ns0:c>
      <ns0:c r="J391" s="1">
        <ns0:f>+J390/M390</ns0:f>
        <ns0:v/>
      </ns0:c>
      <ns0:c r="K391" s="1">
        <ns0:f>+K390/M390</ns0:f>
        <ns0:v/>
      </ns0:c>
      <ns0:c r="L391" s="1">
        <ns0:f>+L390/M390</ns0:f>
        <ns0:v/>
      </ns0:c>
      <ns0:c r="O391" s="1">
        <ns0:f>+O390/Q390</ns0:f>
        <ns0:v/>
      </ns0:c>
      <ns0:c r="P391" s="1">
        <ns0:f>+P390/Q390</ns0:f>
        <ns0:v/>
      </ns0:c>
    </ns0:row>
    <ns0:row r="392" ht="26.25" customHeight="1">
      <ns0:c r="D392" s="1" t="inlineStr">
        <ns0:is>
          <ns0:t>VP IR-2406270081-00001 ( 12/7 )</ns0:t>
        </ns0:is>
      </ns0:c>
      <ns0:c r="E392" s="1" t="n">
        <ns0:v>478</ns0:v>
      </ns0:c>
      <ns0:c r="F392" s="1">
        <ns0:f>+E392-Q392</ns0:f>
        <ns0:v/>
      </ns0:c>
      <ns0:c r="G392" s="1" t="n">
        <ns0:v>0</ns0:v>
      </ns0:c>
      <ns0:c r="H392" s="1" t="n">
        <ns0:v>0</ns0:v>
      </ns0:c>
      <ns0:c r="I392" s="1" t="n">
        <ns0:v>1</ns0:v>
      </ns0:c>
      <ns0:c r="J392" s="1" t="n">
        <ns0:v>0</ns0:v>
      </ns0:c>
      <ns0:c r="K392" s="1" t="n">
        <ns0:v>8</ns0:v>
      </ns0:c>
      <ns0:c r="L392" s="1" t="n">
        <ns0:v>116</ns0:v>
      </ns0:c>
      <ns0:c r="M392" s="1">
        <ns0:f>SUM(G392:L392)</ns0:f>
        <ns0:v/>
      </ns0:c>
      <ns0:c r="N392" s="1">
        <ns0:f>M392/E392</ns0:f>
        <ns0:v/>
      </ns0:c>
      <ns0:c r="O392" s="1" t="n">
        <ns0:v>4</ns0:v>
      </ns0:c>
      <ns0:c r="P392" s="1" t="n">
        <ns0:v>51</ns0:v>
      </ns0:c>
      <ns0:c r="Q392" s="1">
        <ns0:f>+P392+O392+J392+I392+H392+G392</ns0:f>
        <ns0:v/>
      </ns0:c>
      <ns0:c r="R392" s="1">
        <ns0:f>+Q392/E392</ns0:f>
        <ns0:v/>
      </ns0:c>
      <ns0:c r="S392" s="1" t="inlineStr">
        <ns0:is>
          <ns0:t xml:space="preserve"> Hearing voltage up 10%</ns0:t>
        </ns0:is>
      </ns0:c>
    </ns0:row>
    <ns0:row r="393" ht="26.25" customHeight="1">
      <ns0:c r="G393" s="1">
        <ns0:f>+G392/M392</ns0:f>
        <ns0:v/>
      </ns0:c>
      <ns0:c r="H393" s="1">
        <ns0:f>+H392/M392</ns0:f>
        <ns0:v/>
      </ns0:c>
      <ns0:c r="I393" s="1">
        <ns0:f>+I392/M392</ns0:f>
        <ns0:v/>
      </ns0:c>
      <ns0:c r="J393" s="1">
        <ns0:f>+J392/M392</ns0:f>
        <ns0:v/>
      </ns0:c>
      <ns0:c r="K393" s="1">
        <ns0:f>+K392/M392</ns0:f>
        <ns0:v/>
      </ns0:c>
      <ns0:c r="L393" s="1">
        <ns0:f>+L392/M392</ns0:f>
        <ns0:v/>
      </ns0:c>
      <ns0:c r="O393" s="1">
        <ns0:f>+O392/Q392</ns0:f>
        <ns0:v/>
      </ns0:c>
      <ns0:c r="P393" s="1">
        <ns0:f>+P392/Q392</ns0:f>
        <ns0:v/>
      </ns0:c>
    </ns0:row>
    <ns0:row r="394" ht="26.25" customHeight="1">
      <ns0:c r="D394" s="1" t="inlineStr">
        <ns0:is>
          <ns0:t>VP IR-2406270081-00001 ( 12/7 )</ns0:t>
        </ns0:is>
      </ns0:c>
      <ns0:c r="E394" s="1" t="n">
        <ns0:v>479</ns0:v>
      </ns0:c>
      <ns0:c r="F394" s="1">
        <ns0:f>+E394-Q394</ns0:f>
        <ns0:v/>
      </ns0:c>
      <ns0:c r="G394" s="1" t="n">
        <ns0:v>0</ns0:v>
      </ns0:c>
      <ns0:c r="H394" s="1" t="n">
        <ns0:v>0</ns0:v>
      </ns0:c>
      <ns0:c r="I394" s="1" t="n">
        <ns0:v>0</ns0:v>
      </ns0:c>
      <ns0:c r="J394" s="1" t="n">
        <ns0:v>0</ns0:v>
      </ns0:c>
      <ns0:c r="K394" s="1" t="n">
        <ns0:v>8</ns0:v>
      </ns0:c>
      <ns0:c r="L394" s="1" t="n">
        <ns0:v>39</ns0:v>
      </ns0:c>
      <ns0:c r="M394" s="1">
        <ns0:f>SUM(G394:L394)</ns0:f>
        <ns0:v/>
      </ns0:c>
      <ns0:c r="N394" s="1">
        <ns0:f>M394/E394</ns0:f>
        <ns0:v/>
      </ns0:c>
      <ns0:c r="O394" s="1" t="n">
        <ns0:v>4</ns0:v>
      </ns0:c>
      <ns0:c r="P394" s="1" t="n">
        <ns0:v>19</ns0:v>
      </ns0:c>
      <ns0:c r="Q394" s="1">
        <ns0:f>+P394+O394+J394+I394+H394+G394</ns0:f>
        <ns0:v/>
      </ns0:c>
      <ns0:c r="R394" s="1">
        <ns0:f>+Q394/E394</ns0:f>
        <ns0:v/>
      </ns0:c>
      <ns0:c r="S394" s="1" t="inlineStr">
        <ns0:is>
          <ns0:t xml:space="preserve"> Hearing voltage up 10%</ns0:t>
        </ns0:is>
      </ns0:c>
    </ns0:row>
    <ns0:row r="395" ht="26.25" customHeight="1">
      <ns0:c r="G395" s="1">
        <ns0:f>+G394/M394</ns0:f>
        <ns0:v/>
      </ns0:c>
      <ns0:c r="H395" s="1">
        <ns0:f>+H394/M394</ns0:f>
        <ns0:v/>
      </ns0:c>
      <ns0:c r="I395" s="1">
        <ns0:f>+I394/M394</ns0:f>
        <ns0:v/>
      </ns0:c>
      <ns0:c r="J395" s="1">
        <ns0:f>+J394/M394</ns0:f>
        <ns0:v/>
      </ns0:c>
      <ns0:c r="K395" s="1">
        <ns0:f>+K394/M394</ns0:f>
        <ns0:v/>
      </ns0:c>
      <ns0:c r="L395" s="1">
        <ns0:f>+L394/M394</ns0:f>
        <ns0:v/>
      </ns0:c>
      <ns0:c r="O395" s="1">
        <ns0:f>+O394/Q394</ns0:f>
        <ns0:v/>
      </ns0:c>
      <ns0:c r="P395" s="1">
        <ns0:f>+P394/Q394</ns0:f>
        <ns0:v/>
      </ns0:c>
    </ns0:row>
    <ns0:row r="396" ht="26.25" customHeight="1">
      <ns0:c r="C396" s="1" t="inlineStr">
        <ns0:is>
          <ns0:t>Total Frame R-PT improve</ns0:t>
        </ns0:is>
      </ns0:c>
      <ns0:c r="E396" s="1">
        <ns0:f>SUM(E384:E395)</ns0:f>
        <ns0:v/>
      </ns0:c>
      <ns0:c r="F396" s="1">
        <ns0:f>+E396-M396</ns0:f>
        <ns0:v/>
      </ns0:c>
      <ns0:c r="G396" s="1">
        <ns0:f>+G384+G386+G388+G390+G392+G394</ns0:f>
        <ns0:v/>
      </ns0:c>
      <ns0:c r="H396" s="1">
        <ns0:f>+H384+H386+H388+H390+H392+H394</ns0:f>
        <ns0:v/>
      </ns0:c>
      <ns0:c r="I396" s="1">
        <ns0:f>+I384+I386+I388+I390+I392+I394</ns0:f>
        <ns0:v/>
      </ns0:c>
      <ns0:c r="J396" s="1">
        <ns0:f>+J384+J386+J388+J390+J392+J394</ns0:f>
        <ns0:v/>
      </ns0:c>
      <ns0:c r="K396" s="1">
        <ns0:f>+K384+K386+K388+K390+K392+K394</ns0:f>
        <ns0:v/>
      </ns0:c>
      <ns0:c r="L396" s="1">
        <ns0:f>+L384+L386+L388+L390+L392+L394</ns0:f>
        <ns0:v/>
      </ns0:c>
      <ns0:c r="M396" s="1">
        <ns0:f>SUM(G396:L396)</ns0:f>
        <ns0:v/>
      </ns0:c>
      <ns0:c r="N396" s="1">
        <ns0:f>M396/E396</ns0:f>
        <ns0:v/>
      </ns0:c>
      <ns0:c r="O396" s="1">
        <ns0:f>+O384+O386+O388+O390+O392+O394</ns0:f>
        <ns0:v/>
      </ns0:c>
      <ns0:c r="P396" s="1">
        <ns0:f>+P384+P386+P388+P390+P392+P394</ns0:f>
        <ns0:v/>
      </ns0:c>
      <ns0:c r="Q396" s="1">
        <ns0:f>+P396+O396+J396+I396+H396+G396</ns0:f>
        <ns0:v/>
      </ns0:c>
      <ns0:c r="R396" s="1">
        <ns0:f>+Q396/E396</ns0:f>
        <ns0:v/>
      </ns0:c>
      <ns0:c r="S396" s="1" t="inlineStr">
        <ns0:is>
          <ns0:t xml:space="preserve"> Hearing voltage up 10%</ns0:t>
        </ns0:is>
      </ns0:c>
    </ns0:row>
    <ns0:row r="397" ht="26.25" customHeight="1">
      <ns0:c r="G397" s="1">
        <ns0:f>+G396/M396</ns0:f>
        <ns0:v/>
      </ns0:c>
      <ns0:c r="H397" s="1">
        <ns0:f>+H396/M396</ns0:f>
        <ns0:v/>
      </ns0:c>
      <ns0:c r="I397" s="1">
        <ns0:f>+I396/M396</ns0:f>
        <ns0:v/>
      </ns0:c>
      <ns0:c r="J397" s="1">
        <ns0:f>+J396/M396</ns0:f>
        <ns0:v/>
      </ns0:c>
      <ns0:c r="K397" s="1">
        <ns0:f>+K396/M396</ns0:f>
        <ns0:v/>
      </ns0:c>
      <ns0:c r="L397" s="1">
        <ns0:f>+L396/M396</ns0:f>
        <ns0:v/>
      </ns0:c>
      <ns0:c r="O397" s="1">
        <ns0:f>+O396/Q396</ns0:f>
        <ns0:v/>
      </ns0:c>
      <ns0:c r="P397" s="1">
        <ns0:f>+P396/Q396</ns0:f>
        <ns0:v/>
      </ns0:c>
    </ns0:row>
    <ns0:row r="398" ht="26.25" customHeight="1">
      <ns0:c r="C398" s="1" t="inlineStr">
        <ns0:is>
          <ns0:t>FP + VP bonding outside</ns0:t>
        </ns0:is>
      </ns0:c>
      <ns0:c r="D398" s="1" t="inlineStr">
        <ns0:is>
          <ns0:t>Bond amount min spec 4.91 ~4.95mg</ns0:t>
        </ns0:is>
      </ns0:c>
      <ns0:c r="E398" s="1" t="n">
        <ns0:v>560</ns0:v>
      </ns0:c>
      <ns0:c r="F398" s="1">
        <ns0:f>+E398-Q398</ns0:f>
        <ns0:v/>
      </ns0:c>
      <ns0:c r="G398" s="1" t="n">
        <ns0:v>0</ns0:v>
      </ns0:c>
      <ns0:c r="H398" s="1" t="n">
        <ns0:v>2</ns0:v>
      </ns0:c>
      <ns0:c r="I398" s="1" t="n">
        <ns0:v>0</ns0:v>
      </ns0:c>
      <ns0:c r="J398" s="1" t="n">
        <ns0:v>0</ns0:v>
      </ns0:c>
      <ns0:c r="K398" s="1" t="n">
        <ns0:v>14</ns0:v>
      </ns0:c>
      <ns0:c r="L398" s="1" t="n">
        <ns0:v>181</ns0:v>
      </ns0:c>
      <ns0:c r="M398" s="1">
        <ns0:f>SUM(G398:L398)</ns0:f>
        <ns0:v/>
      </ns0:c>
      <ns0:c r="N398" s="1">
        <ns0:f>M398/E398</ns0:f>
        <ns0:v/>
      </ns0:c>
      <ns0:c r="O398" s="1" t="n">
        <ns0:v>6</ns0:v>
      </ns0:c>
      <ns0:c r="P398" s="1" t="n">
        <ns0:v>113</ns0:v>
      </ns0:c>
      <ns0:c r="Q398" s="1">
        <ns0:f>+P398+O398+J398+I398+H398+G398</ns0:f>
        <ns0:v/>
      </ns0:c>
      <ns0:c r="R398" s="1">
        <ns0:f>+Q398/E398</ns0:f>
        <ns0:v/>
      </ns0:c>
      <ns0:c r="S398" s="1" t="inlineStr">
        <ns0:is>
          <ns0:t xml:space="preserve"> Hearing voltage up 10%</ns0:t>
        </ns0:is>
      </ns0:c>
    </ns0:row>
    <ns0:row r="399" ht="26.25" customHeight="1">
      <ns0:c r="G399" s="1">
        <ns0:f>+G398/M398</ns0:f>
        <ns0:v/>
      </ns0:c>
      <ns0:c r="H399" s="1">
        <ns0:f>+H398/M398</ns0:f>
        <ns0:v/>
      </ns0:c>
      <ns0:c r="I399" s="1">
        <ns0:f>+I398/M398</ns0:f>
        <ns0:v/>
      </ns0:c>
      <ns0:c r="J399" s="1">
        <ns0:f>+J398/M398</ns0:f>
        <ns0:v/>
      </ns0:c>
      <ns0:c r="K399" s="1">
        <ns0:f>+K398/M398</ns0:f>
        <ns0:v/>
      </ns0:c>
      <ns0:c r="L399" s="1">
        <ns0:f>+L398/M398</ns0:f>
        <ns0:v/>
      </ns0:c>
      <ns0:c r="O399" s="1">
        <ns0:f>+O398/Q398</ns0:f>
        <ns0:v/>
      </ns0:c>
      <ns0:c r="P399" s="1">
        <ns0:f>+P398/Q398</ns0:f>
        <ns0:v/>
      </ns0:c>
    </ns0:row>
    <ns0:row r="400" ht="26.25" customHeight="1">
      <ns0:c r="D400" s="1" t="inlineStr">
        <ns0:is>
          <ns0:t>Normal</ns0:t>
        </ns0:is>
      </ns0:c>
      <ns0:c r="E400" s="1" t="n">
        <ns0:v>559</ns0:v>
      </ns0:c>
      <ns0:c r="F400" s="1">
        <ns0:f>+E400-Q400</ns0:f>
        <ns0:v/>
      </ns0:c>
      <ns0:c r="G400" s="1" t="n">
        <ns0:v>0</ns0:v>
      </ns0:c>
      <ns0:c r="H400" s="1" t="n">
        <ns0:v>3</ns0:v>
      </ns0:c>
      <ns0:c r="I400" s="1" t="n">
        <ns0:v>5</ns0:v>
      </ns0:c>
      <ns0:c r="J400" s="1" t="n">
        <ns0:v>0</ns0:v>
      </ns0:c>
      <ns0:c r="K400" s="1" t="n">
        <ns0:v>16</ns0:v>
      </ns0:c>
      <ns0:c r="L400" s="1" t="n">
        <ns0:v>158</ns0:v>
      </ns0:c>
      <ns0:c r="M400" s="1">
        <ns0:f>SUM(G400:L400)</ns0:f>
        <ns0:v/>
      </ns0:c>
      <ns0:c r="N400" s="1">
        <ns0:f>M400/E400</ns0:f>
        <ns0:v/>
      </ns0:c>
      <ns0:c r="O400" s="1" t="n">
        <ns0:v>8</ns0:v>
      </ns0:c>
      <ns0:c r="P400" s="1" t="n">
        <ns0:v>127</ns0:v>
      </ns0:c>
      <ns0:c r="Q400" s="1">
        <ns0:f>+P400+O400+J400+I400+H400+G400</ns0:f>
        <ns0:v/>
      </ns0:c>
      <ns0:c r="R400" s="1">
        <ns0:f>+Q400/E400</ns0:f>
        <ns0:v/>
      </ns0:c>
      <ns0:c r="S400" s="1" t="inlineStr">
        <ns0:is>
          <ns0:t xml:space="preserve"> Hearing voltage up 10%</ns0:t>
        </ns0:is>
      </ns0:c>
    </ns0:row>
    <ns0:row r="401" ht="26.25" customHeight="1">
      <ns0:c r="G401" s="1">
        <ns0:f>+G400/M400</ns0:f>
        <ns0:v/>
      </ns0:c>
      <ns0:c r="H401" s="1">
        <ns0:f>+H400/M400</ns0:f>
        <ns0:v/>
      </ns0:c>
      <ns0:c r="I401" s="1">
        <ns0:f>+I400/M400</ns0:f>
        <ns0:v/>
      </ns0:c>
      <ns0:c r="J401" s="1">
        <ns0:f>+J400/M400</ns0:f>
        <ns0:v/>
      </ns0:c>
      <ns0:c r="K401" s="1">
        <ns0:f>+K400/M400</ns0:f>
        <ns0:v/>
      </ns0:c>
      <ns0:c r="L401" s="1">
        <ns0:f>+L400/M400</ns0:f>
        <ns0:v/>
      </ns0:c>
      <ns0:c r="O401" s="1">
        <ns0:f>+O400/Q400</ns0:f>
        <ns0:v/>
      </ns0:c>
      <ns0:c r="P401" s="1">
        <ns0:f>+P400/Q400</ns0:f>
        <ns0:v/>
      </ns0:c>
    </ns0:row>
    <ns0:row r="402" ht="26.25" customHeight="1">
      <ns0:c r="B402" s="2" t="n">
        <ns0:v>45491</ns0:v>
      </ns0:c>
      <ns0:c r="C402" s="1" t="inlineStr">
        <ns0:is>
          <ns0:t>VP</ns0:t>
        </ns0:is>
      </ns0:c>
      <ns0:c r="D402" s="1" t="inlineStr">
        <ns0:is>
          <ns0:t>IR 240703080-00004
 ( NVL đầu vào không qua B1 ) date 16/7</ns0:t>
        </ns0:is>
      </ns0:c>
      <ns0:c r="E402" s="1" t="n">
        <ns0:v>556</ns0:v>
      </ns0:c>
      <ns0:c r="F402" s="1">
        <ns0:f>+E402-Q402</ns0:f>
        <ns0:v/>
      </ns0:c>
      <ns0:c r="G402" s="1" t="n">
        <ns0:v>0</ns0:v>
      </ns0:c>
      <ns0:c r="H402" s="1" t="n">
        <ns0:v>0</ns0:v>
      </ns0:c>
      <ns0:c r="I402" s="1" t="n">
        <ns0:v>0</ns0:v>
      </ns0:c>
      <ns0:c r="J402" s="1" t="n">
        <ns0:v>0</ns0:v>
      </ns0:c>
      <ns0:c r="K402" s="1" t="n">
        <ns0:v>4</ns0:v>
      </ns0:c>
      <ns0:c r="L402" s="1" t="n">
        <ns0:v>51</ns0:v>
      </ns0:c>
      <ns0:c r="M402" s="1">
        <ns0:f>SUM(G402:L402)</ns0:f>
        <ns0:v/>
      </ns0:c>
      <ns0:c r="N402" s="1">
        <ns0:f>M402/E402</ns0:f>
        <ns0:v/>
      </ns0:c>
      <ns0:c r="O402" s="1" t="n">
        <ns0:v>1</ns0:v>
      </ns0:c>
      <ns0:c r="P402" s="1" t="n">
        <ns0:v>28</ns0:v>
      </ns0:c>
      <ns0:c r="Q402" s="1">
        <ns0:f>+P402+O402+J402+I402+H402+G402</ns0:f>
        <ns0:v/>
      </ns0:c>
      <ns0:c r="R402" s="1">
        <ns0:f>+Q402/E402</ns0:f>
        <ns0:v/>
      </ns0:c>
      <ns0:c r="S402" s="1" t="inlineStr">
        <ns0:is>
          <ns0:t xml:space="preserve"> Hearing voltage up 10%</ns0:t>
        </ns0:is>
      </ns0:c>
    </ns0:row>
    <ns0:row r="403" ht="36" customHeight="1">
      <ns0:c r="G403" s="1">
        <ns0:f>+G402/M402</ns0:f>
        <ns0:v/>
      </ns0:c>
      <ns0:c r="H403" s="1">
        <ns0:f>+H402/M402</ns0:f>
        <ns0:v/>
      </ns0:c>
      <ns0:c r="I403" s="1">
        <ns0:f>+I402/M402</ns0:f>
        <ns0:v/>
      </ns0:c>
      <ns0:c r="J403" s="1">
        <ns0:f>+J402/M402</ns0:f>
        <ns0:v/>
      </ns0:c>
      <ns0:c r="K403" s="1">
        <ns0:f>+K402/M402</ns0:f>
        <ns0:v/>
      </ns0:c>
      <ns0:c r="L403" s="1">
        <ns0:f>+L402/M402</ns0:f>
        <ns0:v/>
      </ns0:c>
      <ns0:c r="O403" s="1">
        <ns0:f>+O402/Q402</ns0:f>
        <ns0:v/>
      </ns0:c>
      <ns0:c r="P403" s="1">
        <ns0:f>+P402/Q402</ns0:f>
        <ns0:v/>
      </ns0:c>
    </ns0:row>
    <ns0:row r="404" ht="26.25" customHeight="1">
      <ns0:c r="D404" s="1" t="inlineStr">
        <ns0:is>
          <ns0:t>IR 240703080-00004 
( NVL đầu vào không qua B1 ) date 16/7</ns0:t>
        </ns0:is>
      </ns0:c>
      <ns0:c r="E404" s="1" t="n">
        <ns0:v>389</ns0:v>
      </ns0:c>
      <ns0:c r="F404" s="1">
        <ns0:f>+E404-Q404</ns0:f>
        <ns0:v/>
      </ns0:c>
      <ns0:c r="G404" s="1" t="n">
        <ns0:v>0</ns0:v>
      </ns0:c>
      <ns0:c r="H404" s="1" t="n">
        <ns0:v>0</ns0:v>
      </ns0:c>
      <ns0:c r="I404" s="1" t="n">
        <ns0:v>0</ns0:v>
      </ns0:c>
      <ns0:c r="J404" s="1" t="n">
        <ns0:v>0</ns0:v>
      </ns0:c>
      <ns0:c r="K404" s="1" t="n">
        <ns0:v>3</ns0:v>
      </ns0:c>
      <ns0:c r="L404" s="1" t="n">
        <ns0:v>50</ns0:v>
      </ns0:c>
      <ns0:c r="M404" s="1">
        <ns0:f>SUM(G404:L404)</ns0:f>
        <ns0:v/>
      </ns0:c>
      <ns0:c r="N404" s="1">
        <ns0:f>M404/E404</ns0:f>
        <ns0:v/>
      </ns0:c>
      <ns0:c r="O404" s="1" t="n">
        <ns0:v>3</ns0:v>
      </ns0:c>
      <ns0:c r="P404" s="1" t="n">
        <ns0:v>29</ns0:v>
      </ns0:c>
      <ns0:c r="Q404" s="1">
        <ns0:f>+P404+O404+J404+I404+H404+G404</ns0:f>
        <ns0:v/>
      </ns0:c>
      <ns0:c r="R404" s="1">
        <ns0:f>+Q404/E404</ns0:f>
        <ns0:v/>
      </ns0:c>
      <ns0:c r="S404" s="1" t="inlineStr">
        <ns0:is>
          <ns0:t xml:space="preserve"> Hearing voltage up 10%</ns0:t>
        </ns0:is>
      </ns0:c>
    </ns0:row>
    <ns0:row r="405" ht="45" customHeight="1">
      <ns0:c r="G405" s="1">
        <ns0:f>+G404/M404</ns0:f>
        <ns0:v/>
      </ns0:c>
      <ns0:c r="H405" s="1">
        <ns0:f>+H404/M404</ns0:f>
        <ns0:v/>
      </ns0:c>
      <ns0:c r="I405" s="1">
        <ns0:f>+I404/M404</ns0:f>
        <ns0:v/>
      </ns0:c>
      <ns0:c r="J405" s="1">
        <ns0:f>+J404/M404</ns0:f>
        <ns0:v/>
      </ns0:c>
      <ns0:c r="K405" s="1">
        <ns0:f>+K404/M404</ns0:f>
        <ns0:v/>
      </ns0:c>
      <ns0:c r="L405" s="1">
        <ns0:f>+L404/M404</ns0:f>
        <ns0:v/>
      </ns0:c>
      <ns0:c r="O405" s="1">
        <ns0:f>+O404/Q404</ns0:f>
        <ns0:v/>
      </ns0:c>
      <ns0:c r="P405" s="1">
        <ns0:f>+P404/Q404</ns0:f>
        <ns0:v/>
      </ns0:c>
    </ns0:row>
    <ns0:row r="406" ht="26.25" customHeight="1">
      <ns0:c r="C406" s="1" t="inlineStr">
        <ns0:is>
          <ns0:t>Total VP TEST</ns0:t>
        </ns0:is>
      </ns0:c>
      <ns0:c r="E406" s="1">
        <ns0:f>SUM(E402:E405)</ns0:f>
        <ns0:v/>
      </ns0:c>
      <ns0:c r="F406" s="1">
        <ns0:f>SUM(F402:F405)</ns0:f>
        <ns0:v/>
      </ns0:c>
      <ns0:c r="G406" s="1">
        <ns0:f>G402+G404</ns0:f>
        <ns0:v/>
      </ns0:c>
      <ns0:c r="H406" s="1">
        <ns0:f>H402+H404</ns0:f>
        <ns0:v/>
      </ns0:c>
      <ns0:c r="I406" s="1">
        <ns0:f>I402+I404</ns0:f>
        <ns0:v/>
      </ns0:c>
      <ns0:c r="J406" s="1">
        <ns0:f>J402+J404</ns0:f>
        <ns0:v/>
      </ns0:c>
      <ns0:c r="K406" s="1">
        <ns0:f>K402+K404</ns0:f>
        <ns0:v/>
      </ns0:c>
      <ns0:c r="L406" s="1">
        <ns0:f>L402+L404</ns0:f>
        <ns0:v/>
      </ns0:c>
      <ns0:c r="M406" s="1">
        <ns0:f>SUM(G406:L406)</ns0:f>
        <ns0:v/>
      </ns0:c>
      <ns0:c r="N406" s="1">
        <ns0:f>M406/E406</ns0:f>
        <ns0:v/>
      </ns0:c>
      <ns0:c r="O406" s="1">
        <ns0:f>+O402+O404</ns0:f>
        <ns0:v/>
      </ns0:c>
      <ns0:c r="P406" s="1">
        <ns0:f>+P402+P404</ns0:f>
        <ns0:v/>
      </ns0:c>
      <ns0:c r="Q406" s="1">
        <ns0:f>+P406+O406+J406+I406+H406+G406</ns0:f>
        <ns0:v/>
      </ns0:c>
      <ns0:c r="R406" s="1">
        <ns0:f>+Q406/E406</ns0:f>
        <ns0:v/>
      </ns0:c>
      <ns0:c r="S406" s="1" t="inlineStr">
        <ns0:is>
          <ns0:t xml:space="preserve"> Hearing voltage up 10%</ns0:t>
        </ns0:is>
      </ns0:c>
    </ns0:row>
    <ns0:row r="407" ht="26.25" customHeight="1">
      <ns0:c r="G407" s="1">
        <ns0:f>+G406/M406</ns0:f>
        <ns0:v/>
      </ns0:c>
      <ns0:c r="H407" s="1">
        <ns0:f>+H406/M406</ns0:f>
        <ns0:v/>
      </ns0:c>
      <ns0:c r="I407" s="1">
        <ns0:f>+I406/M406</ns0:f>
        <ns0:v/>
      </ns0:c>
      <ns0:c r="J407" s="1">
        <ns0:f>+J406/M406</ns0:f>
        <ns0:v/>
      </ns0:c>
      <ns0:c r="K407" s="1">
        <ns0:f>+K406/M406</ns0:f>
        <ns0:v/>
      </ns0:c>
      <ns0:c r="L407" s="1">
        <ns0:f>+L406/M406</ns0:f>
        <ns0:v/>
      </ns0:c>
      <ns0:c r="O407" s="1">
        <ns0:f>+O406/Q406</ns0:f>
        <ns0:v/>
      </ns0:c>
      <ns0:c r="P407" s="1">
        <ns0:f>+P406/Q406</ns0:f>
        <ns0:v/>
      </ns0:c>
      <ns0:c r="U407" s="1" t="inlineStr">
        <ns0:is>
          <ns0:t>Compare film type 1</ns0:t>
        </ns0:is>
      </ns0:c>
    </ns0:row>
    <ns0:row r="408" ht="26.25" customHeight="1">
      <ns0:c r="C408" s="1" t="inlineStr">
        <ns0:is>
          <ns0:t>Normal</ns0:t>
        </ns0:is>
      </ns0:c>
      <ns0:c r="E408" s="1" t="n">
        <ns0:v>555</ns0:v>
      </ns0:c>
      <ns0:c r="F408" s="1">
        <ns0:f>+E408-Q408</ns0:f>
        <ns0:v/>
      </ns0:c>
      <ns0:c r="G408" s="1" t="n">
        <ns0:v>0</ns0:v>
      </ns0:c>
      <ns0:c r="H408" s="1" t="n">
        <ns0:v>2</ns0:v>
      </ns0:c>
      <ns0:c r="I408" s="1" t="n">
        <ns0:v>2</ns0:v>
      </ns0:c>
      <ns0:c r="J408" s="1" t="n">
        <ns0:v>0</ns0:v>
      </ns0:c>
      <ns0:c r="K408" s="1" t="n">
        <ns0:v>11</ns0:v>
      </ns0:c>
      <ns0:c r="L408" s="1" t="n">
        <ns0:v>125</ns0:v>
      </ns0:c>
      <ns0:c r="M408" s="1">
        <ns0:f>SUM(G408:L408)</ns0:f>
        <ns0:v/>
      </ns0:c>
      <ns0:c r="N408" s="1">
        <ns0:f>M408/E408</ns0:f>
        <ns0:v/>
      </ns0:c>
      <ns0:c r="O408" s="1" t="n">
        <ns0:v>4</ns0:v>
      </ns0:c>
      <ns0:c r="P408" s="1" t="n">
        <ns0:v>94</ns0:v>
      </ns0:c>
      <ns0:c r="Q408" s="1">
        <ns0:f>+P408+O408+J408+I408+H408+G408</ns0:f>
        <ns0:v/>
      </ns0:c>
      <ns0:c r="R408" s="1">
        <ns0:f>+Q408/E408</ns0:f>
        <ns0:v/>
      </ns0:c>
      <ns0:c r="S408" s="1" t="inlineStr">
        <ns0:is>
          <ns0:t xml:space="preserve"> Hearing voltage up 10%</ns0:t>
        </ns0:is>
      </ns0:c>
    </ns0:row>
    <ns0:row r="409" ht="26.25" customHeight="1">
      <ns0:c r="G409" s="1">
        <ns0:f>+G408/M408</ns0:f>
        <ns0:v/>
      </ns0:c>
      <ns0:c r="H409" s="1">
        <ns0:f>+H408/M408</ns0:f>
        <ns0:v/>
      </ns0:c>
      <ns0:c r="I409" s="1">
        <ns0:f>+I408/M408</ns0:f>
        <ns0:v/>
      </ns0:c>
      <ns0:c r="J409" s="1">
        <ns0:f>+J408/M408</ns0:f>
        <ns0:v/>
      </ns0:c>
      <ns0:c r="K409" s="1">
        <ns0:f>+K408/M408</ns0:f>
        <ns0:v/>
      </ns0:c>
      <ns0:c r="L409" s="1">
        <ns0:f>+L408/M408</ns0:f>
        <ns0:v/>
      </ns0:c>
      <ns0:c r="O409" s="1">
        <ns0:f>+O408/Q408</ns0:f>
        <ns0:v/>
      </ns0:c>
      <ns0:c r="P409" s="1">
        <ns0:f>+P408/Q408</ns0:f>
        <ns0:v/>
      </ns0:c>
    </ns0:row>
    <ns0:row r="410" ht="26.25" customHeight="1">
      <ns0:c r="B410" s="2" t="n">
        <ns0:v>45492</ns0:v>
      </ns0:c>
      <ns0:c r="C410" s="1" t="inlineStr">
        <ns0:is>
          <ns0:t>VP+CD</ns0:t>
        </ns0:is>
      </ns0:c>
      <ns0:c r="D410" s="1" t="inlineStr">
        <ns0:is>
          <ns0:t>VP corner Bonding speed 17 =&gt; 19
 ( Bond amount 3.4~3.6mg )</ns0:t>
        </ns0:is>
      </ns0:c>
      <ns0:c r="E410" s="1" t="n">
        <ns0:v>478</ns0:v>
      </ns0:c>
      <ns0:c r="F410" s="1">
        <ns0:f>+E410-Q410</ns0:f>
        <ns0:v/>
      </ns0:c>
      <ns0:c r="G410" s="1" t="n">
        <ns0:v>0</ns0:v>
      </ns0:c>
      <ns0:c r="H410" s="1" t="n">
        <ns0:v>0</ns0:v>
      </ns0:c>
      <ns0:c r="I410" s="1" t="n">
        <ns0:v>0</ns0:v>
      </ns0:c>
      <ns0:c r="J410" s="1" t="n">
        <ns0:v>0</ns0:v>
      </ns0:c>
      <ns0:c r="K410" s="1" t="n">
        <ns0:v>34</ns0:v>
      </ns0:c>
      <ns0:c r="L410" s="1" t="n">
        <ns0:v>70</ns0:v>
      </ns0:c>
      <ns0:c r="M410" s="1">
        <ns0:f>SUM(G410:L410)</ns0:f>
        <ns0:v/>
      </ns0:c>
      <ns0:c r="N410" s="1">
        <ns0:f>M410/E410</ns0:f>
        <ns0:v/>
      </ns0:c>
      <ns0:c r="O410" s="1" t="n">
        <ns0:v>18</ns0:v>
      </ns0:c>
      <ns0:c r="P410" s="1" t="n">
        <ns0:v>38</ns0:v>
      </ns0:c>
      <ns0:c r="Q410" s="1">
        <ns0:f>+P410+O410+J410+I410+H410+G410</ns0:f>
        <ns0:v/>
      </ns0:c>
      <ns0:c r="R410" s="1">
        <ns0:f>+Q410/E410</ns0:f>
        <ns0:v/>
      </ns0:c>
      <ns0:c r="S410" s="1" t="inlineStr">
        <ns0:is>
          <ns0:t xml:space="preserve"> Hearing voltage up 10%</ns0:t>
        </ns0:is>
      </ns0:c>
    </ns0:row>
    <ns0:row r="411" ht="26.25" customHeight="1">
      <ns0:c r="G411" s="1">
        <ns0:f>+G410/M410</ns0:f>
        <ns0:v/>
      </ns0:c>
      <ns0:c r="H411" s="1">
        <ns0:f>+H410/M410</ns0:f>
        <ns0:v/>
      </ns0:c>
      <ns0:c r="I411" s="1">
        <ns0:f>+I410/M410</ns0:f>
        <ns0:v/>
      </ns0:c>
      <ns0:c r="J411" s="1">
        <ns0:f>+J410/M410</ns0:f>
        <ns0:v/>
      </ns0:c>
      <ns0:c r="K411" s="1">
        <ns0:f>+K410/M410</ns0:f>
        <ns0:v/>
      </ns0:c>
      <ns0:c r="L411" s="1">
        <ns0:f>+L410/M410</ns0:f>
        <ns0:v/>
      </ns0:c>
      <ns0:c r="O411" s="1">
        <ns0:f>+O410/Q410</ns0:f>
        <ns0:v/>
      </ns0:c>
      <ns0:c r="P411" s="1">
        <ns0:f>+P410/Q410</ns0:f>
        <ns0:v/>
      </ns0:c>
    </ns0:row>
    <ns0:row r="412" ht="26.25" customHeight="1">
      <ns0:c r="D412" s="1" t="inlineStr">
        <ns0:is>
          <ns0:t xml:space="preserve"> Increase bond amount 3.7mg
 ( Spec 3.4~3.6mg )</ns0:t>
        </ns0:is>
      </ns0:c>
      <ns0:c r="E412" s="1" t="n">
        <ns0:v>464</ns0:v>
      </ns0:c>
      <ns0:c r="F412" s="1">
        <ns0:f>+E412-Q412</ns0:f>
        <ns0:v/>
      </ns0:c>
      <ns0:c r="G412" s="1" t="n">
        <ns0:v>0</ns0:v>
      </ns0:c>
      <ns0:c r="H412" s="1" t="n">
        <ns0:v>0</ns0:v>
      </ns0:c>
      <ns0:c r="I412" s="1" t="n">
        <ns0:v>1</ns0:v>
      </ns0:c>
      <ns0:c r="J412" s="1" t="n">
        <ns0:v>0</ns0:v>
      </ns0:c>
      <ns0:c r="K412" s="1" t="n">
        <ns0:v>39</ns0:v>
      </ns0:c>
      <ns0:c r="L412" s="1" t="n">
        <ns0:v>76</ns0:v>
      </ns0:c>
      <ns0:c r="M412" s="1">
        <ns0:f>SUM(G412:L412)</ns0:f>
        <ns0:v/>
      </ns0:c>
      <ns0:c r="N412" s="1">
        <ns0:f>M412/E412</ns0:f>
        <ns0:v/>
      </ns0:c>
      <ns0:c r="O412" s="1" t="n">
        <ns0:v>10</ns0:v>
      </ns0:c>
      <ns0:c r="P412" s="1" t="n">
        <ns0:v>35</ns0:v>
      </ns0:c>
      <ns0:c r="Q412" s="1">
        <ns0:f>+P412+O412+J412+I412+H412+G412</ns0:f>
        <ns0:v/>
      </ns0:c>
      <ns0:c r="R412" s="1">
        <ns0:f>+Q412/E412</ns0:f>
        <ns0:v/>
      </ns0:c>
      <ns0:c r="S412" s="1" t="inlineStr">
        <ns0:is>
          <ns0:t xml:space="preserve"> Hearing voltage up 10%</ns0:t>
        </ns0:is>
      </ns0:c>
    </ns0:row>
    <ns0:row r="413" ht="26.25" customHeight="1">
      <ns0:c r="G413" s="1">
        <ns0:f>+G412/M412</ns0:f>
        <ns0:v/>
      </ns0:c>
      <ns0:c r="H413" s="1">
        <ns0:f>+H412/M412</ns0:f>
        <ns0:v/>
      </ns0:c>
      <ns0:c r="I413" s="1">
        <ns0:f>+I412/M412</ns0:f>
        <ns0:v/>
      </ns0:c>
      <ns0:c r="J413" s="1">
        <ns0:f>+J412/M412</ns0:f>
        <ns0:v/>
      </ns0:c>
      <ns0:c r="K413" s="1">
        <ns0:f>+K412/M412</ns0:f>
        <ns0:v/>
      </ns0:c>
      <ns0:c r="L413" s="1">
        <ns0:f>+L412/M412</ns0:f>
        <ns0:v/>
      </ns0:c>
      <ns0:c r="O413" s="1">
        <ns0:f>+O412/Q412</ns0:f>
        <ns0:v/>
      </ns0:c>
      <ns0:c r="P413" s="1">
        <ns0:f>+P412/Q412</ns0:f>
        <ns0:v/>
      </ns0:c>
    </ns0:row>
    <ns0:row r="414" ht="26.25" customHeight="1">
      <ns0:c r="C414" s="1" t="inlineStr">
        <ns0:is>
          <ns0:t>VP</ns0:t>
        </ns0:is>
      </ns0:c>
      <ns0:c r="D414" s="1" t="inlineStr">
        <ns0:is>
          <ns0:t>IR 240627081-00003
 ( NVL đầu vào qua B1 ) date 16/7</ns0:t>
        </ns0:is>
      </ns0:c>
      <ns0:c r="E414" s="1">
        <ns0:f>558+106</ns0:f>
        <ns0:v/>
      </ns0:c>
      <ns0:c r="F414" s="1">
        <ns0:f>+E414-Q414</ns0:f>
        <ns0:v/>
      </ns0:c>
      <ns0:c r="G414" s="1" t="n">
        <ns0:v>0</ns0:v>
      </ns0:c>
      <ns0:c r="H414" s="1" t="n">
        <ns0:v>2</ns0:v>
      </ns0:c>
      <ns0:c r="I414" s="1" t="n">
        <ns0:v>1</ns0:v>
      </ns0:c>
      <ns0:c r="J414" s="1" t="n">
        <ns0:v>0</ns0:v>
      </ns0:c>
      <ns0:c r="K414" s="1" t="n">
        <ns0:v>26</ns0:v>
      </ns0:c>
      <ns0:c r="L414" s="1" t="n">
        <ns0:v>121</ns0:v>
      </ns0:c>
      <ns0:c r="M414" s="1">
        <ns0:f>SUM(G414:L414)</ns0:f>
        <ns0:v/>
      </ns0:c>
      <ns0:c r="N414" s="1">
        <ns0:f>M414/E414</ns0:f>
        <ns0:v/>
      </ns0:c>
      <ns0:c r="O414" s="1" t="n">
        <ns0:v>19</ns0:v>
      </ns0:c>
      <ns0:c r="P414" s="1" t="n">
        <ns0:v>59</ns0:v>
      </ns0:c>
      <ns0:c r="Q414" s="1">
        <ns0:f>+P414+O414+J414+I414+H414+G414</ns0:f>
        <ns0:v/>
      </ns0:c>
      <ns0:c r="R414" s="1">
        <ns0:f>+Q414/E414</ns0:f>
        <ns0:v/>
      </ns0:c>
      <ns0:c r="S414" s="1" t="inlineStr">
        <ns0:is>
          <ns0:t xml:space="preserve"> Hearing voltage up 10%</ns0:t>
        </ns0:is>
      </ns0:c>
    </ns0:row>
    <ns0:row r="415" ht="26.25" customHeight="1">
      <ns0:c r="G415" s="1">
        <ns0:f>+G414/M414</ns0:f>
        <ns0:v/>
      </ns0:c>
      <ns0:c r="H415" s="1">
        <ns0:f>+H414/M414</ns0:f>
        <ns0:v/>
      </ns0:c>
      <ns0:c r="I415" s="1">
        <ns0:f>+I414/M414</ns0:f>
        <ns0:v/>
      </ns0:c>
      <ns0:c r="J415" s="1">
        <ns0:f>+J414/M414</ns0:f>
        <ns0:v/>
      </ns0:c>
      <ns0:c r="K415" s="1">
        <ns0:f>+K414/M414</ns0:f>
        <ns0:v/>
      </ns0:c>
      <ns0:c r="L415" s="1">
        <ns0:f>+L414/M414</ns0:f>
        <ns0:v/>
      </ns0:c>
      <ns0:c r="O415" s="1">
        <ns0:f>+O414/Q414</ns0:f>
        <ns0:v/>
      </ns0:c>
      <ns0:c r="P415" s="1">
        <ns0:f>+P414/Q414</ns0:f>
        <ns0:v/>
      </ns0:c>
      <ns0:c r="U415" s="1" t="inlineStr">
        <ns0:is>
          <ns0:t>Compare film type 2</ns0:t>
        </ns0:is>
      </ns0:c>
    </ns0:row>
    <ns0:row r="416" ht="26.25" customHeight="1">
      <ns0:c r="D416" s="1" t="inlineStr">
        <ns0:is>
          <ns0:t>VP forming Old mold 
(VP 240627081)</ns0:t>
        </ns0:is>
      </ns0:c>
      <ns0:c r="E416" s="1" t="n">
        <ns0:v>188</ns0:v>
      </ns0:c>
      <ns0:c r="F416" s="1">
        <ns0:f>+E416-Q416</ns0:f>
        <ns0:v/>
      </ns0:c>
      <ns0:c r="G416" s="1" t="n">
        <ns0:v>0</ns0:v>
      </ns0:c>
      <ns0:c r="H416" s="1" t="n">
        <ns0:v>0</ns0:v>
      </ns0:c>
      <ns0:c r="I416" s="1" t="n">
        <ns0:v>0</ns0:v>
      </ns0:c>
      <ns0:c r="J416" s="1" t="n">
        <ns0:v>0</ns0:v>
      </ns0:c>
      <ns0:c r="K416" s="1" t="n">
        <ns0:v>6</ns0:v>
      </ns0:c>
      <ns0:c r="L416" s="1" t="n">
        <ns0:v>11</ns0:v>
      </ns0:c>
      <ns0:c r="M416" s="1">
        <ns0:f>SUM(G416:L416)</ns0:f>
        <ns0:v/>
      </ns0:c>
      <ns0:c r="N416" s="1">
        <ns0:f>M416/E416</ns0:f>
        <ns0:v/>
      </ns0:c>
      <ns0:c r="O416" s="1" t="n">
        <ns0:v>2</ns0:v>
      </ns0:c>
      <ns0:c r="P416" s="1" t="n">
        <ns0:v>7</ns0:v>
      </ns0:c>
      <ns0:c r="Q416" s="1">
        <ns0:f>+P416+O416+J416+I416+H416+G416</ns0:f>
        <ns0:v/>
      </ns0:c>
      <ns0:c r="R416" s="1">
        <ns0:f>+Q416/E416</ns0:f>
        <ns0:v/>
      </ns0:c>
      <ns0:c r="S416" s="1" t="inlineStr">
        <ns0:is>
          <ns0:t xml:space="preserve"> Hearing voltage up 10%</ns0:t>
        </ns0:is>
      </ns0:c>
    </ns0:row>
    <ns0:row r="417" ht="26.25" customHeight="1">
      <ns0:c r="G417" s="1">
        <ns0:f>+G416/M416</ns0:f>
        <ns0:v/>
      </ns0:c>
      <ns0:c r="H417" s="1">
        <ns0:f>+H416/M416</ns0:f>
        <ns0:v/>
      </ns0:c>
      <ns0:c r="I417" s="1">
        <ns0:f>+I416/M416</ns0:f>
        <ns0:v/>
      </ns0:c>
      <ns0:c r="J417" s="1">
        <ns0:f>+J416/M416</ns0:f>
        <ns0:v/>
      </ns0:c>
      <ns0:c r="K417" s="1">
        <ns0:f>+K416/M416</ns0:f>
        <ns0:v/>
      </ns0:c>
      <ns0:c r="L417" s="1">
        <ns0:f>+L416/M416</ns0:f>
        <ns0:v/>
      </ns0:c>
      <ns0:c r="O417" s="1">
        <ns0:f>+O416/Q416</ns0:f>
        <ns0:v/>
      </ns0:c>
      <ns0:c r="P417" s="1">
        <ns0:f>+P416/Q416</ns0:f>
        <ns0:v/>
      </ns0:c>
    </ns0:row>
    <ns0:row r="418" ht="26.25" customHeight="1">
      <ns0:c r="D418" s="1" t="inlineStr">
        <ns0:is>
          <ns0:t>VP after clean mold 
(VP 240627081)</ns0:t>
        </ns0:is>
      </ns0:c>
      <ns0:c r="E418" s="1">
        <ns0:f>453+462</ns0:f>
        <ns0:v/>
      </ns0:c>
      <ns0:c r="F418" s="1">
        <ns0:f>+E418-Q418</ns0:f>
        <ns0:v/>
      </ns0:c>
      <ns0:c r="G418" s="1" t="n">
        <ns0:v>0</ns0:v>
      </ns0:c>
      <ns0:c r="H418" s="1" t="n">
        <ns0:v>4</ns0:v>
      </ns0:c>
      <ns0:c r="I418" s="1" t="n">
        <ns0:v>1</ns0:v>
      </ns0:c>
      <ns0:c r="J418" s="1" t="n">
        <ns0:v>0</ns0:v>
      </ns0:c>
      <ns0:c r="K418" s="1">
        <ns0:f>7+24</ns0:f>
        <ns0:v/>
      </ns0:c>
      <ns0:c r="L418" s="1">
        <ns0:f>95+75</ns0:f>
        <ns0:v/>
      </ns0:c>
      <ns0:c r="M418" s="1">
        <ns0:f>SUM(G418:L418)</ns0:f>
        <ns0:v/>
      </ns0:c>
      <ns0:c r="N418" s="1">
        <ns0:f>M418/E418</ns0:f>
        <ns0:v/>
      </ns0:c>
      <ns0:c r="O418" s="1">
        <ns0:f>7+22</ns0:f>
        <ns0:v/>
      </ns0:c>
      <ns0:c r="P418" s="1">
        <ns0:f>58+39</ns0:f>
        <ns0:v/>
      </ns0:c>
      <ns0:c r="Q418" s="1">
        <ns0:f>+P418+O418+J418+I418+H418+G418</ns0:f>
        <ns0:v/>
      </ns0:c>
      <ns0:c r="R418" s="1">
        <ns0:f>+Q418/E418</ns0:f>
        <ns0:v/>
      </ns0:c>
      <ns0:c r="S418" s="1" t="inlineStr">
        <ns0:is>
          <ns0:t xml:space="preserve"> Hearing voltage up 10%</ns0:t>
        </ns0:is>
      </ns0:c>
    </ns0:row>
    <ns0:row r="419" ht="26.25" customHeight="1">
      <ns0:c r="G419" s="1">
        <ns0:f>+G418/M418</ns0:f>
        <ns0:v/>
      </ns0:c>
      <ns0:c r="H419" s="1">
        <ns0:f>+H418/M418</ns0:f>
        <ns0:v/>
      </ns0:c>
      <ns0:c r="I419" s="1">
        <ns0:f>+I418/M418</ns0:f>
        <ns0:v/>
      </ns0:c>
      <ns0:c r="J419" s="1">
        <ns0:f>+J418/M418</ns0:f>
        <ns0:v/>
      </ns0:c>
      <ns0:c r="K419" s="1">
        <ns0:f>+K418/M418</ns0:f>
        <ns0:v/>
      </ns0:c>
      <ns0:c r="L419" s="1">
        <ns0:f>+L418/M418</ns0:f>
        <ns0:v/>
      </ns0:c>
      <ns0:c r="O419" s="1">
        <ns0:f>+O418/Q418</ns0:f>
        <ns0:v/>
      </ns0:c>
      <ns0:c r="P419" s="1">
        <ns0:f>+P418/Q418</ns0:f>
        <ns0:v/>
      </ns0:c>
    </ns0:row>
    <ns0:row r="420" ht="26.25" customHeight="1">
      <ns0:c r="C420" s="1" t="inlineStr">
        <ns0:is>
          <ns0:t>Frame improve R-PT</ns0:t>
        </ns0:is>
      </ns0:c>
      <ns0:c r="D420" s="1" t="inlineStr">
        <ns0:is>
          <ns0:t>Frame sorting bending OK 
( VP 240627081)</ns0:t>
        </ns0:is>
      </ns0:c>
      <ns0:c r="E420" s="1" t="n">
        <ns0:v>266</ns0:v>
      </ns0:c>
      <ns0:c r="F420" s="1">
        <ns0:f>+E420-Q420</ns0:f>
        <ns0:v/>
      </ns0:c>
      <ns0:c r="G420" s="1" t="n">
        <ns0:v>0</ns0:v>
      </ns0:c>
      <ns0:c r="H420" s="1" t="n">
        <ns0:v>0</ns0:v>
      </ns0:c>
      <ns0:c r="I420" s="1" t="n">
        <ns0:v>0</ns0:v>
      </ns0:c>
      <ns0:c r="J420" s="1" t="n">
        <ns0:v>0</ns0:v>
      </ns0:c>
      <ns0:c r="K420" s="1" t="n">
        <ns0:v>4</ns0:v>
      </ns0:c>
      <ns0:c r="L420" s="1" t="n">
        <ns0:v>16</ns0:v>
      </ns0:c>
      <ns0:c r="M420" s="1">
        <ns0:f>SUM(G420:L420)</ns0:f>
        <ns0:v/>
      </ns0:c>
      <ns0:c r="N420" s="1">
        <ns0:f>M420/E420</ns0:f>
        <ns0:v/>
      </ns0:c>
      <ns0:c r="O420" s="1" t="n">
        <ns0:v>4</ns0:v>
      </ns0:c>
      <ns0:c r="P420" s="1" t="n">
        <ns0:v>7</ns0:v>
      </ns0:c>
      <ns0:c r="Q420" s="1">
        <ns0:f>+P420+O420+J420+I420+H420+G420</ns0:f>
        <ns0:v/>
      </ns0:c>
      <ns0:c r="R420" s="1">
        <ns0:f>+Q420/E420</ns0:f>
        <ns0:v/>
      </ns0:c>
      <ns0:c r="S420" s="1" t="inlineStr">
        <ns0:is>
          <ns0:t xml:space="preserve"> Hearing voltage up 10%</ns0:t>
        </ns0:is>
      </ns0:c>
    </ns0:row>
    <ns0:row r="421" ht="26.25" customHeight="1">
      <ns0:c r="G421" s="1">
        <ns0:f>+G420/M420</ns0:f>
        <ns0:v/>
      </ns0:c>
      <ns0:c r="H421" s="1">
        <ns0:f>+H420/M420</ns0:f>
        <ns0:v/>
      </ns0:c>
      <ns0:c r="I421" s="1">
        <ns0:f>+I420/M420</ns0:f>
        <ns0:v/>
      </ns0:c>
      <ns0:c r="J421" s="1">
        <ns0:f>+J420/M420</ns0:f>
        <ns0:v/>
      </ns0:c>
      <ns0:c r="K421" s="1">
        <ns0:f>+K420/M420</ns0:f>
        <ns0:v/>
      </ns0:c>
      <ns0:c r="L421" s="1">
        <ns0:f>+L420/M420</ns0:f>
        <ns0:v/>
      </ns0:c>
      <ns0:c r="O421" s="1">
        <ns0:f>+O420/Q420</ns0:f>
        <ns0:v/>
      </ns0:c>
      <ns0:c r="P421" s="1">
        <ns0:f>+P420/Q420</ns0:f>
        <ns0:v/>
      </ns0:c>
    </ns0:row>
    <ns0:row r="422" ht="26.25" customHeight="1">
      <ns0:c r="C422" s="1" t="inlineStr">
        <ns0:is>
          <ns0:t>Normal</ns0:t>
        </ns0:is>
      </ns0:c>
      <ns0:c r="E422" s="1">
        <ns0:f>369+112+17</ns0:f>
        <ns0:v/>
      </ns0:c>
      <ns0:c r="F422" s="1">
        <ns0:f>+E422-M422</ns0:f>
        <ns0:v/>
      </ns0:c>
      <ns0:c r="G422" s="1" t="n">
        <ns0:v>0</ns0:v>
      </ns0:c>
      <ns0:c r="H422" s="1" t="n">
        <ns0:v>4</ns0:v>
      </ns0:c>
      <ns0:c r="I422" s="1" t="n">
        <ns0:v>2</ns0:v>
      </ns0:c>
      <ns0:c r="J422" s="1" t="n">
        <ns0:v>0</ns0:v>
      </ns0:c>
      <ns0:c r="K422" s="1" t="n">
        <ns0:v>9</ns0:v>
      </ns0:c>
      <ns0:c r="L422" s="1" t="n">
        <ns0:v>54</ns0:v>
      </ns0:c>
      <ns0:c r="M422" s="1">
        <ns0:f>SUM(G422:L422)</ns0:f>
        <ns0:v/>
      </ns0:c>
      <ns0:c r="N422" s="1">
        <ns0:f>M422/E422</ns0:f>
        <ns0:v/>
      </ns0:c>
      <ns0:c r="O422" s="1" t="n">
        <ns0:v>4</ns0:v>
      </ns0:c>
      <ns0:c r="P422" s="1" t="n">
        <ns0:v>31</ns0:v>
      </ns0:c>
      <ns0:c r="Q422" s="1">
        <ns0:f>+P422+O422+J422+I422+H422+G422</ns0:f>
        <ns0:v/>
      </ns0:c>
      <ns0:c r="R422" s="1">
        <ns0:f>+Q422/E422</ns0:f>
        <ns0:v/>
      </ns0:c>
      <ns0:c r="S422" s="1" t="inlineStr">
        <ns0:is>
          <ns0:t xml:space="preserve"> Hearing voltage up 10%</ns0:t>
        </ns0:is>
      </ns0:c>
    </ns0:row>
    <ns0:row r="423" ht="26.25" customHeight="1">
      <ns0:c r="G423" s="1">
        <ns0:f>+G422/M422</ns0:f>
        <ns0:v/>
      </ns0:c>
      <ns0:c r="H423" s="1">
        <ns0:f>+H422/M422</ns0:f>
        <ns0:v/>
      </ns0:c>
      <ns0:c r="I423" s="1">
        <ns0:f>+I422/M422</ns0:f>
        <ns0:v/>
      </ns0:c>
      <ns0:c r="J423" s="1">
        <ns0:f>+J422/M422</ns0:f>
        <ns0:v/>
      </ns0:c>
      <ns0:c r="K423" s="1">
        <ns0:f>+K422/M422</ns0:f>
        <ns0:v/>
      </ns0:c>
      <ns0:c r="L423" s="1">
        <ns0:f>+L422/M422</ns0:f>
        <ns0:v/>
      </ns0:c>
      <ns0:c r="O423" s="1">
        <ns0:f>+O422/Q422</ns0:f>
        <ns0:v/>
      </ns0:c>
      <ns0:c r="P423" s="1">
        <ns0:f>+P422/Q422</ns0:f>
        <ns0:v/>
      </ns0:c>
    </ns0:row>
    <ns0:row r="424" ht="26.25" customHeight="1">
      <ns0:c r="B424" s="2" t="n">
        <ns0:v>45493</ns0:v>
      </ns0:c>
      <ns0:c r="C424" s="1" t="inlineStr">
        <ns0:is>
          <ns0:t>VP+CD</ns0:t>
        </ns0:is>
      </ns0:c>
      <ns0:c r="D424" s="1" t="inlineStr">
        <ns0:is>
          <ns0:t>VP Bonding move outside 0.03</ns0:t>
        </ns0:is>
      </ns0:c>
      <ns0:c r="E424" s="1" t="n">
        <ns0:v>317</ns0:v>
      </ns0:c>
      <ns0:c r="F424" s="1">
        <ns0:f>+E424-M424</ns0:f>
        <ns0:v/>
      </ns0:c>
      <ns0:c r="G424" s="1" t="n">
        <ns0:v>0</ns0:v>
      </ns0:c>
      <ns0:c r="H424" s="1" t="n">
        <ns0:v>0</ns0:v>
      </ns0:c>
      <ns0:c r="I424" s="1" t="n">
        <ns0:v>0</ns0:v>
      </ns0:c>
      <ns0:c r="J424" s="1" t="n">
        <ns0:v>0</ns0:v>
      </ns0:c>
      <ns0:c r="K424" s="1" t="n">
        <ns0:v>5</ns0:v>
      </ns0:c>
      <ns0:c r="L424" s="1" t="n">
        <ns0:v>15</ns0:v>
      </ns0:c>
      <ns0:c r="M424" s="1">
        <ns0:f>SUM(G424:L424)</ns0:f>
        <ns0:v/>
      </ns0:c>
      <ns0:c r="N424" s="1">
        <ns0:f>M424/E424</ns0:f>
        <ns0:v/>
      </ns0:c>
      <ns0:c r="O424" s="1" t="n">
        <ns0:v>0</ns0:v>
      </ns0:c>
      <ns0:c r="P424" s="1" t="n">
        <ns0:v>7</ns0:v>
      </ns0:c>
      <ns0:c r="Q424" s="1">
        <ns0:f>+P424+O424+J424+I424+H424+G424</ns0:f>
        <ns0:v/>
      </ns0:c>
      <ns0:c r="R424" s="1">
        <ns0:f>+Q424/E424</ns0:f>
        <ns0:v/>
      </ns0:c>
      <ns0:c r="S424" s="1" t="inlineStr">
        <ns0:is>
          <ns0:t xml:space="preserve"> Hearing voltage up 10%</ns0:t>
        </ns0:is>
      </ns0:c>
    </ns0:row>
    <ns0:row r="425" ht="26.25" customHeight="1">
      <ns0:c r="G425" s="1">
        <ns0:f>+G424/M424</ns0:f>
        <ns0:v/>
      </ns0:c>
      <ns0:c r="H425" s="1">
        <ns0:f>+H424/M424</ns0:f>
        <ns0:v/>
      </ns0:c>
      <ns0:c r="I425" s="1">
        <ns0:f>+I424/M424</ns0:f>
        <ns0:v/>
      </ns0:c>
      <ns0:c r="J425" s="1">
        <ns0:f>+J424/M424</ns0:f>
        <ns0:v/>
      </ns0:c>
      <ns0:c r="K425" s="1">
        <ns0:f>+K424/M424</ns0:f>
        <ns0:v/>
      </ns0:c>
      <ns0:c r="L425" s="1">
        <ns0:f>+L424/M424</ns0:f>
        <ns0:v/>
      </ns0:c>
      <ns0:c r="O425" s="1">
        <ns0:f>+O424/Q424</ns0:f>
        <ns0:v/>
      </ns0:c>
      <ns0:c r="P425" s="1">
        <ns0:f>+P424/Q424</ns0:f>
        <ns0:v/>
      </ns0:c>
    </ns0:row>
    <ns0:row r="426" ht="26.25" customHeight="1">
      <ns0:c r="D426" s="1" t="inlineStr">
        <ns0:is>
          <ns0:t>VP Bonding move outside 0.2</ns0:t>
        </ns0:is>
      </ns0:c>
      <ns0:c r="E426" s="1" t="n">
        <ns0:v>126</ns0:v>
      </ns0:c>
      <ns0:c r="F426" s="1">
        <ns0:f>+E426-M426</ns0:f>
        <ns0:v/>
      </ns0:c>
      <ns0:c r="G426" s="1" t="n">
        <ns0:v>0</ns0:v>
      </ns0:c>
      <ns0:c r="H426" s="1" t="n">
        <ns0:v>1</ns0:v>
      </ns0:c>
      <ns0:c r="I426" s="1" t="n">
        <ns0:v>0</ns0:v>
      </ns0:c>
      <ns0:c r="J426" s="1" t="n">
        <ns0:v>0</ns0:v>
      </ns0:c>
      <ns0:c r="K426" s="1" t="n">
        <ns0:v>3</ns0:v>
      </ns0:c>
      <ns0:c r="L426" s="1" t="n">
        <ns0:v>2</ns0:v>
      </ns0:c>
      <ns0:c r="M426" s="1">
        <ns0:f>SUM(G426:L426)</ns0:f>
        <ns0:v/>
      </ns0:c>
      <ns0:c r="N426" s="1">
        <ns0:f>M426/E426</ns0:f>
        <ns0:v/>
      </ns0:c>
      <ns0:c r="O426" s="1" t="n">
        <ns0:v>2</ns0:v>
      </ns0:c>
      <ns0:c r="P426" s="1" t="n">
        <ns0:v>0</ns0:v>
      </ns0:c>
      <ns0:c r="Q426" s="1">
        <ns0:f>+P426+O426+J426+I426+H426+G426</ns0:f>
        <ns0:v/>
      </ns0:c>
      <ns0:c r="R426" s="1">
        <ns0:f>+Q426/E426</ns0:f>
        <ns0:v/>
      </ns0:c>
      <ns0:c r="S426" s="1" t="inlineStr">
        <ns0:is>
          <ns0:t xml:space="preserve"> Hearing voltage up 10%</ns0:t>
        </ns0:is>
      </ns0:c>
    </ns0:row>
    <ns0:row r="427" ht="26.25" customHeight="1">
      <ns0:c r="G427" s="1">
        <ns0:f>+G426/M426</ns0:f>
        <ns0:v/>
      </ns0:c>
      <ns0:c r="H427" s="1">
        <ns0:f>+H426/M426</ns0:f>
        <ns0:v/>
      </ns0:c>
      <ns0:c r="I427" s="1">
        <ns0:f>+I426/M426</ns0:f>
        <ns0:v/>
      </ns0:c>
      <ns0:c r="J427" s="1">
        <ns0:f>+J426/M426</ns0:f>
        <ns0:v/>
      </ns0:c>
      <ns0:c r="K427" s="1">
        <ns0:f>+K426/M426</ns0:f>
        <ns0:v/>
      </ns0:c>
      <ns0:c r="L427" s="1">
        <ns0:f>+L426/M426</ns0:f>
        <ns0:v/>
      </ns0:c>
      <ns0:c r="O427" s="1">
        <ns0:f>+O426/Q426</ns0:f>
        <ns0:v/>
      </ns0:c>
      <ns0:c r="P427" s="1">
        <ns0:f>+P426/Q426</ns0:f>
        <ns0:v/>
      </ns0:c>
    </ns0:row>
    <ns0:row r="428" ht="26.25" customHeight="1">
      <ns0:c r="C428" s="1" t="inlineStr">
        <ns0:is>
          <ns0:t>VP</ns0:t>
        </ns0:is>
      </ns0:c>
      <ns0:c r="D428" s="1" t="inlineStr">
        <ns0:is>
          <ns0:t>IR 240627081-00002 ( date 17/7 )</ns0:t>
        </ns0:is>
      </ns0:c>
      <ns0:c r="E428" s="1" t="n">
        <ns0:v>475</ns0:v>
      </ns0:c>
      <ns0:c r="F428" s="1">
        <ns0:f>+E428-Q428</ns0:f>
        <ns0:v/>
      </ns0:c>
      <ns0:c r="G428" s="1" t="n">
        <ns0:v>0</ns0:v>
      </ns0:c>
      <ns0:c r="H428" s="1" t="n">
        <ns0:v>0</ns0:v>
      </ns0:c>
      <ns0:c r="I428" s="1" t="n">
        <ns0:v>0</ns0:v>
      </ns0:c>
      <ns0:c r="J428" s="1" t="n">
        <ns0:v>0</ns0:v>
      </ns0:c>
      <ns0:c r="K428" s="1" t="n">
        <ns0:v>27</ns0:v>
      </ns0:c>
      <ns0:c r="L428" s="1" t="n">
        <ns0:v>17</ns0:v>
      </ns0:c>
      <ns0:c r="M428" s="1">
        <ns0:f>SUM(G428:L428)</ns0:f>
        <ns0:v/>
      </ns0:c>
      <ns0:c r="N428" s="1">
        <ns0:f>M428/E428</ns0:f>
        <ns0:v/>
      </ns0:c>
      <ns0:c r="O428" s="1" t="n">
        <ns0:v>9</ns0:v>
      </ns0:c>
      <ns0:c r="P428" s="1" t="n">
        <ns0:v>8</ns0:v>
      </ns0:c>
      <ns0:c r="Q428" s="1">
        <ns0:f>+P428+O428+J428+I428+H428+G428</ns0:f>
        <ns0:v/>
      </ns0:c>
      <ns0:c r="R428" s="1">
        <ns0:f>+Q428/E428</ns0:f>
        <ns0:v/>
      </ns0:c>
      <ns0:c r="S428" s="1" t="inlineStr">
        <ns0:is>
          <ns0:t xml:space="preserve"> Hearing voltage up 10%</ns0:t>
        </ns0:is>
      </ns0:c>
    </ns0:row>
    <ns0:row r="429" ht="26.25" customHeight="1">
      <ns0:c r="G429" s="1">
        <ns0:f>+G428/M428</ns0:f>
        <ns0:v/>
      </ns0:c>
      <ns0:c r="H429" s="1">
        <ns0:f>+H428/M428</ns0:f>
        <ns0:v/>
      </ns0:c>
      <ns0:c r="I429" s="1">
        <ns0:f>+I428/M428</ns0:f>
        <ns0:v/>
      </ns0:c>
      <ns0:c r="J429" s="1">
        <ns0:f>+J428/M428</ns0:f>
        <ns0:v/>
      </ns0:c>
      <ns0:c r="K429" s="1">
        <ns0:f>+K428/M428</ns0:f>
        <ns0:v/>
      </ns0:c>
      <ns0:c r="L429" s="1">
        <ns0:f>+L428/M428</ns0:f>
        <ns0:v/>
      </ns0:c>
      <ns0:c r="O429" s="1">
        <ns0:f>+O428/Q428</ns0:f>
        <ns0:v/>
      </ns0:c>
      <ns0:c r="P429" s="1">
        <ns0:f>+P428/Q428</ns0:f>
        <ns0:v/>
      </ns0:c>
    </ns0:row>
    <ns0:row r="430" ht="26.25" customHeight="1">
      <ns0:c r="D430" s="1" t="inlineStr">
        <ns0:is>
          <ns0:t>IR 240703080-00003 ( date 16/7 )</ns0:t>
        </ns0:is>
      </ns0:c>
      <ns0:c r="E430" s="1" t="n">
        <ns0:v>421</ns0:v>
      </ns0:c>
      <ns0:c r="F430" s="1">
        <ns0:f>+E430-Q430</ns0:f>
        <ns0:v/>
      </ns0:c>
      <ns0:c r="G430" s="1" t="n">
        <ns0:v>0</ns0:v>
      </ns0:c>
      <ns0:c r="H430" s="1" t="n">
        <ns0:v>0</ns0:v>
      </ns0:c>
      <ns0:c r="I430" s="1" t="n">
        <ns0:v>0</ns0:v>
      </ns0:c>
      <ns0:c r="J430" s="1" t="n">
        <ns0:v>0</ns0:v>
      </ns0:c>
      <ns0:c r="K430" s="1" t="n">
        <ns0:v>12</ns0:v>
      </ns0:c>
      <ns0:c r="L430" s="1" t="n">
        <ns0:v>49</ns0:v>
      </ns0:c>
      <ns0:c r="M430" s="1">
        <ns0:f>SUM(G430:L430)</ns0:f>
        <ns0:v/>
      </ns0:c>
      <ns0:c r="N430" s="1">
        <ns0:f>M430/E430</ns0:f>
        <ns0:v/>
      </ns0:c>
      <ns0:c r="O430" s="1" t="n">
        <ns0:v>8</ns0:v>
      </ns0:c>
      <ns0:c r="P430" s="1" t="n">
        <ns0:v>32</ns0:v>
      </ns0:c>
      <ns0:c r="Q430" s="1">
        <ns0:f>+P430+O430+J430+I430+H430+G430</ns0:f>
        <ns0:v/>
      </ns0:c>
      <ns0:c r="R430" s="1">
        <ns0:f>+Q430/E430</ns0:f>
        <ns0:v/>
      </ns0:c>
      <ns0:c r="S430" s="1" t="inlineStr">
        <ns0:is>
          <ns0:t xml:space="preserve"> Hearing voltage up 10%</ns0:t>
        </ns0:is>
      </ns0:c>
    </ns0:row>
    <ns0:row r="431" ht="26.25" customHeight="1">
      <ns0:c r="G431" s="1">
        <ns0:f>+G430/M430</ns0:f>
        <ns0:v/>
      </ns0:c>
      <ns0:c r="H431" s="1">
        <ns0:f>+H430/M430</ns0:f>
        <ns0:v/>
      </ns0:c>
      <ns0:c r="I431" s="1">
        <ns0:f>+I430/M430</ns0:f>
        <ns0:v/>
      </ns0:c>
      <ns0:c r="J431" s="1">
        <ns0:f>+J430/M430</ns0:f>
        <ns0:v/>
      </ns0:c>
      <ns0:c r="K431" s="1">
        <ns0:f>+K430/M430</ns0:f>
        <ns0:v/>
      </ns0:c>
      <ns0:c r="L431" s="1">
        <ns0:f>+L430/M430</ns0:f>
        <ns0:v/>
      </ns0:c>
      <ns0:c r="O431" s="1">
        <ns0:f>+O430/Q430</ns0:f>
        <ns0:v/>
      </ns0:c>
      <ns0:c r="P431" s="1">
        <ns0:f>+P430/Q430</ns0:f>
        <ns0:v/>
      </ns0:c>
    </ns0:row>
    <ns0:row r="432" ht="26.25" customHeight="1">
      <ns0:c r="B432" s="2" t="n">
        <ns0:v>45495</ns0:v>
      </ns0:c>
      <ns0:c r="C432" s="1" t="inlineStr">
        <ns0:is>
          <ns0:t>VP OLD MOLD 
 ( before clean )</ns0:t>
        </ns0:is>
      </ns0:c>
      <ns0:c r="D432" s="1" t="inlineStr">
        <ns0:is>
          <ns0:t>IR 240627081-00002 ( date 19/7 )</ns0:t>
        </ns0:is>
      </ns0:c>
      <ns0:c r="E432" s="1" t="n">
        <ns0:v>392</ns0:v>
      </ns0:c>
      <ns0:c r="F432" s="1">
        <ns0:f>+E432-Q432</ns0:f>
        <ns0:v/>
      </ns0:c>
      <ns0:c r="G432" s="1" t="n">
        <ns0:v>0</ns0:v>
      </ns0:c>
      <ns0:c r="H432" s="1" t="n">
        <ns0:v>2</ns0:v>
      </ns0:c>
      <ns0:c r="I432" s="1" t="n">
        <ns0:v>0</ns0:v>
      </ns0:c>
      <ns0:c r="J432" s="1" t="n">
        <ns0:v>0</ns0:v>
      </ns0:c>
      <ns0:c r="K432" s="1" t="n">
        <ns0:v>14</ns0:v>
      </ns0:c>
      <ns0:c r="L432" s="1" t="n">
        <ns0:v>44</ns0:v>
      </ns0:c>
      <ns0:c r="M432" s="1">
        <ns0:f>SUM(G432:L432)</ns0:f>
        <ns0:v/>
      </ns0:c>
      <ns0:c r="N432" s="1">
        <ns0:f>M432/E432</ns0:f>
        <ns0:v/>
      </ns0:c>
      <ns0:c r="O432" s="1" t="n">
        <ns0:v>8</ns0:v>
      </ns0:c>
      <ns0:c r="P432" s="1" t="n">
        <ns0:v>41</ns0:v>
      </ns0:c>
      <ns0:c r="Q432" s="1">
        <ns0:f>+P432+O432+J432+I432+H432+G432</ns0:f>
        <ns0:v/>
      </ns0:c>
      <ns0:c r="R432" s="1">
        <ns0:f>+Q432/E432</ns0:f>
        <ns0:v/>
      </ns0:c>
      <ns0:c r="S432" s="1" t="inlineStr">
        <ns0:is>
          <ns0:t xml:space="preserve"> Hearing voltage up 10%</ns0:t>
        </ns0:is>
      </ns0:c>
    </ns0:row>
    <ns0:row r="433" ht="26.25" customHeight="1">
      <ns0:c r="G433" s="1">
        <ns0:f>+G432/M432</ns0:f>
        <ns0:v/>
      </ns0:c>
      <ns0:c r="H433" s="1">
        <ns0:f>+H432/M432</ns0:f>
        <ns0:v/>
      </ns0:c>
      <ns0:c r="I433" s="1">
        <ns0:f>+I432/M432</ns0:f>
        <ns0:v/>
      </ns0:c>
      <ns0:c r="J433" s="1">
        <ns0:f>+J432/M432</ns0:f>
        <ns0:v/>
      </ns0:c>
      <ns0:c r="K433" s="1">
        <ns0:f>+K432/M432</ns0:f>
        <ns0:v/>
      </ns0:c>
      <ns0:c r="L433" s="1">
        <ns0:f>+L432/M432</ns0:f>
        <ns0:v/>
      </ns0:c>
      <ns0:c r="O433" s="1">
        <ns0:f>+O432/Q432</ns0:f>
        <ns0:v/>
      </ns0:c>
      <ns0:c r="P433" s="1">
        <ns0:f>+P432/Q432</ns0:f>
        <ns0:v/>
      </ns0:c>
    </ns0:row>
    <ns0:row r="434" ht="26.25" customHeight="1">
      <ns0:c r="C434" s="1" t="inlineStr">
        <ns0:is>
          <ns0:t>VP OLD MOLD 
 ( After clean )</ns0:t>
        </ns0:is>
      </ns0:c>
      <ns0:c r="D434" s="1" t="inlineStr">
        <ns0:is>
          <ns0:t>IR 240627081-00002 ( date 20/7 )</ns0:t>
        </ns0:is>
      </ns0:c>
      <ns0:c r="E434" s="1" t="n">
        <ns0:v>433</ns0:v>
      </ns0:c>
      <ns0:c r="F434" s="1">
        <ns0:f>+E434-Q434</ns0:f>
        <ns0:v/>
      </ns0:c>
      <ns0:c r="G434" s="1" t="n">
        <ns0:v>0</ns0:v>
      </ns0:c>
      <ns0:c r="H434" s="1" t="n">
        <ns0:v>0</ns0:v>
      </ns0:c>
      <ns0:c r="I434" s="1" t="n">
        <ns0:v>0</ns0:v>
      </ns0:c>
      <ns0:c r="J434" s="1" t="n">
        <ns0:v>0</ns0:v>
      </ns0:c>
      <ns0:c r="K434" s="1" t="n">
        <ns0:v>14</ns0:v>
      </ns0:c>
      <ns0:c r="L434" s="1" t="n">
        <ns0:v>31</ns0:v>
      </ns0:c>
      <ns0:c r="M434" s="1">
        <ns0:f>SUM(G434:L434)</ns0:f>
        <ns0:v/>
      </ns0:c>
      <ns0:c r="N434" s="1">
        <ns0:f>M434/E434</ns0:f>
        <ns0:v/>
      </ns0:c>
      <ns0:c r="O434" s="1" t="n">
        <ns0:v>14</ns0:v>
      </ns0:c>
      <ns0:c r="P434" s="1" t="n">
        <ns0:v>20</ns0:v>
      </ns0:c>
      <ns0:c r="Q434" s="1">
        <ns0:f>+P434+O434+J434+I434+H434+G434</ns0:f>
        <ns0:v/>
      </ns0:c>
      <ns0:c r="R434" s="1">
        <ns0:f>+Q434/E434</ns0:f>
        <ns0:v/>
      </ns0:c>
      <ns0:c r="S434" s="1" t="inlineStr">
        <ns0:is>
          <ns0:t xml:space="preserve"> Hearing voltage up 10%</ns0:t>
        </ns0:is>
      </ns0:c>
    </ns0:row>
    <ns0:row r="435" ht="26.25" customHeight="1">
      <ns0:c r="G435" s="1">
        <ns0:f>+G434/M434</ns0:f>
        <ns0:v/>
      </ns0:c>
      <ns0:c r="H435" s="1">
        <ns0:f>+H434/M434</ns0:f>
        <ns0:v/>
      </ns0:c>
      <ns0:c r="I435" s="1">
        <ns0:f>+I434/M434</ns0:f>
        <ns0:v/>
      </ns0:c>
      <ns0:c r="J435" s="1">
        <ns0:f>+J434/M434</ns0:f>
        <ns0:v/>
      </ns0:c>
      <ns0:c r="K435" s="1">
        <ns0:f>+K434/M434</ns0:f>
        <ns0:v/>
      </ns0:c>
      <ns0:c r="L435" s="1">
        <ns0:f>+L434/M434</ns0:f>
        <ns0:v/>
      </ns0:c>
      <ns0:c r="O435" s="1">
        <ns0:f>+O434/Q434</ns0:f>
        <ns0:v/>
      </ns0:c>
      <ns0:c r="P435" s="1">
        <ns0:f>+P434/Q434</ns0:f>
        <ns0:v/>
      </ns0:c>
    </ns0:row>
    <ns0:row r="436" ht="26.25" customHeight="1">
      <ns0:c r="C436" s="1" t="inlineStr">
        <ns0:is>
          <ns0:t>New JIG VP+CD ass'y</ns0:t>
        </ns0:is>
      </ns0:c>
      <ns0:c r="D436" s="1" t="inlineStr">
        <ns0:is>
          <ns0:t>IR240703080-00003 ( date 16/7 )</ns0:t>
        </ns0:is>
      </ns0:c>
      <ns0:c r="E436" s="1" t="n">
        <ns0:v>270</ns0:v>
      </ns0:c>
      <ns0:c r="F436" s="1">
        <ns0:f>+E436-Q436</ns0:f>
        <ns0:v/>
      </ns0:c>
      <ns0:c r="G436" s="1" t="n">
        <ns0:v>5</ns0:v>
      </ns0:c>
      <ns0:c r="H436" s="1" t="n">
        <ns0:v>2</ns0:v>
      </ns0:c>
      <ns0:c r="I436" s="1" t="n">
        <ns0:v>3</ns0:v>
      </ns0:c>
      <ns0:c r="J436" s="1" t="n">
        <ns0:v>0</ns0:v>
      </ns0:c>
      <ns0:c r="K436" s="1" t="n">
        <ns0:v>6</ns0:v>
      </ns0:c>
      <ns0:c r="L436" s="1" t="n">
        <ns0:v>15</ns0:v>
      </ns0:c>
      <ns0:c r="M436" s="1">
        <ns0:f>SUM(G436:L436)</ns0:f>
        <ns0:v/>
      </ns0:c>
      <ns0:c r="N436" s="1">
        <ns0:f>M436/E436</ns0:f>
        <ns0:v/>
      </ns0:c>
      <ns0:c r="O436" s="1" t="n">
        <ns0:v>4</ns0:v>
      </ns0:c>
      <ns0:c r="P436" s="1" t="n">
        <ns0:v>10</ns0:v>
      </ns0:c>
      <ns0:c r="Q436" s="1">
        <ns0:f>+P436+O436+J436+I436+H436+G436</ns0:f>
        <ns0:v/>
      </ns0:c>
      <ns0:c r="R436" s="1">
        <ns0:f>+Q436/E436</ns0:f>
        <ns0:v/>
      </ns0:c>
      <ns0:c r="S436" s="1" t="inlineStr">
        <ns0:is>
          <ns0:t xml:space="preserve"> Hearing voltage up 10%</ns0:t>
        </ns0:is>
      </ns0:c>
    </ns0:row>
    <ns0:row r="437" ht="26.25" customHeight="1">
      <ns0:c r="G437" s="1">
        <ns0:f>+G436/M436</ns0:f>
        <ns0:v/>
      </ns0:c>
      <ns0:c r="H437" s="1">
        <ns0:f>+H436/M436</ns0:f>
        <ns0:v/>
      </ns0:c>
      <ns0:c r="I437" s="1">
        <ns0:f>+I436/M436</ns0:f>
        <ns0:v/>
      </ns0:c>
      <ns0:c r="J437" s="1">
        <ns0:f>+J436/M436</ns0:f>
        <ns0:v/>
      </ns0:c>
      <ns0:c r="K437" s="1">
        <ns0:f>+K436/M436</ns0:f>
        <ns0:v/>
      </ns0:c>
      <ns0:c r="L437" s="1">
        <ns0:f>+L436/M436</ns0:f>
        <ns0:v/>
      </ns0:c>
      <ns0:c r="O437" s="1">
        <ns0:f>+O436/Q436</ns0:f>
        <ns0:v/>
      </ns0:c>
      <ns0:c r="P437" s="1">
        <ns0:f>+P436/Q436</ns0:f>
        <ns0:v/>
      </ns0:c>
    </ns0:row>
    <ns0:row r="438" ht="26.25" customHeight="1">
      <ns0:c r="C438" s="1" t="inlineStr">
        <ns0:is>
          <ns0:t>UV Led Press VP+COIL</ns0:t>
        </ns0:is>
      </ns0:c>
      <ns0:c r="D438" s="1" t="inlineStr">
        <ns0:is>
          <ns0:t>Down UV press VP+Coil ( 2 TURN )</ns0:t>
        </ns0:is>
      </ns0:c>
      <ns0:c r="E438" s="1" t="n">
        <ns0:v>506</ns0:v>
      </ns0:c>
      <ns0:c r="F438" s="1">
        <ns0:f>+E438-M438</ns0:f>
        <ns0:v/>
      </ns0:c>
      <ns0:c r="G438" s="1" t="n">
        <ns0:v>1</ns0:v>
      </ns0:c>
      <ns0:c r="H438" s="1" t="n">
        <ns0:v>1</ns0:v>
      </ns0:c>
      <ns0:c r="I438" s="1" t="n">
        <ns0:v>0</ns0:v>
      </ns0:c>
      <ns0:c r="J438" s="1" t="n">
        <ns0:v>0</ns0:v>
      </ns0:c>
      <ns0:c r="K438" s="1" t="n">
        <ns0:v>4</ns0:v>
      </ns0:c>
      <ns0:c r="L438" s="1" t="n">
        <ns0:v>3</ns0:v>
      </ns0:c>
      <ns0:c r="M438" s="1">
        <ns0:f>SUM(G438:L438)</ns0:f>
        <ns0:v/>
      </ns0:c>
      <ns0:c r="N438" s="1">
        <ns0:f>M438/E438</ns0:f>
        <ns0:v/>
      </ns0:c>
      <ns0:c r="O438" s="1" t="n">
        <ns0:v>2</ns0:v>
      </ns0:c>
      <ns0:c r="P438" s="1" t="n">
        <ns0:v>0</ns0:v>
      </ns0:c>
      <ns0:c r="Q438" s="1">
        <ns0:f>+P438+O438+J438+I438+H438+G438</ns0:f>
        <ns0:v/>
      </ns0:c>
      <ns0:c r="R438" s="1">
        <ns0:f>+Q438/E438</ns0:f>
        <ns0:v/>
      </ns0:c>
      <ns0:c r="S438" s="1" t="inlineStr">
        <ns0:is>
          <ns0:t xml:space="preserve"> Hearing voltage up 10%</ns0:t>
        </ns0:is>
      </ns0:c>
    </ns0:row>
    <ns0:row r="439" ht="26.25" customHeight="1">
      <ns0:c r="G439" s="1">
        <ns0:f>+G438/M438</ns0:f>
        <ns0:v/>
      </ns0:c>
      <ns0:c r="H439" s="1">
        <ns0:f>+H438/M438</ns0:f>
        <ns0:v/>
      </ns0:c>
      <ns0:c r="I439" s="1">
        <ns0:f>+I438/M438</ns0:f>
        <ns0:v/>
      </ns0:c>
      <ns0:c r="J439" s="1">
        <ns0:f>+J438/M438</ns0:f>
        <ns0:v/>
      </ns0:c>
      <ns0:c r="K439" s="1">
        <ns0:f>+K438/M438</ns0:f>
        <ns0:v/>
      </ns0:c>
      <ns0:c r="L439" s="1">
        <ns0:f>+L438/M438</ns0:f>
        <ns0:v/>
      </ns0:c>
      <ns0:c r="O439" s="1">
        <ns0:f>+O438/Q438</ns0:f>
        <ns0:v/>
      </ns0:c>
      <ns0:c r="P439" s="1">
        <ns0:f>+P438/Q438</ns0:f>
        <ns0:v/>
      </ns0:c>
    </ns0:row>
    <ns0:row r="440" ht="26.25" customHeight="1">
      <ns0:c r="B440" s="2" t="n">
        <ns0:v>45496</ns0:v>
      </ns0:c>
      <ns0:c r="C440" s="1" t="inlineStr">
        <ns0:is>
          <ns0:t>VP KR Forming</ns0:t>
        </ns0:is>
      </ns0:c>
      <ns0:c r="D440" s="1" t="inlineStr">
        <ns0:is>
          <ns0:t>GN ass'y VP+CD</ns0:t>
        </ns0:is>
      </ns0:c>
      <ns0:c r="E440" s="1" t="n">
        <ns0:v>135</ns0:v>
      </ns0:c>
      <ns0:c r="F440" s="1">
        <ns0:f>+E440-Q440</ns0:f>
        <ns0:v/>
      </ns0:c>
      <ns0:c r="G440" s="1" t="n">
        <ns0:v>1</ns0:v>
      </ns0:c>
      <ns0:c r="H440" s="1" t="n">
        <ns0:v>0</ns0:v>
      </ns0:c>
      <ns0:c r="I440" s="1" t="n">
        <ns0:v>0</ns0:v>
      </ns0:c>
      <ns0:c r="J440" s="1" t="n">
        <ns0:v>0</ns0:v>
      </ns0:c>
      <ns0:c r="K440" s="1" t="n">
        <ns0:v>0</ns0:v>
      </ns0:c>
      <ns0:c r="L440" s="1" t="n">
        <ns0:v>28</ns0:v>
      </ns0:c>
      <ns0:c r="M440" s="1">
        <ns0:f>SUM(G440:L440)</ns0:f>
        <ns0:v/>
      </ns0:c>
      <ns0:c r="N440" s="1">
        <ns0:f>M440/E440</ns0:f>
        <ns0:v/>
      </ns0:c>
      <ns0:c r="O440" s="1" t="n">
        <ns0:v>0</ns0:v>
      </ns0:c>
      <ns0:c r="P440" s="1" t="n">
        <ns0:v>24</ns0:v>
      </ns0:c>
      <ns0:c r="Q440" s="1">
        <ns0:f>+P440+O440+J440+I440+H440+G440</ns0:f>
        <ns0:v/>
      </ns0:c>
      <ns0:c r="R440" s="1">
        <ns0:f>+Q440/E440</ns0:f>
        <ns0:v/>
      </ns0:c>
      <ns0:c r="S440" s="1" t="inlineStr">
        <ns0:is>
          <ns0:t xml:space="preserve"> Hearing voltage up 10%</ns0:t>
        </ns0:is>
      </ns0:c>
    </ns0:row>
    <ns0:row r="441" ht="26.25" customHeight="1">
      <ns0:c r="G441" s="1">
        <ns0:f>+G440/M440</ns0:f>
        <ns0:v/>
      </ns0:c>
      <ns0:c r="H441" s="1">
        <ns0:f>+H440/M440</ns0:f>
        <ns0:v/>
      </ns0:c>
      <ns0:c r="I441" s="1">
        <ns0:f>+I440/M440</ns0:f>
        <ns0:v/>
      </ns0:c>
      <ns0:c r="J441" s="1">
        <ns0:f>+J440/M440</ns0:f>
        <ns0:v/>
      </ns0:c>
      <ns0:c r="K441" s="1">
        <ns0:f>+K440/M440</ns0:f>
        <ns0:v/>
      </ns0:c>
      <ns0:c r="L441" s="1">
        <ns0:f>+L440/M440</ns0:f>
        <ns0:v/>
      </ns0:c>
      <ns0:c r="O441" s="1">
        <ns0:f>+O440/Q440</ns0:f>
        <ns0:v/>
      </ns0:c>
      <ns0:c r="P441" s="1">
        <ns0:f>+P440/Q440</ns0:f>
        <ns0:v/>
      </ns0:c>
    </ns0:row>
    <ns0:row r="442" ht="26.25" customHeight="1">
      <ns0:c r="C442" s="1" t="inlineStr">
        <ns0:is>
          <ns0:t>VP+CD ass'y  KR</ns0:t>
        </ns0:is>
      </ns0:c>
      <ns0:c r="E442" s="1" t="n">
        <ns0:v>139</ns0:v>
      </ns0:c>
      <ns0:c r="F442" s="1">
        <ns0:f>+E442-Q442</ns0:f>
        <ns0:v/>
      </ns0:c>
      <ns0:c r="G442" s="1" t="n">
        <ns0:v>0</ns0:v>
      </ns0:c>
      <ns0:c r="H442" s="1" t="n">
        <ns0:v>0</ns0:v>
      </ns0:c>
      <ns0:c r="I442" s="1" t="n">
        <ns0:v>0</ns0:v>
      </ns0:c>
      <ns0:c r="J442" s="1" t="n">
        <ns0:v>0</ns0:v>
      </ns0:c>
      <ns0:c r="K442" s="1" t="n">
        <ns0:v>2</ns0:v>
      </ns0:c>
      <ns0:c r="L442" s="1" t="n">
        <ns0:v>38</ns0:v>
      </ns0:c>
      <ns0:c r="M442" s="1">
        <ns0:f>SUM(G442:L442)</ns0:f>
        <ns0:v/>
      </ns0:c>
      <ns0:c r="N442" s="1">
        <ns0:f>M442/E442</ns0:f>
        <ns0:v/>
      </ns0:c>
      <ns0:c r="O442" s="1" t="n">
        <ns0:v>0</ns0:v>
      </ns0:c>
      <ns0:c r="P442" s="1" t="n">
        <ns0:v>32</ns0:v>
      </ns0:c>
      <ns0:c r="Q442" s="1">
        <ns0:f>+P442+O442+J442+I442+H442+G442</ns0:f>
        <ns0:v/>
      </ns0:c>
      <ns0:c r="R442" s="1">
        <ns0:f>+Q442/E442</ns0:f>
        <ns0:v/>
      </ns0:c>
      <ns0:c r="S442" s="1" t="inlineStr">
        <ns0:is>
          <ns0:t xml:space="preserve"> Hearing voltage up 10%</ns0:t>
        </ns0:is>
      </ns0:c>
    </ns0:row>
    <ns0:row r="443" ht="26.25" customHeight="1">
      <ns0:c r="G443" s="1">
        <ns0:f>+G442/M442</ns0:f>
        <ns0:v/>
      </ns0:c>
      <ns0:c r="H443" s="1">
        <ns0:f>+H442/M442</ns0:f>
        <ns0:v/>
      </ns0:c>
      <ns0:c r="I443" s="1">
        <ns0:f>+I442/M442</ns0:f>
        <ns0:v/>
      </ns0:c>
      <ns0:c r="J443" s="1">
        <ns0:f>+J442/M442</ns0:f>
        <ns0:v/>
      </ns0:c>
      <ns0:c r="K443" s="1">
        <ns0:f>+K442/M442</ns0:f>
        <ns0:v/>
      </ns0:c>
      <ns0:c r="L443" s="1">
        <ns0:f>+L442/M442</ns0:f>
        <ns0:v/>
      </ns0:c>
      <ns0:c r="O443" s="1">
        <ns0:f>+O442/Q442</ns0:f>
        <ns0:v/>
      </ns0:c>
      <ns0:c r="P443" s="1">
        <ns0:f>+P442/Q442</ns0:f>
        <ns0:v/>
      </ns0:c>
    </ns0:row>
    <ns0:row r="444" ht="26.25" customHeight="1">
      <ns0:c r="C444" s="1" t="inlineStr">
        <ns0:is>
          <ns0:t>VP+CD ass'y Old Lot 24.05</ns0:t>
        </ns0:is>
      </ns0:c>
      <ns0:c r="E444" s="1" t="n">
        <ns0:v>73</ns0:v>
      </ns0:c>
      <ns0:c r="F444" s="1">
        <ns0:f>+E444-Q444</ns0:f>
        <ns0:v/>
      </ns0:c>
      <ns0:c r="G444" s="1" t="n">
        <ns0:v>0</ns0:v>
      </ns0:c>
      <ns0:c r="H444" s="1" t="n">
        <ns0:v>0</ns0:v>
      </ns0:c>
      <ns0:c r="I444" s="1" t="n">
        <ns0:v>0</ns0:v>
      </ns0:c>
      <ns0:c r="J444" s="1" t="n">
        <ns0:v>0</ns0:v>
      </ns0:c>
      <ns0:c r="K444" s="1" t="n">
        <ns0:v>2</ns0:v>
      </ns0:c>
      <ns0:c r="L444" s="1" t="n">
        <ns0:v>5</ns0:v>
      </ns0:c>
      <ns0:c r="M444" s="1">
        <ns0:f>SUM(G444:L444)</ns0:f>
        <ns0:v/>
      </ns0:c>
      <ns0:c r="N444" s="1">
        <ns0:f>M444/E444</ns0:f>
        <ns0:v/>
      </ns0:c>
      <ns0:c r="O444" s="1" t="n">
        <ns0:v>0</ns0:v>
      </ns0:c>
      <ns0:c r="P444" s="1" t="n">
        <ns0:v>5</ns0:v>
      </ns0:c>
      <ns0:c r="Q444" s="1">
        <ns0:f>+P444+O444+J444+I444+H444+G444</ns0:f>
        <ns0:v/>
      </ns0:c>
      <ns0:c r="R444" s="1">
        <ns0:f>+Q444/E444</ns0:f>
        <ns0:v/>
      </ns0:c>
      <ns0:c r="S444" s="1" t="inlineStr">
        <ns0:is>
          <ns0:t xml:space="preserve"> Hearing voltage up 10%</ns0:t>
        </ns0:is>
      </ns0:c>
    </ns0:row>
    <ns0:row r="445" ht="26.25" customHeight="1">
      <ns0:c r="G445" s="1">
        <ns0:f>+G444/M444</ns0:f>
        <ns0:v/>
      </ns0:c>
      <ns0:c r="H445" s="1">
        <ns0:f>+H444/M444</ns0:f>
        <ns0:v/>
      </ns0:c>
      <ns0:c r="I445" s="1">
        <ns0:f>+I444/M444</ns0:f>
        <ns0:v/>
      </ns0:c>
      <ns0:c r="J445" s="1">
        <ns0:f>+J444/M444</ns0:f>
        <ns0:v/>
      </ns0:c>
      <ns0:c r="K445" s="1">
        <ns0:f>+K444/M444</ns0:f>
        <ns0:v/>
      </ns0:c>
      <ns0:c r="L445" s="1">
        <ns0:f>+L444/M444</ns0:f>
        <ns0:v/>
      </ns0:c>
      <ns0:c r="O445" s="1">
        <ns0:f>+O444/Q444</ns0:f>
        <ns0:v/>
      </ns0:c>
      <ns0:c r="P445" s="1">
        <ns0:f>+P444/Q444</ns0:f>
        <ns0:v/>
      </ns0:c>
    </ns0:row>
    <ns0:row r="446" ht="26.25" customHeight="1">
      <ns0:c r="C446" s="1" t="inlineStr">
        <ns0:is>
          <ns0:t>VP+CD</ns0:t>
        </ns0:is>
      </ns0:c>
      <ns0:c r="D446" s="1" t="inlineStr">
        <ns0:is>
          <ns0:t>Change bonding Line move outside 0.1</ns0:t>
        </ns0:is>
      </ns0:c>
      <ns0:c r="E446" s="1" t="n">
        <ns0:v>510</ns0:v>
      </ns0:c>
      <ns0:c r="F446" s="1">
        <ns0:f>+E446-M446</ns0:f>
        <ns0:v/>
      </ns0:c>
      <ns0:c r="G446" s="1" t="n">
        <ns0:v>0</ns0:v>
      </ns0:c>
      <ns0:c r="H446" s="1" t="n">
        <ns0:v>0</ns0:v>
      </ns0:c>
      <ns0:c r="I446" s="1" t="n">
        <ns0:v>0</ns0:v>
      </ns0:c>
      <ns0:c r="J446" s="1" t="n">
        <ns0:v>0</ns0:v>
      </ns0:c>
      <ns0:c r="K446" s="1" t="n">
        <ns0:v>7</ns0:v>
      </ns0:c>
      <ns0:c r="L446" s="1" t="n">
        <ns0:v>7</ns0:v>
      </ns0:c>
      <ns0:c r="M446" s="1">
        <ns0:f>SUM(G446:L446)</ns0:f>
        <ns0:v/>
      </ns0:c>
      <ns0:c r="N446" s="1">
        <ns0:f>M446/E446</ns0:f>
        <ns0:v/>
      </ns0:c>
      <ns0:c r="O446" s="1" t="n">
        <ns0:v>4</ns0:v>
      </ns0:c>
      <ns0:c r="P446" s="1" t="n">
        <ns0:v>5</ns0:v>
      </ns0:c>
      <ns0:c r="Q446" s="1">
        <ns0:f>+P446+O446+J446+I446+H446+G446</ns0:f>
        <ns0:v/>
      </ns0:c>
      <ns0:c r="R446" s="1">
        <ns0:f>+Q446/E446</ns0:f>
        <ns0:v/>
      </ns0:c>
      <ns0:c r="S446" s="1" t="inlineStr">
        <ns0:is>
          <ns0:t xml:space="preserve"> Hearing voltage up 10%</ns0:t>
        </ns0:is>
      </ns0:c>
    </ns0:row>
    <ns0:row r="447" ht="26.25" customHeight="1">
      <ns0:c r="G447" s="1">
        <ns0:f>+G446/M446</ns0:f>
        <ns0:v/>
      </ns0:c>
      <ns0:c r="H447" s="1">
        <ns0:f>+H446/M446</ns0:f>
        <ns0:v/>
      </ns0:c>
      <ns0:c r="I447" s="1">
        <ns0:f>+I446/M446</ns0:f>
        <ns0:v/>
      </ns0:c>
      <ns0:c r="J447" s="1">
        <ns0:f>+J446/M446</ns0:f>
        <ns0:v/>
      </ns0:c>
      <ns0:c r="K447" s="1">
        <ns0:f>+K446/M446</ns0:f>
        <ns0:v/>
      </ns0:c>
      <ns0:c r="L447" s="1">
        <ns0:f>+L446/M446</ns0:f>
        <ns0:v/>
      </ns0:c>
      <ns0:c r="O447" s="1">
        <ns0:f>+O446/Q446</ns0:f>
        <ns0:v/>
      </ns0:c>
      <ns0:c r="P447" s="1">
        <ns0:f>+P446/Q446</ns0:f>
        <ns0:v/>
      </ns0:c>
    </ns0:row>
    <ns0:row r="448" ht="26.25" customHeight="1">
      <ns0:c r="C448" s="1" t="inlineStr">
        <ns0:is>
          <ns0:t>VP OLD MOLD 
 ( before clean )</ns0:t>
        </ns0:is>
      </ns0:c>
      <ns0:c r="D448" s="1" t="inlineStr">
        <ns0:is>
          <ns0:t>IR 240627081-00002 ( date 19/7 )</ns0:t>
        </ns0:is>
      </ns0:c>
      <ns0:c r="E448" s="1" t="n">
        <ns0:v>144</ns0:v>
      </ns0:c>
      <ns0:c r="F448" s="1">
        <ns0:f>+E448-Q448</ns0:f>
        <ns0:v/>
      </ns0:c>
      <ns0:c r="G448" s="1" t="n">
        <ns0:v>0</ns0:v>
      </ns0:c>
      <ns0:c r="H448" s="1" t="n">
        <ns0:v>0</ns0:v>
      </ns0:c>
      <ns0:c r="I448" s="1" t="n">
        <ns0:v>0</ns0:v>
      </ns0:c>
      <ns0:c r="J448" s="1" t="n">
        <ns0:v>0</ns0:v>
      </ns0:c>
      <ns0:c r="K448" s="1" t="n">
        <ns0:v>1</ns0:v>
      </ns0:c>
      <ns0:c r="L448" s="1" t="n">
        <ns0:v>7</ns0:v>
      </ns0:c>
      <ns0:c r="M448" s="1">
        <ns0:f>SUM(G448:L448)</ns0:f>
        <ns0:v/>
      </ns0:c>
      <ns0:c r="N448" s="1">
        <ns0:f>M448/E448</ns0:f>
        <ns0:v/>
      </ns0:c>
      <ns0:c r="O448" s="1" t="n">
        <ns0:v>0</ns0:v>
      </ns0:c>
      <ns0:c r="P448" s="1" t="n">
        <ns0:v>4</ns0:v>
      </ns0:c>
      <ns0:c r="Q448" s="1">
        <ns0:f>+P448+O448+J448+I448+H448+G448</ns0:f>
        <ns0:v/>
      </ns0:c>
      <ns0:c r="R448" s="1">
        <ns0:f>+Q448/E448</ns0:f>
        <ns0:v/>
      </ns0:c>
      <ns0:c r="S448" s="1" t="inlineStr">
        <ns0:is>
          <ns0:t xml:space="preserve"> Hearing voltage up 10%</ns0:t>
        </ns0:is>
      </ns0:c>
    </ns0:row>
    <ns0:row r="449" ht="26.25" customHeight="1">
      <ns0:c r="G449" s="1">
        <ns0:f>+G448/M448</ns0:f>
        <ns0:v/>
      </ns0:c>
      <ns0:c r="H449" s="1">
        <ns0:f>+H448/M448</ns0:f>
        <ns0:v/>
      </ns0:c>
      <ns0:c r="I449" s="1">
        <ns0:f>+I448/M448</ns0:f>
        <ns0:v/>
      </ns0:c>
      <ns0:c r="J449" s="1">
        <ns0:f>+J448/M448</ns0:f>
        <ns0:v/>
      </ns0:c>
      <ns0:c r="K449" s="1">
        <ns0:f>+K448/M448</ns0:f>
        <ns0:v/>
      </ns0:c>
      <ns0:c r="L449" s="1">
        <ns0:f>+L448/M448</ns0:f>
        <ns0:v/>
      </ns0:c>
      <ns0:c r="O449" s="1">
        <ns0:f>+O448/Q448</ns0:f>
        <ns0:v/>
      </ns0:c>
      <ns0:c r="P449" s="1">
        <ns0:f>+P448/Q448</ns0:f>
        <ns0:v/>
      </ns0:c>
    </ns0:row>
    <ns0:row r="450" ht="26.25" customHeight="1">
      <ns0:c r="C450" s="1" t="inlineStr">
        <ns0:is>
          <ns0:t>VP OLD MOLD 
 ( After clean )</ns0:t>
        </ns0:is>
      </ns0:c>
      <ns0:c r="D450" s="1" t="inlineStr">
        <ns0:is>
          <ns0:t>IR 240627081-00002 ( date 20/7 )</ns0:t>
        </ns0:is>
      </ns0:c>
      <ns0:c r="E450" s="1" t="n">
        <ns0:v>137</ns0:v>
      </ns0:c>
      <ns0:c r="F450" s="1">
        <ns0:f>+E450-Q450</ns0:f>
        <ns0:v/>
      </ns0:c>
      <ns0:c r="G450" s="1" t="n">
        <ns0:v>0</ns0:v>
      </ns0:c>
      <ns0:c r="H450" s="1" t="n">
        <ns0:v>0</ns0:v>
      </ns0:c>
      <ns0:c r="I450" s="1" t="n">
        <ns0:v>0</ns0:v>
      </ns0:c>
      <ns0:c r="J450" s="1" t="n">
        <ns0:v>0</ns0:v>
      </ns0:c>
      <ns0:c r="K450" s="1" t="n">
        <ns0:v>3</ns0:v>
      </ns0:c>
      <ns0:c r="L450" s="1" t="n">
        <ns0:v>5</ns0:v>
      </ns0:c>
      <ns0:c r="M450" s="1">
        <ns0:f>SUM(G450:L450)</ns0:f>
        <ns0:v/>
      </ns0:c>
      <ns0:c r="N450" s="1">
        <ns0:f>M450/E450</ns0:f>
        <ns0:v/>
      </ns0:c>
      <ns0:c r="O450" s="1" t="n">
        <ns0:v>3</ns0:v>
      </ns0:c>
      <ns0:c r="P450" s="1" t="n">
        <ns0:v>3</ns0:v>
      </ns0:c>
      <ns0:c r="Q450" s="1">
        <ns0:f>+P450+O450+J450+I450+H450+G450</ns0:f>
        <ns0:v/>
      </ns0:c>
      <ns0:c r="R450" s="1">
        <ns0:f>+Q450/E450</ns0:f>
        <ns0:v/>
      </ns0:c>
      <ns0:c r="S450" s="1" t="inlineStr">
        <ns0:is>
          <ns0:t xml:space="preserve"> Hearing voltage up 10%</ns0:t>
        </ns0:is>
      </ns0:c>
    </ns0:row>
    <ns0:row r="451" ht="26.25" customHeight="1">
      <ns0:c r="G451" s="1">
        <ns0:f>+G450/M450</ns0:f>
        <ns0:v/>
      </ns0:c>
      <ns0:c r="H451" s="1">
        <ns0:f>+H450/M450</ns0:f>
        <ns0:v/>
      </ns0:c>
      <ns0:c r="I451" s="1">
        <ns0:f>+I450/M450</ns0:f>
        <ns0:v/>
      </ns0:c>
      <ns0:c r="J451" s="1">
        <ns0:f>+J450/M450</ns0:f>
        <ns0:v/>
      </ns0:c>
      <ns0:c r="K451" s="1">
        <ns0:f>+K450/M450</ns0:f>
        <ns0:v/>
      </ns0:c>
      <ns0:c r="L451" s="1">
        <ns0:f>+L450/M450</ns0:f>
        <ns0:v/>
      </ns0:c>
      <ns0:c r="O451" s="1">
        <ns0:f>+O450/Q450</ns0:f>
        <ns0:v/>
      </ns0:c>
      <ns0:c r="P451" s="1">
        <ns0:f>+P450/Q450</ns0:f>
        <ns0:v/>
      </ns0:c>
    </ns0:row>
    <ns0:row r="452" ht="26.25" customHeight="1">
      <ns0:c r="B452" s="2" t="n">
        <ns0:v>45497</ns0:v>
      </ns0:c>
      <ns0:c r="C452" s="1" t="inlineStr">
        <ns0:is>
          <ns0:t>VP+CD</ns0:t>
        </ns0:is>
      </ns0:c>
      <ns0:c r="D452" s="1" t="inlineStr">
        <ns0:is>
          <ns0:t>VP Bonding move outside 0.03</ns0:t>
        </ns0:is>
      </ns0:c>
      <ns0:c r="E452" s="1" t="n">
        <ns0:v>558</ns0:v>
      </ns0:c>
      <ns0:c r="F452" s="1">
        <ns0:f>+E452-Q452</ns0:f>
        <ns0:v/>
      </ns0:c>
      <ns0:c r="G452" s="1" t="n">
        <ns0:v>1</ns0:v>
      </ns0:c>
      <ns0:c r="H452" s="1" t="n">
        <ns0:v>1</ns0:v>
      </ns0:c>
      <ns0:c r="I452" s="1" t="n">
        <ns0:v>3</ns0:v>
      </ns0:c>
      <ns0:c r="J452" s="1" t="n">
        <ns0:v>0</ns0:v>
      </ns0:c>
      <ns0:c r="K452" s="1" t="n">
        <ns0:v>3</ns0:v>
      </ns0:c>
      <ns0:c r="L452" s="1" t="n">
        <ns0:v>5</ns0:v>
      </ns0:c>
      <ns0:c r="M452" s="1" t="n">
        <ns0:v>85</ns0:v>
      </ns0:c>
      <ns0:c r="N452" s="1">
        <ns0:f>M452/E452</ns0:f>
        <ns0:v/>
      </ns0:c>
      <ns0:c r="O452" s="1" t="n">
        <ns0:v>3</ns0:v>
      </ns0:c>
      <ns0:c r="P452" s="1" t="n">
        <ns0:v>66</ns0:v>
      </ns0:c>
      <ns0:c r="Q452" s="1">
        <ns0:f>+P452+O452+J452+I452+H452+G452</ns0:f>
        <ns0:v/>
      </ns0:c>
      <ns0:c r="R452" s="1">
        <ns0:f>+Q452/E452</ns0:f>
        <ns0:v/>
      </ns0:c>
      <ns0:c r="S452" s="1" t="inlineStr">
        <ns0:is>
          <ns0:t xml:space="preserve"> Hearing voltage up 10%</ns0:t>
        </ns0:is>
      </ns0:c>
    </ns0:row>
    <ns0:row r="453" ht="26.25" customHeight="1">
      <ns0:c r="G453" s="1">
        <ns0:f>+G452/M452</ns0:f>
        <ns0:v/>
      </ns0:c>
      <ns0:c r="H453" s="1">
        <ns0:f>+H452/M452</ns0:f>
        <ns0:v/>
      </ns0:c>
      <ns0:c r="I453" s="1">
        <ns0:f>+I452/M452</ns0:f>
        <ns0:v/>
      </ns0:c>
      <ns0:c r="J453" s="1">
        <ns0:f>+J452/M452</ns0:f>
        <ns0:v/>
      </ns0:c>
      <ns0:c r="K453" s="1">
        <ns0:f>+K452/M452</ns0:f>
        <ns0:v/>
      </ns0:c>
      <ns0:c r="L453" s="1">
        <ns0:f>+L452/M452</ns0:f>
        <ns0:v/>
      </ns0:c>
      <ns0:c r="O453" s="1">
        <ns0:f>+O452/Q452</ns0:f>
        <ns0:v/>
      </ns0:c>
      <ns0:c r="P453" s="1">
        <ns0:f>+P452/Q452</ns0:f>
        <ns0:v/>
      </ns0:c>
    </ns0:row>
    <ns0:row r="454" ht="26.25" customHeight="1">
      <ns0:c r="E454" s="1" t="n">
        <ns0:v>587</ns0:v>
      </ns0:c>
      <ns0:c r="F454" s="1">
        <ns0:f>+E454-Q454</ns0:f>
        <ns0:v/>
      </ns0:c>
      <ns0:c r="G454" s="1" t="n">
        <ns0:v>1</ns0:v>
      </ns0:c>
      <ns0:c r="H454" s="1" t="n">
        <ns0:v>1</ns0:v>
      </ns0:c>
      <ns0:c r="I454" s="1" t="n">
        <ns0:v>2</ns0:v>
      </ns0:c>
      <ns0:c r="J454" s="1" t="n">
        <ns0:v>0</ns0:v>
      </ns0:c>
      <ns0:c r="K454" s="1" t="n">
        <ns0:v>45</ns0:v>
      </ns0:c>
      <ns0:c r="L454" s="1" t="n">
        <ns0:v>89</ns0:v>
      </ns0:c>
      <ns0:c r="M454" s="1">
        <ns0:f>SUM(G454:L454)</ns0:f>
        <ns0:v/>
      </ns0:c>
      <ns0:c r="N454" s="1">
        <ns0:f>M454/E454</ns0:f>
        <ns0:v/>
      </ns0:c>
      <ns0:c r="O454" s="1" t="n">
        <ns0:v>30</ns0:v>
      </ns0:c>
      <ns0:c r="P454" s="1" t="n">
        <ns0:v>45</ns0:v>
      </ns0:c>
      <ns0:c r="Q454" s="1">
        <ns0:f>+P454+O454+J454+I454+H454+G454</ns0:f>
        <ns0:v/>
      </ns0:c>
      <ns0:c r="R454" s="1">
        <ns0:f>+Q454/E454</ns0:f>
        <ns0:v/>
      </ns0:c>
      <ns0:c r="S454" s="1" t="inlineStr">
        <ns0:is>
          <ns0:t xml:space="preserve"> Hearing voltage up 10%</ns0:t>
        </ns0:is>
      </ns0:c>
    </ns0:row>
    <ns0:row r="455" ht="26.25" customHeight="1">
      <ns0:c r="G455" s="1">
        <ns0:f>+G454/M454</ns0:f>
        <ns0:v/>
      </ns0:c>
      <ns0:c r="H455" s="1">
        <ns0:f>+H454/M454</ns0:f>
        <ns0:v/>
      </ns0:c>
      <ns0:c r="I455" s="1">
        <ns0:f>+I454/M454</ns0:f>
        <ns0:v/>
      </ns0:c>
      <ns0:c r="J455" s="1">
        <ns0:f>+J454/M454</ns0:f>
        <ns0:v/>
      </ns0:c>
      <ns0:c r="K455" s="1">
        <ns0:f>+K454/M454</ns0:f>
        <ns0:v/>
      </ns0:c>
      <ns0:c r="L455" s="1">
        <ns0:f>+L454/M454</ns0:f>
        <ns0:v/>
      </ns0:c>
      <ns0:c r="O455" s="1">
        <ns0:f>+O454/Q454</ns0:f>
        <ns0:v/>
      </ns0:c>
      <ns0:c r="P455" s="1">
        <ns0:f>+P454/Q454</ns0:f>
        <ns0:v/>
      </ns0:c>
    </ns0:row>
    <ns0:row r="456" ht="26.25" customHeight="1">
      <ns0:c r="C456" s="1" t="inlineStr">
        <ns0:is>
          <ns0:t>Total TEST</ns0:t>
        </ns0:is>
      </ns0:c>
      <ns0:c r="E456" s="1">
        <ns0:f>SUM(E452:E455)</ns0:f>
        <ns0:v/>
      </ns0:c>
      <ns0:c r="F456" s="1">
        <ns0:f>SUM(F452:F455)</ns0:f>
        <ns0:v/>
      </ns0:c>
      <ns0:c r="G456" s="1">
        <ns0:f>G452+G454</ns0:f>
        <ns0:v/>
      </ns0:c>
      <ns0:c r="H456" s="1">
        <ns0:f>H452+H454</ns0:f>
        <ns0:v/>
      </ns0:c>
      <ns0:c r="I456" s="1">
        <ns0:f>I452+I454</ns0:f>
        <ns0:v/>
      </ns0:c>
      <ns0:c r="J456" s="1">
        <ns0:f>J452+J454</ns0:f>
        <ns0:v/>
      </ns0:c>
      <ns0:c r="K456" s="1">
        <ns0:f>K452+K454</ns0:f>
        <ns0:v/>
      </ns0:c>
      <ns0:c r="L456" s="1">
        <ns0:f>L452+L454</ns0:f>
        <ns0:v/>
      </ns0:c>
      <ns0:c r="M456" s="1">
        <ns0:f>SUM(G456:L456)</ns0:f>
        <ns0:v/>
      </ns0:c>
      <ns0:c r="N456" s="1">
        <ns0:f>M456/E456</ns0:f>
        <ns0:v/>
      </ns0:c>
      <ns0:c r="O456" s="1">
        <ns0:f>+O452+O454</ns0:f>
        <ns0:v/>
      </ns0:c>
      <ns0:c r="P456" s="1">
        <ns0:f>+P452+P454</ns0:f>
        <ns0:v/>
      </ns0:c>
      <ns0:c r="Q456" s="1">
        <ns0:f>+P456+O456+J456+I456+H456+G456</ns0:f>
        <ns0:v/>
      </ns0:c>
      <ns0:c r="R456" s="1">
        <ns0:f>+Q456/E456</ns0:f>
        <ns0:v/>
      </ns0:c>
      <ns0:c r="S456" s="1" t="inlineStr">
        <ns0:is>
          <ns0:t xml:space="preserve"> Hearing voltage up 10%</ns0:t>
        </ns0:is>
      </ns0:c>
    </ns0:row>
    <ns0:row r="457" ht="26.25" customHeight="1">
      <ns0:c r="G457" s="1">
        <ns0:f>+G456/M456</ns0:f>
        <ns0:v/>
      </ns0:c>
      <ns0:c r="H457" s="1">
        <ns0:f>+H456/M456</ns0:f>
        <ns0:v/>
      </ns0:c>
      <ns0:c r="I457" s="1">
        <ns0:f>+I456/M456</ns0:f>
        <ns0:v/>
      </ns0:c>
      <ns0:c r="J457" s="1">
        <ns0:f>+J456/M456</ns0:f>
        <ns0:v/>
      </ns0:c>
      <ns0:c r="K457" s="1">
        <ns0:f>+K456/M456</ns0:f>
        <ns0:v/>
      </ns0:c>
      <ns0:c r="L457" s="1">
        <ns0:f>+L456/M456</ns0:f>
        <ns0:v/>
      </ns0:c>
      <ns0:c r="O457" s="1">
        <ns0:f>+O456/Q456</ns0:f>
        <ns0:v/>
      </ns0:c>
      <ns0:c r="P457" s="1">
        <ns0:f>+P456/Q456</ns0:f>
        <ns0:v/>
      </ns0:c>
    </ns0:row>
    <ns0:row r="458" ht="26.25" customHeight="1">
      <ns0:c r="C458" s="1" t="inlineStr">
        <ns0:is>
          <ns0:t xml:space="preserve">Frame + Suspension </ns0:t>
        </ns0:is>
      </ns0:c>
      <ns0:c r="D458" s="1" t="inlineStr">
        <ns0:is>
          <ns0:t>Frame ( Old R-PT ) sorting + sus new vender</ns0:t>
        </ns0:is>
      </ns0:c>
      <ns0:c r="E458" s="1" t="n">
        <ns0:v>555</ns0:v>
      </ns0:c>
      <ns0:c r="F458" s="1">
        <ns0:f>+E458-Q458</ns0:f>
        <ns0:v/>
      </ns0:c>
      <ns0:c r="G458" s="1" t="n">
        <ns0:v>0</ns0:v>
      </ns0:c>
      <ns0:c r="H458" s="1" t="n">
        <ns0:v>1</ns0:v>
      </ns0:c>
      <ns0:c r="I458" s="1" t="n">
        <ns0:v>2</ns0:v>
      </ns0:c>
      <ns0:c r="J458" s="1" t="n">
        <ns0:v>0</ns0:v>
      </ns0:c>
      <ns0:c r="K458" s="1" t="n">
        <ns0:v>42</ns0:v>
      </ns0:c>
      <ns0:c r="L458" s="1" t="n">
        <ns0:v>79</ns0:v>
      </ns0:c>
      <ns0:c r="M458" s="1">
        <ns0:f>SUM(G458:L458)</ns0:f>
        <ns0:v/>
      </ns0:c>
      <ns0:c r="N458" s="1">
        <ns0:f>M458/E458</ns0:f>
        <ns0:v/>
      </ns0:c>
      <ns0:c r="O458" s="1" t="n">
        <ns0:v>26</ns0:v>
      </ns0:c>
      <ns0:c r="P458" s="1" t="n">
        <ns0:v>40</ns0:v>
      </ns0:c>
      <ns0:c r="Q458" s="1">
        <ns0:f>+P458+O458+J458+I458+H458+G458</ns0:f>
        <ns0:v/>
      </ns0:c>
      <ns0:c r="R458" s="1">
        <ns0:f>+Q458/E458</ns0:f>
        <ns0:v/>
      </ns0:c>
      <ns0:c r="S458" s="1" t="inlineStr">
        <ns0:is>
          <ns0:t xml:space="preserve"> Hearing voltage up 10%</ns0:t>
        </ns0:is>
      </ns0:c>
    </ns0:row>
    <ns0:row r="459" ht="26.25" customHeight="1">
      <ns0:c r="G459" s="1">
        <ns0:f>+G458/M458</ns0:f>
        <ns0:v/>
      </ns0:c>
      <ns0:c r="H459" s="1">
        <ns0:f>+H458/M458</ns0:f>
        <ns0:v/>
      </ns0:c>
      <ns0:c r="I459" s="1">
        <ns0:f>+I458/M458</ns0:f>
        <ns0:v/>
      </ns0:c>
      <ns0:c r="J459" s="1">
        <ns0:f>+J458/M458</ns0:f>
        <ns0:v/>
      </ns0:c>
      <ns0:c r="K459" s="1">
        <ns0:f>+K458/M458</ns0:f>
        <ns0:v/>
      </ns0:c>
      <ns0:c r="L459" s="1">
        <ns0:f>+L458/M458</ns0:f>
        <ns0:v/>
      </ns0:c>
      <ns0:c r="O459" s="1">
        <ns0:f>+O458/Q458</ns0:f>
        <ns0:v/>
      </ns0:c>
      <ns0:c r="P459" s="1">
        <ns0:f>+P458/Q458</ns0:f>
        <ns0:v/>
      </ns0:c>
    </ns0:row>
    <ns0:row r="460" ht="26.25" customHeight="1">
      <ns0:c r="E460" s="1" t="n">
        <ns0:v>555</ns0:v>
      </ns0:c>
      <ns0:c r="F460" s="1">
        <ns0:f>+E460-Q460</ns0:f>
        <ns0:v/>
      </ns0:c>
      <ns0:c r="G460" s="1" t="n">
        <ns0:v>1</ns0:v>
      </ns0:c>
      <ns0:c r="H460" s="1" t="n">
        <ns0:v>1</ns0:v>
      </ns0:c>
      <ns0:c r="I460" s="1" t="n">
        <ns0:v>0</ns0:v>
      </ns0:c>
      <ns0:c r="J460" s="1" t="n">
        <ns0:v>0</ns0:v>
      </ns0:c>
      <ns0:c r="K460" s="1" t="n">
        <ns0:v>73</ns0:v>
      </ns0:c>
      <ns0:c r="L460" s="1" t="n">
        <ns0:v>100</ns0:v>
      </ns0:c>
      <ns0:c r="M460" s="1">
        <ns0:f>SUM(G460:L460)</ns0:f>
        <ns0:v/>
      </ns0:c>
      <ns0:c r="N460" s="1">
        <ns0:f>M460/E460</ns0:f>
        <ns0:v/>
      </ns0:c>
      <ns0:c r="O460" s="1" t="n">
        <ns0:v>28</ns0:v>
      </ns0:c>
      <ns0:c r="P460" s="1" t="n">
        <ns0:v>60</ns0:v>
      </ns0:c>
      <ns0:c r="Q460" s="1">
        <ns0:f>+P460+O460+J460+I460+H460+G460</ns0:f>
        <ns0:v/>
      </ns0:c>
      <ns0:c r="R460" s="1">
        <ns0:f>+Q460/E460</ns0:f>
        <ns0:v/>
      </ns0:c>
      <ns0:c r="S460" s="1" t="inlineStr">
        <ns0:is>
          <ns0:t xml:space="preserve"> Hearing voltage up 10%</ns0:t>
        </ns0:is>
      </ns0:c>
    </ns0:row>
    <ns0:row r="461" ht="26.25" customHeight="1">
      <ns0:c r="G461" s="1">
        <ns0:f>+G460/M460</ns0:f>
        <ns0:v/>
      </ns0:c>
      <ns0:c r="H461" s="1">
        <ns0:f>+H460/M460</ns0:f>
        <ns0:v/>
      </ns0:c>
      <ns0:c r="I461" s="1">
        <ns0:f>+I460/M460</ns0:f>
        <ns0:v/>
      </ns0:c>
      <ns0:c r="J461" s="1">
        <ns0:f>+J460/M460</ns0:f>
        <ns0:v/>
      </ns0:c>
      <ns0:c r="K461" s="1">
        <ns0:f>+K460/M460</ns0:f>
        <ns0:v/>
      </ns0:c>
      <ns0:c r="L461" s="1">
        <ns0:f>+L460/M460</ns0:f>
        <ns0:v/>
      </ns0:c>
      <ns0:c r="O461" s="1">
        <ns0:f>+O460/Q460</ns0:f>
        <ns0:v/>
      </ns0:c>
      <ns0:c r="P461" s="1">
        <ns0:f>+P460/Q460</ns0:f>
        <ns0:v/>
      </ns0:c>
    </ns0:row>
    <ns0:row r="462" ht="26.25" customHeight="1">
      <ns0:c r="E462" s="1" t="n">
        <ns0:v>348</ns0:v>
      </ns0:c>
      <ns0:c r="F462" s="1">
        <ns0:f>+E462-Q462</ns0:f>
        <ns0:v/>
      </ns0:c>
      <ns0:c r="G462" s="1" t="n">
        <ns0:v>0</ns0:v>
      </ns0:c>
      <ns0:c r="H462" s="1" t="n">
        <ns0:v>2</ns0:v>
      </ns0:c>
      <ns0:c r="I462" s="1" t="n">
        <ns0:v>0</ns0:v>
      </ns0:c>
      <ns0:c r="J462" s="1" t="n">
        <ns0:v>0</ns0:v>
      </ns0:c>
      <ns0:c r="K462" s="1" t="n">
        <ns0:v>46</ns0:v>
      </ns0:c>
      <ns0:c r="L462" s="1" t="n">
        <ns0:v>67</ns0:v>
      </ns0:c>
      <ns0:c r="M462" s="1">
        <ns0:f>SUM(G462:L462)</ns0:f>
        <ns0:v/>
      </ns0:c>
      <ns0:c r="N462" s="1">
        <ns0:f>M462/E462</ns0:f>
        <ns0:v/>
      </ns0:c>
      <ns0:c r="O462" s="1" t="n">
        <ns0:v>24</ns0:v>
      </ns0:c>
      <ns0:c r="P462" s="1" t="n">
        <ns0:v>45</ns0:v>
      </ns0:c>
      <ns0:c r="Q462" s="1">
        <ns0:f>+P462+O462+J462+I462+H462+G462</ns0:f>
        <ns0:v/>
      </ns0:c>
      <ns0:c r="R462" s="1">
        <ns0:f>+Q462/E462</ns0:f>
        <ns0:v/>
      </ns0:c>
      <ns0:c r="S462" s="1" t="inlineStr">
        <ns0:is>
          <ns0:t xml:space="preserve"> Hearing voltage up 10%</ns0:t>
        </ns0:is>
      </ns0:c>
    </ns0:row>
    <ns0:row r="463" ht="26.25" customHeight="1">
      <ns0:c r="G463" s="1">
        <ns0:f>+G462/M462</ns0:f>
        <ns0:v/>
      </ns0:c>
      <ns0:c r="H463" s="1">
        <ns0:f>+H462/M462</ns0:f>
        <ns0:v/>
      </ns0:c>
      <ns0:c r="I463" s="1">
        <ns0:f>+I462/M462</ns0:f>
        <ns0:v/>
      </ns0:c>
      <ns0:c r="J463" s="1">
        <ns0:f>+J462/M462</ns0:f>
        <ns0:v/>
      </ns0:c>
      <ns0:c r="K463" s="1">
        <ns0:f>+K462/M462</ns0:f>
        <ns0:v/>
      </ns0:c>
      <ns0:c r="L463" s="1">
        <ns0:f>+L462/M462</ns0:f>
        <ns0:v/>
      </ns0:c>
      <ns0:c r="O463" s="1">
        <ns0:f>+O462/Q462</ns0:f>
        <ns0:v/>
      </ns0:c>
      <ns0:c r="P463" s="1">
        <ns0:f>+P462/Q462</ns0:f>
        <ns0:v/>
      </ns0:c>
    </ns0:row>
    <ns0:row r="464" ht="26.25" customHeight="1">
      <ns0:c r="C464" s="1" t="inlineStr">
        <ns0:is>
          <ns0:t>Total TEST</ns0:t>
        </ns0:is>
      </ns0:c>
      <ns0:c r="E464" s="1">
        <ns0:f>SUM(E458:E463)</ns0:f>
        <ns0:v/>
      </ns0:c>
      <ns0:c r="F464" s="1">
        <ns0:f>SUM(F458:F463)</ns0:f>
        <ns0:v/>
      </ns0:c>
      <ns0:c r="G464" s="1">
        <ns0:f>G460+G462</ns0:f>
        <ns0:v/>
      </ns0:c>
      <ns0:c r="H464" s="1">
        <ns0:f>H460+H462</ns0:f>
        <ns0:v/>
      </ns0:c>
      <ns0:c r="I464" s="1">
        <ns0:f>I460+I462</ns0:f>
        <ns0:v/>
      </ns0:c>
      <ns0:c r="J464" s="1">
        <ns0:f>J460+J462</ns0:f>
        <ns0:v/>
      </ns0:c>
      <ns0:c r="K464" s="1">
        <ns0:f>+K458+K460+K462</ns0:f>
        <ns0:v/>
      </ns0:c>
      <ns0:c r="L464" s="1">
        <ns0:f>+L458+L460+L462</ns0:f>
        <ns0:v/>
      </ns0:c>
      <ns0:c r="M464" s="1">
        <ns0:f>SUM(G464:L464)</ns0:f>
        <ns0:v/>
      </ns0:c>
      <ns0:c r="N464" s="1">
        <ns0:f>M464/E464</ns0:f>
        <ns0:v/>
      </ns0:c>
      <ns0:c r="O464" s="1">
        <ns0:f>+O458+O460+O462</ns0:f>
        <ns0:v/>
      </ns0:c>
      <ns0:c r="P464" s="1">
        <ns0:f>+P458+P460+P462</ns0:f>
        <ns0:v/>
      </ns0:c>
      <ns0:c r="Q464" s="1">
        <ns0:f>+P464+O464+J464+I464+H464+G464</ns0:f>
        <ns0:v/>
      </ns0:c>
      <ns0:c r="R464" s="1">
        <ns0:f>+Q464/E464</ns0:f>
        <ns0:v/>
      </ns0:c>
      <ns0:c r="S464" s="1" t="inlineStr">
        <ns0:is>
          <ns0:t xml:space="preserve"> Hearing voltage up 10%</ns0:t>
        </ns0:is>
      </ns0:c>
    </ns0:row>
    <ns0:row r="465" ht="26.25" customHeight="1">
      <ns0:c r="G465" s="1">
        <ns0:f>+G464/M464</ns0:f>
        <ns0:v/>
      </ns0:c>
      <ns0:c r="H465" s="1">
        <ns0:f>+H464/M464</ns0:f>
        <ns0:v/>
      </ns0:c>
      <ns0:c r="I465" s="1">
        <ns0:f>+I464/M464</ns0:f>
        <ns0:v/>
      </ns0:c>
      <ns0:c r="J465" s="1">
        <ns0:f>+J464/M464</ns0:f>
        <ns0:v/>
      </ns0:c>
      <ns0:c r="K465" s="1">
        <ns0:f>+K464/M464</ns0:f>
        <ns0:v/>
      </ns0:c>
      <ns0:c r="L465" s="1">
        <ns0:f>+L464/M464</ns0:f>
        <ns0:v/>
      </ns0:c>
      <ns0:c r="O465" s="1">
        <ns0:f>+O464/Q464</ns0:f>
        <ns0:v/>
      </ns0:c>
      <ns0:c r="P465" s="1">
        <ns0:f>+P464/Q464</ns0:f>
        <ns0:v/>
      </ns0:c>
    </ns0:row>
    <ns0:row r="466" ht="26.25" customHeight="1">
      <ns0:c r="B466" s="2" t="n">
        <ns0:v>45498</ns0:v>
      </ns0:c>
      <ns0:c r="C466" s="1" t="inlineStr">
        <ns0:is>
          <ns0:t xml:space="preserve">Frame + Suspension </ns0:t>
        </ns0:is>
      </ns0:c>
      <ns0:c r="D466" s="1" t="inlineStr">
        <ns0:is>
          <ns0:t>Frame ( R-PT improve )  + sus new vender</ns0:t>
        </ns0:is>
      </ns0:c>
      <ns0:c r="E466" s="1" t="n">
        <ns0:v>559</ns0:v>
      </ns0:c>
      <ns0:c r="F466" s="1">
        <ns0:f>+E466-Q466</ns0:f>
        <ns0:v/>
      </ns0:c>
      <ns0:c r="G466" s="1" t="n">
        <ns0:v>0</ns0:v>
      </ns0:c>
      <ns0:c r="H466" s="1" t="n">
        <ns0:v>1</ns0:v>
      </ns0:c>
      <ns0:c r="I466" s="1" t="n">
        <ns0:v>0</ns0:v>
      </ns0:c>
      <ns0:c r="J466" s="1" t="n">
        <ns0:v>1</ns0:v>
      </ns0:c>
      <ns0:c r="K466" s="1" t="n">
        <ns0:v>19</ns0:v>
      </ns0:c>
      <ns0:c r="L466" s="1" t="n">
        <ns0:v>71</ns0:v>
      </ns0:c>
      <ns0:c r="M466" s="1">
        <ns0:f>SUM(G466:L466)</ns0:f>
        <ns0:v/>
      </ns0:c>
      <ns0:c r="N466" s="1">
        <ns0:f>M466/E466</ns0:f>
        <ns0:v/>
      </ns0:c>
      <ns0:c r="O466" s="1" t="n">
        <ns0:v>14</ns0:v>
      </ns0:c>
      <ns0:c r="P466" s="1" t="n">
        <ns0:v>43</ns0:v>
      </ns0:c>
      <ns0:c r="Q466" s="1">
        <ns0:f>+P466+O466+J466+I466+H466+G466</ns0:f>
        <ns0:v/>
      </ns0:c>
      <ns0:c r="R466" s="1">
        <ns0:f>+Q466/E466</ns0:f>
        <ns0:v/>
      </ns0:c>
      <ns0:c r="S466" s="1" t="inlineStr">
        <ns0:is>
          <ns0:t xml:space="preserve"> Hearing voltage up 10%</ns0:t>
        </ns0:is>
      </ns0:c>
    </ns0:row>
    <ns0:row r="467" ht="26.25" customHeight="1">
      <ns0:c r="G467" s="1">
        <ns0:f>+G466/M466</ns0:f>
        <ns0:v/>
      </ns0:c>
      <ns0:c r="H467" s="1">
        <ns0:f>+H466/M466</ns0:f>
        <ns0:v/>
      </ns0:c>
      <ns0:c r="I467" s="1">
        <ns0:f>+I466/M466</ns0:f>
        <ns0:v/>
      </ns0:c>
      <ns0:c r="J467" s="1">
        <ns0:f>+J466/M466</ns0:f>
        <ns0:v/>
      </ns0:c>
      <ns0:c r="K467" s="1">
        <ns0:f>+K466/M466</ns0:f>
        <ns0:v/>
      </ns0:c>
      <ns0:c r="L467" s="1">
        <ns0:f>+L466/M466</ns0:f>
        <ns0:v/>
      </ns0:c>
      <ns0:c r="O467" s="1">
        <ns0:f>+O466/Q466</ns0:f>
        <ns0:v/>
      </ns0:c>
      <ns0:c r="P467" s="1">
        <ns0:f>+P466/Q466</ns0:f>
        <ns0:v/>
      </ns0:c>
    </ns0:row>
    <ns0:row r="468" ht="26.25" customHeight="1">
      <ns0:c r="E468" s="1" t="n">
        <ns0:v>559</ns0:v>
      </ns0:c>
      <ns0:c r="F468" s="1">
        <ns0:f>+E468-Q468</ns0:f>
        <ns0:v/>
      </ns0:c>
      <ns0:c r="G468" s="1" t="n">
        <ns0:v>0</ns0:v>
      </ns0:c>
      <ns0:c r="H468" s="1" t="n">
        <ns0:v>1</ns0:v>
      </ns0:c>
      <ns0:c r="I468" s="1" t="n">
        <ns0:v>0</ns0:v>
      </ns0:c>
      <ns0:c r="J468" s="1" t="n">
        <ns0:v>0</ns0:v>
      </ns0:c>
      <ns0:c r="K468" s="1" t="n">
        <ns0:v>40</ns0:v>
      </ns0:c>
      <ns0:c r="L468" s="1" t="n">
        <ns0:v>85</ns0:v>
      </ns0:c>
      <ns0:c r="M468" s="1">
        <ns0:f>SUM(G468:L468)</ns0:f>
        <ns0:v/>
      </ns0:c>
      <ns0:c r="N468" s="1">
        <ns0:f>M468/E468</ns0:f>
        <ns0:v/>
      </ns0:c>
      <ns0:c r="O468" s="1" t="n">
        <ns0:v>25</ns0:v>
      </ns0:c>
      <ns0:c r="P468" s="1" t="n">
        <ns0:v>42</ns0:v>
      </ns0:c>
      <ns0:c r="Q468" s="1">
        <ns0:f>+P468+O468+J468+I468+H468+G468</ns0:f>
        <ns0:v/>
      </ns0:c>
      <ns0:c r="R468" s="1">
        <ns0:f>+Q468/E468</ns0:f>
        <ns0:v/>
      </ns0:c>
      <ns0:c r="S468" s="1" t="inlineStr">
        <ns0:is>
          <ns0:t xml:space="preserve"> Hearing voltage up 10%</ns0:t>
        </ns0:is>
      </ns0:c>
    </ns0:row>
    <ns0:row r="469" ht="26.25" customHeight="1">
      <ns0:c r="G469" s="1">
        <ns0:f>+G468/M468</ns0:f>
        <ns0:v/>
      </ns0:c>
      <ns0:c r="H469" s="1">
        <ns0:f>+H468/M468</ns0:f>
        <ns0:v/>
      </ns0:c>
      <ns0:c r="I469" s="1">
        <ns0:f>+I468/M468</ns0:f>
        <ns0:v/>
      </ns0:c>
      <ns0:c r="J469" s="1">
        <ns0:f>+J468/M468</ns0:f>
        <ns0:v/>
      </ns0:c>
      <ns0:c r="K469" s="1">
        <ns0:f>+K468/M468</ns0:f>
        <ns0:v/>
      </ns0:c>
      <ns0:c r="L469" s="1">
        <ns0:f>+L468/M468</ns0:f>
        <ns0:v/>
      </ns0:c>
      <ns0:c r="O469" s="1">
        <ns0:f>+O468/Q468</ns0:f>
        <ns0:v/>
      </ns0:c>
      <ns0:c r="P469" s="1">
        <ns0:f>+P468/Q468</ns0:f>
        <ns0:v/>
      </ns0:c>
    </ns0:row>
    <ns0:row r="470" ht="26.25" customHeight="1">
      <ns0:c r="E470" s="1" t="n">
        <ns0:v>227</ns0:v>
      </ns0:c>
      <ns0:c r="F470" s="1">
        <ns0:f>+E470-Q470</ns0:f>
        <ns0:v/>
      </ns0:c>
      <ns0:c r="G470" s="1" t="n">
        <ns0:v>0</ns0:v>
      </ns0:c>
      <ns0:c r="H470" s="1" t="n">
        <ns0:v>0</ns0:v>
      </ns0:c>
      <ns0:c r="I470" s="1" t="n">
        <ns0:v>0</ns0:v>
      </ns0:c>
      <ns0:c r="J470" s="1" t="n">
        <ns0:v>0</ns0:v>
      </ns0:c>
      <ns0:c r="K470" s="1" t="n">
        <ns0:v>6</ns0:v>
      </ns0:c>
      <ns0:c r="L470" s="1" t="n">
        <ns0:v>16</ns0:v>
      </ns0:c>
      <ns0:c r="M470" s="1">
        <ns0:f>SUM(G470:L470)</ns0:f>
        <ns0:v/>
      </ns0:c>
      <ns0:c r="N470" s="1">
        <ns0:f>M470/E470</ns0:f>
        <ns0:v/>
      </ns0:c>
      <ns0:c r="O470" s="1" t="n">
        <ns0:v>4</ns0:v>
      </ns0:c>
      <ns0:c r="P470" s="1" t="n">
        <ns0:v>11</ns0:v>
      </ns0:c>
      <ns0:c r="Q470" s="1">
        <ns0:f>+P470+O470+J470+I470+H470+G470</ns0:f>
        <ns0:v/>
      </ns0:c>
      <ns0:c r="R470" s="1">
        <ns0:f>+Q470/E470</ns0:f>
        <ns0:v/>
      </ns0:c>
      <ns0:c r="S470" s="1" t="inlineStr">
        <ns0:is>
          <ns0:t xml:space="preserve"> Hearing voltage up 10%</ns0:t>
        </ns0:is>
      </ns0:c>
    </ns0:row>
    <ns0:row r="471" ht="26.25" customHeight="1">
      <ns0:c r="G471" s="1">
        <ns0:f>+G470/M470</ns0:f>
        <ns0:v/>
      </ns0:c>
      <ns0:c r="H471" s="1">
        <ns0:f>+H470/M470</ns0:f>
        <ns0:v/>
      </ns0:c>
      <ns0:c r="I471" s="1">
        <ns0:f>+I470/M470</ns0:f>
        <ns0:v/>
      </ns0:c>
      <ns0:c r="J471" s="1">
        <ns0:f>+J470/M470</ns0:f>
        <ns0:v/>
      </ns0:c>
      <ns0:c r="K471" s="1">
        <ns0:f>+K470/M470</ns0:f>
        <ns0:v/>
      </ns0:c>
      <ns0:c r="L471" s="1">
        <ns0:f>+L470/M470</ns0:f>
        <ns0:v/>
      </ns0:c>
      <ns0:c r="O471" s="1">
        <ns0:f>+O470/Q470</ns0:f>
        <ns0:v/>
      </ns0:c>
      <ns0:c r="P471" s="1">
        <ns0:f>+P470/Q470</ns0:f>
        <ns0:v/>
      </ns0:c>
    </ns0:row>
    <ns0:row r="472" ht="26.25" customHeight="1">
      <ns0:c r="E472" s="1" t="n">
        <ns0:v>557</ns0:v>
      </ns0:c>
      <ns0:c r="F472" s="1">
        <ns0:f>+E472-Q472</ns0:f>
        <ns0:v/>
      </ns0:c>
      <ns0:c r="G472" s="1" t="n">
        <ns0:v>1</ns0:v>
      </ns0:c>
      <ns0:c r="H472" s="1" t="n">
        <ns0:v>4</ns0:v>
      </ns0:c>
      <ns0:c r="I472" s="1" t="n">
        <ns0:v>3</ns0:v>
      </ns0:c>
      <ns0:c r="J472" s="1" t="n">
        <ns0:v>0</ns0:v>
      </ns0:c>
      <ns0:c r="K472" s="1" t="n">
        <ns0:v>27</ns0:v>
      </ns0:c>
      <ns0:c r="L472" s="1" t="n">
        <ns0:v>90</ns0:v>
      </ns0:c>
      <ns0:c r="M472" s="1">
        <ns0:f>SUM(G472:L472)</ns0:f>
        <ns0:v/>
      </ns0:c>
      <ns0:c r="N472" s="1">
        <ns0:f>M472/E472</ns0:f>
        <ns0:v/>
      </ns0:c>
      <ns0:c r="O472" s="1" t="n">
        <ns0:v>21</ns0:v>
      </ns0:c>
      <ns0:c r="P472" s="1" t="n">
        <ns0:v>53</ns0:v>
      </ns0:c>
      <ns0:c r="Q472" s="1">
        <ns0:f>+P472+O472+J472+I472+H472+G472</ns0:f>
        <ns0:v/>
      </ns0:c>
      <ns0:c r="R472" s="1">
        <ns0:f>+Q472/E472</ns0:f>
        <ns0:v/>
      </ns0:c>
      <ns0:c r="S472" s="1" t="inlineStr">
        <ns0:is>
          <ns0:t xml:space="preserve"> Hearing voltage up 10%</ns0:t>
        </ns0:is>
      </ns0:c>
    </ns0:row>
    <ns0:row r="473" ht="26.25" customHeight="1">
      <ns0:c r="G473" s="1">
        <ns0:f>+G472/M472</ns0:f>
        <ns0:v/>
      </ns0:c>
      <ns0:c r="H473" s="1">
        <ns0:f>+H472/M472</ns0:f>
        <ns0:v/>
      </ns0:c>
      <ns0:c r="I473" s="1">
        <ns0:f>+I472/M472</ns0:f>
        <ns0:v/>
      </ns0:c>
      <ns0:c r="J473" s="1">
        <ns0:f>+J472/M472</ns0:f>
        <ns0:v/>
      </ns0:c>
      <ns0:c r="K473" s="1">
        <ns0:f>+K472/M472</ns0:f>
        <ns0:v/>
      </ns0:c>
      <ns0:c r="L473" s="1">
        <ns0:f>+L472/M472</ns0:f>
        <ns0:v/>
      </ns0:c>
      <ns0:c r="O473" s="1">
        <ns0:f>+O472/Q472</ns0:f>
        <ns0:v/>
      </ns0:c>
      <ns0:c r="P473" s="1">
        <ns0:f>+P472/Q472</ns0:f>
        <ns0:v/>
      </ns0:c>
    </ns0:row>
    <ns0:row r="474" ht="26.25" customHeight="1">
      <ns0:c r="E474" s="1" t="n">
        <ns0:v>554</ns0:v>
      </ns0:c>
      <ns0:c r="F474" s="1">
        <ns0:f>+E474-Q474</ns0:f>
        <ns0:v/>
      </ns0:c>
      <ns0:c r="G474" s="1" t="n">
        <ns0:v>0</ns0:v>
      </ns0:c>
      <ns0:c r="H474" s="1" t="n">
        <ns0:v>0</ns0:v>
      </ns0:c>
      <ns0:c r="I474" s="1" t="n">
        <ns0:v>2</ns0:v>
      </ns0:c>
      <ns0:c r="J474" s="1" t="n">
        <ns0:v>1</ns0:v>
      </ns0:c>
      <ns0:c r="K474" s="1" t="n">
        <ns0:v>18</ns0:v>
      </ns0:c>
      <ns0:c r="L474" s="1" t="n">
        <ns0:v>96</ns0:v>
      </ns0:c>
      <ns0:c r="M474" s="1">
        <ns0:f>SUM(G474:L474)</ns0:f>
        <ns0:v/>
      </ns0:c>
      <ns0:c r="N474" s="1">
        <ns0:f>M474/E474</ns0:f>
        <ns0:v/>
      </ns0:c>
      <ns0:c r="O474" s="1" t="n">
        <ns0:v>12</ns0:v>
      </ns0:c>
      <ns0:c r="P474" s="1" t="n">
        <ns0:v>66</ns0:v>
      </ns0:c>
      <ns0:c r="Q474" s="1">
        <ns0:f>+P474+O474+J474+I474+H474+G474</ns0:f>
        <ns0:v/>
      </ns0:c>
      <ns0:c r="R474" s="1">
        <ns0:f>+Q474/E474</ns0:f>
        <ns0:v/>
      </ns0:c>
      <ns0:c r="S474" s="1" t="inlineStr">
        <ns0:is>
          <ns0:t xml:space="preserve"> Hearing voltage up 10%</ns0:t>
        </ns0:is>
      </ns0:c>
    </ns0:row>
    <ns0:row r="475" ht="26.25" customHeight="1">
      <ns0:c r="G475" s="1">
        <ns0:f>+G474/M474</ns0:f>
        <ns0:v/>
      </ns0:c>
      <ns0:c r="H475" s="1">
        <ns0:f>+H474/M474</ns0:f>
        <ns0:v/>
      </ns0:c>
      <ns0:c r="I475" s="1">
        <ns0:f>+I474/M474</ns0:f>
        <ns0:v/>
      </ns0:c>
      <ns0:c r="J475" s="1">
        <ns0:f>+J474/M474</ns0:f>
        <ns0:v/>
      </ns0:c>
      <ns0:c r="K475" s="1">
        <ns0:f>+K474/M474</ns0:f>
        <ns0:v/>
      </ns0:c>
      <ns0:c r="L475" s="1">
        <ns0:f>+L474/M474</ns0:f>
        <ns0:v/>
      </ns0:c>
      <ns0:c r="O475" s="1">
        <ns0:f>+O474/Q474</ns0:f>
        <ns0:v/>
      </ns0:c>
      <ns0:c r="P475" s="1">
        <ns0:f>+P474/Q474</ns0:f>
        <ns0:v/>
      </ns0:c>
    </ns0:row>
    <ns0:row r="476" ht="26.25" customHeight="1">
      <ns0:c r="C476" s="1" t="inlineStr">
        <ns0:is>
          <ns0:t>Total TEST</ns0:t>
        </ns0:is>
      </ns0:c>
      <ns0:c r="E476" s="1">
        <ns0:f>SUM(E466:E474)</ns0:f>
        <ns0:v/>
      </ns0:c>
      <ns0:c r="F476" s="1">
        <ns0:f>SUM(F466:F475)</ns0:f>
        <ns0:v/>
      </ns0:c>
      <ns0:c r="G476" s="1">
        <ns0:f>G468+G470+G472+G474</ns0:f>
        <ns0:v/>
      </ns0:c>
      <ns0:c r="H476" s="1">
        <ns0:f>H468+H470+H472+H474</ns0:f>
        <ns0:v/>
      </ns0:c>
      <ns0:c r="I476" s="1">
        <ns0:f>I468+I470+I472+I474</ns0:f>
        <ns0:v/>
      </ns0:c>
      <ns0:c r="J476" s="1">
        <ns0:f>J468+J470+J472+J474</ns0:f>
        <ns0:v/>
      </ns0:c>
      <ns0:c r="K476" s="1">
        <ns0:f>K468+K470+K472+K474</ns0:f>
        <ns0:v/>
      </ns0:c>
      <ns0:c r="L476" s="1">
        <ns0:f>L468+L470+L472+L474</ns0:f>
        <ns0:v/>
      </ns0:c>
      <ns0:c r="M476" s="1">
        <ns0:f>SUM(G476:L476)</ns0:f>
        <ns0:v/>
      </ns0:c>
      <ns0:c r="N476" s="1">
        <ns0:f>M476/E476</ns0:f>
        <ns0:v/>
      </ns0:c>
      <ns0:c r="O476" s="1">
        <ns0:f>+O466+O468+O470+O472+O474</ns0:f>
        <ns0:v/>
      </ns0:c>
      <ns0:c r="P476" s="1">
        <ns0:f>+P466+P468+P470+P472+P474</ns0:f>
        <ns0:v/>
      </ns0:c>
      <ns0:c r="Q476" s="1">
        <ns0:f>+P476+O476+J476+I476+H476+G476</ns0:f>
        <ns0:v/>
      </ns0:c>
      <ns0:c r="R476" s="1">
        <ns0:f>+Q476/E476</ns0:f>
        <ns0:v/>
      </ns0:c>
      <ns0:c r="S476" s="1" t="inlineStr">
        <ns0:is>
          <ns0:t xml:space="preserve"> Hearing voltage up 10%</ns0:t>
        </ns0:is>
      </ns0:c>
    </ns0:row>
    <ns0:row r="477" ht="26.25" customHeight="1">
      <ns0:c r="G477" s="1">
        <ns0:f>+G476/M476</ns0:f>
        <ns0:v/>
      </ns0:c>
      <ns0:c r="H477" s="1">
        <ns0:f>+H476/M476</ns0:f>
        <ns0:v/>
      </ns0:c>
      <ns0:c r="I477" s="1">
        <ns0:f>+I476/M476</ns0:f>
        <ns0:v/>
      </ns0:c>
      <ns0:c r="J477" s="1">
        <ns0:f>+J476/M476</ns0:f>
        <ns0:v/>
      </ns0:c>
      <ns0:c r="K477" s="1">
        <ns0:f>+K476/M476</ns0:f>
        <ns0:v/>
      </ns0:c>
      <ns0:c r="L477" s="1">
        <ns0:f>+L476/M476</ns0:f>
        <ns0:v/>
      </ns0:c>
      <ns0:c r="O477" s="1">
        <ns0:f>+O476/Q476</ns0:f>
        <ns0:v/>
      </ns0:c>
      <ns0:c r="P477" s="1">
        <ns0:f>+P476/Q476</ns0:f>
        <ns0:v/>
      </ns0:c>
    </ns0:row>
    <ns0:row r="478" ht="26.25" customHeight="1">
      <ns0:c r="B478" s="2" t="n">
        <ns0:v>45499</ns0:v>
      </ns0:c>
      <ns0:c r="C478" s="1" t="inlineStr">
        <ns0:is>
          <ns0:t>VP KR Forming</ns0:t>
        </ns0:is>
      </ns0:c>
      <ns0:c r="D478" s="1" t="inlineStr">
        <ns0:is>
          <ns0:t>IR 240627081 ( Film GN )</ns0:t>
        </ns0:is>
      </ns0:c>
      <ns0:c r="E478" s="1" t="n">
        <ns0:v>246</ns0:v>
      </ns0:c>
      <ns0:c r="F478" s="1">
        <ns0:f>+E478-Q478</ns0:f>
        <ns0:v/>
      </ns0:c>
      <ns0:c r="G478" s="1" t="n">
        <ns0:v>2</ns0:v>
      </ns0:c>
      <ns0:c r="H478" s="1" t="n">
        <ns0:v>0</ns0:v>
      </ns0:c>
      <ns0:c r="I478" s="1" t="n">
        <ns0:v>0</ns0:v>
      </ns0:c>
      <ns0:c r="J478" s="1" t="n">
        <ns0:v>0</ns0:v>
      </ns0:c>
      <ns0:c r="K478" s="1" t="n">
        <ns0:v>15</ns0:v>
      </ns0:c>
      <ns0:c r="L478" s="1" t="n">
        <ns0:v>37</ns0:v>
      </ns0:c>
      <ns0:c r="M478" s="1">
        <ns0:f>SUM(G478:L478)</ns0:f>
        <ns0:v/>
      </ns0:c>
      <ns0:c r="N478" s="1">
        <ns0:f>M478/E478</ns0:f>
        <ns0:v/>
      </ns0:c>
      <ns0:c r="O478" s="1" t="n">
        <ns0:v>7</ns0:v>
      </ns0:c>
      <ns0:c r="P478" s="1" t="n">
        <ns0:v>19</ns0:v>
      </ns0:c>
      <ns0:c r="Q478" s="1">
        <ns0:f>+P478+O478+J478+I478+H478+G478</ns0:f>
        <ns0:v/>
      </ns0:c>
      <ns0:c r="R478" s="1">
        <ns0:f>+Q478/E478</ns0:f>
        <ns0:v/>
      </ns0:c>
      <ns0:c r="S478" s="1" t="inlineStr">
        <ns0:is>
          <ns0:t xml:space="preserve"> Hearing voltage up 10%</ns0:t>
        </ns0:is>
      </ns0:c>
    </ns0:row>
    <ns0:row r="479" ht="26.25" customHeight="1">
      <ns0:c r="G479" s="1">
        <ns0:f>+G478/M478</ns0:f>
        <ns0:v/>
      </ns0:c>
      <ns0:c r="H479" s="1">
        <ns0:f>+H478/M478</ns0:f>
        <ns0:v/>
      </ns0:c>
      <ns0:c r="I479" s="1">
        <ns0:f>+I478/M478</ns0:f>
        <ns0:v/>
      </ns0:c>
      <ns0:c r="J479" s="1">
        <ns0:f>+J478/M478</ns0:f>
        <ns0:v/>
      </ns0:c>
      <ns0:c r="K479" s="1">
        <ns0:f>+K478/M478</ns0:f>
        <ns0:v/>
      </ns0:c>
      <ns0:c r="L479" s="1">
        <ns0:f>+L478/M478</ns0:f>
        <ns0:v/>
      </ns0:c>
      <ns0:c r="O479" s="1">
        <ns0:f>+O478/Q478</ns0:f>
        <ns0:v/>
      </ns0:c>
      <ns0:c r="P479" s="1">
        <ns0:f>+P478/Q478</ns0:f>
        <ns0:v/>
      </ns0:c>
    </ns0:row>
    <ns0:row r="480" ht="26.25" customHeight="1">
      <ns0:c r="D480" s="1" t="inlineStr">
        <ns0:is>
          <ns0:t>IR 240703080 ( Film GN )</ns0:t>
        </ns0:is>
      </ns0:c>
      <ns0:c r="E480" s="1" t="n">
        <ns0:v>288</ns0:v>
      </ns0:c>
      <ns0:c r="F480" s="1">
        <ns0:f>+E480-Q480</ns0:f>
        <ns0:v/>
      </ns0:c>
      <ns0:c r="G480" s="1" t="n">
        <ns0:v>0</ns0:v>
      </ns0:c>
      <ns0:c r="H480" s="1" t="n">
        <ns0:v>0</ns0:v>
      </ns0:c>
      <ns0:c r="I480" s="1" t="n">
        <ns0:v>0</ns0:v>
      </ns0:c>
      <ns0:c r="J480" s="1" t="n">
        <ns0:v>0</ns0:v>
      </ns0:c>
      <ns0:c r="K480" s="1" t="n">
        <ns0:v>3</ns0:v>
      </ns0:c>
      <ns0:c r="L480" s="1" t="n">
        <ns0:v>25</ns0:v>
      </ns0:c>
      <ns0:c r="M480" s="1">
        <ns0:f>SUM(G480:L480)</ns0:f>
        <ns0:v/>
      </ns0:c>
      <ns0:c r="N480" s="1">
        <ns0:f>M480/E480</ns0:f>
        <ns0:v/>
      </ns0:c>
      <ns0:c r="O480" s="1" t="n">
        <ns0:v>2</ns0:v>
      </ns0:c>
      <ns0:c r="P480" s="1" t="n">
        <ns0:v>14</ns0:v>
      </ns0:c>
      <ns0:c r="Q480" s="1">
        <ns0:f>+P480+O480+J480+I480+H480+G480</ns0:f>
        <ns0:v/>
      </ns0:c>
      <ns0:c r="R480" s="1">
        <ns0:f>+Q480/E480</ns0:f>
        <ns0:v/>
      </ns0:c>
      <ns0:c r="S480" s="1" t="inlineStr">
        <ns0:is>
          <ns0:t xml:space="preserve"> Hearing voltage up 10%</ns0:t>
        </ns0:is>
      </ns0:c>
    </ns0:row>
    <ns0:row r="481" ht="26.25" customHeight="1">
      <ns0:c r="G481" s="1">
        <ns0:f>+G480/M480</ns0:f>
        <ns0:v/>
      </ns0:c>
      <ns0:c r="H481" s="1">
        <ns0:f>+H480/M480</ns0:f>
        <ns0:v/>
      </ns0:c>
      <ns0:c r="I481" s="1">
        <ns0:f>+I480/M480</ns0:f>
        <ns0:v/>
      </ns0:c>
      <ns0:c r="J481" s="1">
        <ns0:f>+J480/M480</ns0:f>
        <ns0:v/>
      </ns0:c>
      <ns0:c r="K481" s="1">
        <ns0:f>+K480/M480</ns0:f>
        <ns0:v/>
      </ns0:c>
      <ns0:c r="L481" s="1">
        <ns0:f>+L480/M480</ns0:f>
        <ns0:v/>
      </ns0:c>
      <ns0:c r="O481" s="1">
        <ns0:f>+O480/Q480</ns0:f>
        <ns0:v/>
      </ns0:c>
      <ns0:c r="P481" s="1">
        <ns0:f>+P480/Q480</ns0:f>
        <ns0:v/>
      </ns0:c>
    </ns0:row>
    <ns0:row r="482" ht="26.25" customHeight="1">
      <ns0:c r="C482" s="1" t="inlineStr">
        <ns0:is>
          <ns0:t xml:space="preserve">Frame </ns0:t>
        </ns0:is>
      </ns0:c>
      <ns0:c r="D482" s="1" t="inlineStr">
        <ns0:is>
          <ns0:t>Big bending</ns0:t>
        </ns0:is>
      </ns0:c>
      <ns0:c r="E482" s="1" t="n">
        <ns0:v>83</ns0:v>
      </ns0:c>
      <ns0:c r="F482" s="1">
        <ns0:f>+E482-Q482</ns0:f>
        <ns0:v/>
      </ns0:c>
      <ns0:c r="G482" s="1" t="n">
        <ns0:v>0</ns0:v>
      </ns0:c>
      <ns0:c r="H482" s="1" t="n">
        <ns0:v>0</ns0:v>
      </ns0:c>
      <ns0:c r="I482" s="1" t="n">
        <ns0:v>0</ns0:v>
      </ns0:c>
      <ns0:c r="J482" s="1" t="n">
        <ns0:v>0</ns0:v>
      </ns0:c>
      <ns0:c r="K482" s="1" t="n">
        <ns0:v>3</ns0:v>
      </ns0:c>
      <ns0:c r="L482" s="1" t="n">
        <ns0:v>0</ns0:v>
      </ns0:c>
      <ns0:c r="M482" s="1">
        <ns0:f>SUM(G482:L482)</ns0:f>
        <ns0:v/>
      </ns0:c>
      <ns0:c r="N482" s="1">
        <ns0:f>M482/E482</ns0:f>
        <ns0:v/>
      </ns0:c>
      <ns0:c r="O482" s="1" t="n">
        <ns0:v>2</ns0:v>
      </ns0:c>
      <ns0:c r="P482" s="1" t="n">
        <ns0:v>0</ns0:v>
      </ns0:c>
      <ns0:c r="Q482" s="1">
        <ns0:f>+P482+O482+J482+I482+H482+G482</ns0:f>
        <ns0:v/>
      </ns0:c>
      <ns0:c r="R482" s="1">
        <ns0:f>+Q482/E482</ns0:f>
        <ns0:v/>
      </ns0:c>
      <ns0:c r="S482" s="1" t="inlineStr">
        <ns0:is>
          <ns0:t xml:space="preserve"> Hearing voltage up 10%</ns0:t>
        </ns0:is>
      </ns0:c>
    </ns0:row>
    <ns0:row r="483" ht="26.25" customHeight="1">
      <ns0:c r="G483" s="1">
        <ns0:f>+G482/M482</ns0:f>
        <ns0:v/>
      </ns0:c>
      <ns0:c r="H483" s="1">
        <ns0:f>+H482/M482</ns0:f>
        <ns0:v/>
      </ns0:c>
      <ns0:c r="I483" s="1">
        <ns0:f>+I482/M482</ns0:f>
        <ns0:v/>
      </ns0:c>
      <ns0:c r="J483" s="1">
        <ns0:f>+J482/M482</ns0:f>
        <ns0:v/>
      </ns0:c>
      <ns0:c r="K483" s="1">
        <ns0:f>+K482/M482</ns0:f>
        <ns0:v/>
      </ns0:c>
      <ns0:c r="L483" s="1">
        <ns0:f>+L482/M482</ns0:f>
        <ns0:v/>
      </ns0:c>
      <ns0:c r="O483" s="1">
        <ns0:f>+O482/Q482</ns0:f>
        <ns0:v/>
      </ns0:c>
      <ns0:c r="P483" s="1">
        <ns0:f>+P482/Q482</ns0:f>
        <ns0:v/>
      </ns0:c>
    </ns0:row>
    <ns0:row r="484" ht="26.25" customHeight="1">
      <ns0:c r="D484" s="1" t="inlineStr">
        <ns0:is>
          <ns0:t>Alittle bending</ns0:t>
        </ns0:is>
      </ns0:c>
      <ns0:c r="E484" s="1" t="n">
        <ns0:v>253</ns0:v>
      </ns0:c>
      <ns0:c r="F484" s="1">
        <ns0:f>+E484-Q484</ns0:f>
        <ns0:v/>
      </ns0:c>
      <ns0:c r="G484" s="1" t="n">
        <ns0:v>0</ns0:v>
      </ns0:c>
      <ns0:c r="H484" s="1" t="n">
        <ns0:v>0</ns0:v>
      </ns0:c>
      <ns0:c r="I484" s="1" t="n">
        <ns0:v>1</ns0:v>
      </ns0:c>
      <ns0:c r="J484" s="1" t="n">
        <ns0:v>0</ns0:v>
      </ns0:c>
      <ns0:c r="K484" s="1" t="n">
        <ns0:v>17</ns0:v>
      </ns0:c>
      <ns0:c r="L484" s="1" t="n">
        <ns0:v>23</ns0:v>
      </ns0:c>
      <ns0:c r="M484" s="1">
        <ns0:f>SUM(G484:L484)</ns0:f>
        <ns0:v/>
      </ns0:c>
      <ns0:c r="N484" s="1">
        <ns0:f>M484/E484</ns0:f>
        <ns0:v/>
      </ns0:c>
      <ns0:c r="O484" s="1" t="n">
        <ns0:v>14</ns0:v>
      </ns0:c>
      <ns0:c r="P484" s="1" t="n">
        <ns0:v>12</ns0:v>
      </ns0:c>
      <ns0:c r="Q484" s="1">
        <ns0:f>+P484+O484+J484+I484+H484+G484</ns0:f>
        <ns0:v/>
      </ns0:c>
      <ns0:c r="R484" s="1">
        <ns0:f>+Q484/E484</ns0:f>
        <ns0:v/>
      </ns0:c>
      <ns0:c r="S484" s="1" t="inlineStr">
        <ns0:is>
          <ns0:t xml:space="preserve"> Hearing voltage up 10%</ns0:t>
        </ns0:is>
      </ns0:c>
    </ns0:row>
    <ns0:row r="485" ht="26.25" customHeight="1">
      <ns0:c r="G485" s="1">
        <ns0:f>+G484/M484</ns0:f>
        <ns0:v/>
      </ns0:c>
      <ns0:c r="H485" s="1">
        <ns0:f>+H484/M484</ns0:f>
        <ns0:v/>
      </ns0:c>
      <ns0:c r="I485" s="1">
        <ns0:f>+I484/M484</ns0:f>
        <ns0:v/>
      </ns0:c>
      <ns0:c r="J485" s="1">
        <ns0:f>+J484/M484</ns0:f>
        <ns0:v/>
      </ns0:c>
      <ns0:c r="K485" s="1">
        <ns0:f>+K484/M484</ns0:f>
        <ns0:v/>
      </ns0:c>
      <ns0:c r="L485" s="1">
        <ns0:f>+L484/M484</ns0:f>
        <ns0:v/>
      </ns0:c>
      <ns0:c r="O485" s="1">
        <ns0:f>+O484/Q484</ns0:f>
        <ns0:v/>
      </ns0:c>
      <ns0:c r="P485" s="1">
        <ns0:f>+P484/Q484</ns0:f>
        <ns0:v/>
      </ns0:c>
    </ns0:row>
    <ns0:row r="486" ht="26.25" customHeight="1">
      <ns0:c r="E486" s="1" t="n">
        <ns0:v>249</ns0:v>
      </ns0:c>
      <ns0:c r="F486" s="1">
        <ns0:f>+E486-Q486</ns0:f>
        <ns0:v/>
      </ns0:c>
      <ns0:c r="G486" s="1" t="n">
        <ns0:v>0</ns0:v>
      </ns0:c>
      <ns0:c r="H486" s="1" t="n">
        <ns0:v>0</ns0:v>
      </ns0:c>
      <ns0:c r="I486" s="1" t="n">
        <ns0:v>0</ns0:v>
      </ns0:c>
      <ns0:c r="J486" s="1" t="n">
        <ns0:v>0</ns0:v>
      </ns0:c>
      <ns0:c r="K486" s="1" t="n">
        <ns0:v>19</ns0:v>
      </ns0:c>
      <ns0:c r="L486" s="1" t="n">
        <ns0:v>17</ns0:v>
      </ns0:c>
      <ns0:c r="M486" s="1">
        <ns0:f>SUM(G486:L486)</ns0:f>
        <ns0:v/>
      </ns0:c>
      <ns0:c r="N486" s="1">
        <ns0:f>M486/E486</ns0:f>
        <ns0:v/>
      </ns0:c>
      <ns0:c r="O486" s="1" t="n">
        <ns0:v>12</ns0:v>
      </ns0:c>
      <ns0:c r="P486" s="1" t="n">
        <ns0:v>8</ns0:v>
      </ns0:c>
      <ns0:c r="Q486" s="1">
        <ns0:f>+P486+O486+J486+I486+H486+G486</ns0:f>
        <ns0:v/>
      </ns0:c>
      <ns0:c r="R486" s="1">
        <ns0:f>+Q486/E486</ns0:f>
        <ns0:v/>
      </ns0:c>
      <ns0:c r="S486" s="1" t="inlineStr">
        <ns0:is>
          <ns0:t xml:space="preserve"> Hearing voltage up 10%</ns0:t>
        </ns0:is>
      </ns0:c>
    </ns0:row>
    <ns0:row r="487" ht="26.25" customHeight="1">
      <ns0:c r="G487" s="1">
        <ns0:f>+G486/M486</ns0:f>
        <ns0:v/>
      </ns0:c>
      <ns0:c r="H487" s="1">
        <ns0:f>+H486/M486</ns0:f>
        <ns0:v/>
      </ns0:c>
      <ns0:c r="I487" s="1">
        <ns0:f>+I486/M486</ns0:f>
        <ns0:v/>
      </ns0:c>
      <ns0:c r="J487" s="1">
        <ns0:f>+J486/M486</ns0:f>
        <ns0:v/>
      </ns0:c>
      <ns0:c r="K487" s="1">
        <ns0:f>+K486/M486</ns0:f>
        <ns0:v/>
      </ns0:c>
      <ns0:c r="L487" s="1">
        <ns0:f>+L486/M486</ns0:f>
        <ns0:v/>
      </ns0:c>
      <ns0:c r="O487" s="1">
        <ns0:f>+O486/Q486</ns0:f>
        <ns0:v/>
      </ns0:c>
      <ns0:c r="P487" s="1">
        <ns0:f>+P486/Q486</ns0:f>
        <ns0:v/>
      </ns0:c>
    </ns0:row>
    <ns0:row r="488" ht="26.25" customHeight="1">
      <ns0:c r="C488" s="1" t="inlineStr">
        <ns0:is>
          <ns0:t>VP+CD</ns0:t>
        </ns0:is>
      </ns0:c>
      <ns0:c r="D488" s="1" t="inlineStr">
        <ns0:is>
          <ns0:t>By hand press VP + JIG</ns0:t>
        </ns0:is>
      </ns0:c>
      <ns0:c r="E488" s="1" t="n">
        <ns0:v>136</ns0:v>
      </ns0:c>
      <ns0:c r="F488" s="1">
        <ns0:f>+E488-Q488</ns0:f>
        <ns0:v/>
      </ns0:c>
      <ns0:c r="G488" s="1" t="n">
        <ns0:v>0</ns0:v>
      </ns0:c>
      <ns0:c r="H488" s="1" t="n">
        <ns0:v>1</ns0:v>
      </ns0:c>
      <ns0:c r="I488" s="1" t="n">
        <ns0:v>2</ns0:v>
      </ns0:c>
      <ns0:c r="J488" s="1" t="n">
        <ns0:v>0</ns0:v>
      </ns0:c>
      <ns0:c r="K488" s="1" t="n">
        <ns0:v>9</ns0:v>
      </ns0:c>
      <ns0:c r="L488" s="1" t="n">
        <ns0:v>10</ns0:v>
      </ns0:c>
      <ns0:c r="M488" s="1">
        <ns0:f>SUM(G488:L488)</ns0:f>
        <ns0:v/>
      </ns0:c>
      <ns0:c r="N488" s="1">
        <ns0:f>M488/E488</ns0:f>
        <ns0:v/>
      </ns0:c>
      <ns0:c r="O488" s="1" t="n">
        <ns0:v>9</ns0:v>
      </ns0:c>
      <ns0:c r="P488" s="1" t="n">
        <ns0:v>6</ns0:v>
      </ns0:c>
      <ns0:c r="Q488" s="1">
        <ns0:f>+P488+O488+J488+I488+H488+G488</ns0:f>
        <ns0:v/>
      </ns0:c>
      <ns0:c r="R488" s="1">
        <ns0:f>+Q488/E488</ns0:f>
        <ns0:v/>
      </ns0:c>
      <ns0:c r="S488" s="1" t="inlineStr">
        <ns0:is>
          <ns0:t xml:space="preserve"> Hearing voltage up 10%</ns0:t>
        </ns0:is>
      </ns0:c>
    </ns0:row>
    <ns0:row r="489" ht="26.25" customHeight="1">
      <ns0:c r="G489" s="1">
        <ns0:f>+G488/M488</ns0:f>
        <ns0:v/>
      </ns0:c>
      <ns0:c r="H489" s="1">
        <ns0:f>+H488/M488</ns0:f>
        <ns0:v/>
      </ns0:c>
      <ns0:c r="I489" s="1">
        <ns0:f>+I488/M488</ns0:f>
        <ns0:v/>
      </ns0:c>
      <ns0:c r="J489" s="1">
        <ns0:f>+J488/M488</ns0:f>
        <ns0:v/>
      </ns0:c>
      <ns0:c r="K489" s="1">
        <ns0:f>+K488/M488</ns0:f>
        <ns0:v/>
      </ns0:c>
      <ns0:c r="L489" s="1">
        <ns0:f>+L488/M488</ns0:f>
        <ns0:v/>
      </ns0:c>
      <ns0:c r="O489" s="1">
        <ns0:f>+O488/Q488</ns0:f>
        <ns0:v/>
      </ns0:c>
      <ns0:c r="P489" s="1">
        <ns0:f>+P488/Q488</ns0:f>
        <ns0:v/>
      </ns0:c>
    </ns0:row>
    <ns0:row r="490" ht="26.25" customHeight="1">
      <ns0:c r="B490" s="2" t="n">
        <ns0:v>45500</ns0:v>
      </ns0:c>
      <ns0:c r="C490" s="1" t="inlineStr">
        <ns0:is>
          <ns0:t>Frame improve R-PT 3rd</ns0:t>
        </ns0:is>
      </ns0:c>
      <ns0:c r="D490" s="1" t="inlineStr">
        <ns0:is>
          <ns0:t xml:space="preserve">Big bending </ns0:t>
        </ns0:is>
      </ns0:c>
      <ns0:c r="E490" s="1" t="n">
        <ns0:v>32</ns0:v>
      </ns0:c>
      <ns0:c r="F490" s="1">
        <ns0:f>+E490-Q490</ns0:f>
        <ns0:v/>
      </ns0:c>
      <ns0:c r="G490" s="1" t="n">
        <ns0:v>0</ns0:v>
      </ns0:c>
      <ns0:c r="H490" s="1" t="n">
        <ns0:v>0</ns0:v>
      </ns0:c>
      <ns0:c r="I490" s="1" t="n">
        <ns0:v>0</ns0:v>
      </ns0:c>
      <ns0:c r="J490" s="1" t="n">
        <ns0:v>0</ns0:v>
      </ns0:c>
      <ns0:c r="K490" s="1" t="n">
        <ns0:v>2</ns0:v>
      </ns0:c>
      <ns0:c r="L490" s="1" t="n">
        <ns0:v>0</ns0:v>
      </ns0:c>
      <ns0:c r="M490" s="1">
        <ns0:f>SUM(G490:L490)</ns0:f>
        <ns0:v/>
      </ns0:c>
      <ns0:c r="N490" s="1">
        <ns0:f>M490/E490</ns0:f>
        <ns0:v/>
      </ns0:c>
      <ns0:c r="O490" s="1" t="n">
        <ns0:v>2</ns0:v>
      </ns0:c>
      <ns0:c r="P490" s="1" t="n">
        <ns0:v>0</ns0:v>
      </ns0:c>
      <ns0:c r="Q490" s="1">
        <ns0:f>+P490+O490+J490+I490+H490+G490</ns0:f>
        <ns0:v/>
      </ns0:c>
      <ns0:c r="R490" s="1">
        <ns0:f>+Q490/E490</ns0:f>
        <ns0:v/>
      </ns0:c>
      <ns0:c r="S490" s="1" t="inlineStr">
        <ns0:is>
          <ns0:t xml:space="preserve"> Hearing voltage up 10%</ns0:t>
        </ns0:is>
      </ns0:c>
    </ns0:row>
    <ns0:row r="491" ht="26.25" customHeight="1">
      <ns0:c r="G491" s="1">
        <ns0:f>+G490/M490</ns0:f>
        <ns0:v/>
      </ns0:c>
      <ns0:c r="H491" s="1">
        <ns0:f>+H490/M490</ns0:f>
        <ns0:v/>
      </ns0:c>
      <ns0:c r="I491" s="1">
        <ns0:f>+I490/M490</ns0:f>
        <ns0:v/>
      </ns0:c>
      <ns0:c r="J491" s="1">
        <ns0:f>+J490/M490</ns0:f>
        <ns0:v/>
      </ns0:c>
      <ns0:c r="K491" s="1">
        <ns0:f>+K490/M490</ns0:f>
        <ns0:v/>
      </ns0:c>
      <ns0:c r="L491" s="1">
        <ns0:f>+L490/M490</ns0:f>
        <ns0:v/>
      </ns0:c>
      <ns0:c r="O491" s="1">
        <ns0:f>+O490/Q490</ns0:f>
        <ns0:v/>
      </ns0:c>
      <ns0:c r="P491" s="1">
        <ns0:f>+P490/Q490</ns0:f>
        <ns0:v/>
      </ns0:c>
    </ns0:row>
    <ns0:row r="492" ht="26.25" customHeight="1">
      <ns0:c r="D492" s="1" t="inlineStr">
        <ns0:is>
          <ns0:t xml:space="preserve">Alittle bending </ns0:t>
        </ns0:is>
      </ns0:c>
      <ns0:c r="E492" s="1" t="n">
        <ns0:v>558</ns0:v>
      </ns0:c>
      <ns0:c r="F492" s="1">
        <ns0:f>+E492-Q492</ns0:f>
        <ns0:v/>
      </ns0:c>
      <ns0:c r="G492" s="1" t="n">
        <ns0:v>4</ns0:v>
      </ns0:c>
      <ns0:c r="H492" s="1" t="n">
        <ns0:v>3</ns0:v>
      </ns0:c>
      <ns0:c r="I492" s="1" t="n">
        <ns0:v>2</ns0:v>
      </ns0:c>
      <ns0:c r="J492" s="1" t="n">
        <ns0:v>0</ns0:v>
      </ns0:c>
      <ns0:c r="K492" s="1" t="n">
        <ns0:v>25</ns0:v>
      </ns0:c>
      <ns0:c r="L492" s="1" t="n">
        <ns0:v>30</ns0:v>
      </ns0:c>
      <ns0:c r="M492" s="1">
        <ns0:f>SUM(G492:L492)</ns0:f>
        <ns0:v/>
      </ns0:c>
      <ns0:c r="N492" s="1">
        <ns0:f>M492/E492</ns0:f>
        <ns0:v/>
      </ns0:c>
      <ns0:c r="O492" s="1" t="n">
        <ns0:v>10</ns0:v>
      </ns0:c>
      <ns0:c r="P492" s="1" t="n">
        <ns0:v>15</ns0:v>
      </ns0:c>
      <ns0:c r="Q492" s="1">
        <ns0:f>+P492+O492+J492+I492+H492+G492</ns0:f>
        <ns0:v/>
      </ns0:c>
      <ns0:c r="R492" s="1">
        <ns0:f>+Q492/E492</ns0:f>
        <ns0:v/>
      </ns0:c>
      <ns0:c r="S492" s="1" t="inlineStr">
        <ns0:is>
          <ns0:t xml:space="preserve"> Hearing voltage up 10%</ns0:t>
        </ns0:is>
      </ns0:c>
    </ns0:row>
    <ns0:row r="493" ht="26.25" customHeight="1">
      <ns0:c r="G493" s="1">
        <ns0:f>+G492/M492</ns0:f>
        <ns0:v/>
      </ns0:c>
      <ns0:c r="H493" s="1">
        <ns0:f>+H492/M492</ns0:f>
        <ns0:v/>
      </ns0:c>
      <ns0:c r="I493" s="1">
        <ns0:f>+I492/M492</ns0:f>
        <ns0:v/>
      </ns0:c>
      <ns0:c r="J493" s="1">
        <ns0:f>+J492/M492</ns0:f>
        <ns0:v/>
      </ns0:c>
      <ns0:c r="K493" s="1">
        <ns0:f>+K492/M492</ns0:f>
        <ns0:v/>
      </ns0:c>
      <ns0:c r="L493" s="1">
        <ns0:f>+L492/M492</ns0:f>
        <ns0:v/>
      </ns0:c>
      <ns0:c r="O493" s="1">
        <ns0:f>+O492/Q492</ns0:f>
        <ns0:v/>
      </ns0:c>
      <ns0:c r="P493" s="1">
        <ns0:f>+P492/Q492</ns0:f>
        <ns0:v/>
      </ns0:c>
    </ns0:row>
    <ns0:row r="494" ht="26.25" customHeight="1">
      <ns0:c r="E494" s="1" t="n">
        <ns0:v>480</ns0:v>
      </ns0:c>
      <ns0:c r="F494" s="1">
        <ns0:f>+E494-Q494</ns0:f>
        <ns0:v/>
      </ns0:c>
      <ns0:c r="G494" s="1" t="n">
        <ns0:v>0</ns0:v>
      </ns0:c>
      <ns0:c r="H494" s="1" t="n">
        <ns0:v>1</ns0:v>
      </ns0:c>
      <ns0:c r="I494" s="1" t="n">
        <ns0:v>1</ns0:v>
      </ns0:c>
      <ns0:c r="J494" s="1" t="n">
        <ns0:v>0</ns0:v>
      </ns0:c>
      <ns0:c r="K494" s="1" t="n">
        <ns0:v>10</ns0:v>
      </ns0:c>
      <ns0:c r="L494" s="1" t="n">
        <ns0:v>30</ns0:v>
      </ns0:c>
      <ns0:c r="M494" s="1">
        <ns0:f>SUM(G494:L494)</ns0:f>
        <ns0:v/>
      </ns0:c>
      <ns0:c r="N494" s="1">
        <ns0:f>M494/E494</ns0:f>
        <ns0:v/>
      </ns0:c>
      <ns0:c r="O494" s="1" t="n">
        <ns0:v>5</ns0:v>
      </ns0:c>
      <ns0:c r="P494" s="1" t="n">
        <ns0:v>16</ns0:v>
      </ns0:c>
      <ns0:c r="Q494" s="1">
        <ns0:f>+P494+O494+J494+I494+H494+G494</ns0:f>
        <ns0:v/>
      </ns0:c>
      <ns0:c r="R494" s="1">
        <ns0:f>+Q494/E494</ns0:f>
        <ns0:v/>
      </ns0:c>
      <ns0:c r="S494" s="1" t="inlineStr">
        <ns0:is>
          <ns0:t xml:space="preserve"> Hearing voltage up 10%</ns0:t>
        </ns0:is>
      </ns0:c>
    </ns0:row>
    <ns0:row r="495" ht="26.25" customHeight="1">
      <ns0:c r="G495" s="1">
        <ns0:f>+G494/M494</ns0:f>
        <ns0:v/>
      </ns0:c>
      <ns0:c r="H495" s="1">
        <ns0:f>+H494/M494</ns0:f>
        <ns0:v/>
      </ns0:c>
      <ns0:c r="I495" s="1">
        <ns0:f>+I494/M494</ns0:f>
        <ns0:v/>
      </ns0:c>
      <ns0:c r="J495" s="1">
        <ns0:f>+J494/M494</ns0:f>
        <ns0:v/>
      </ns0:c>
      <ns0:c r="K495" s="1">
        <ns0:f>+K494/M494</ns0:f>
        <ns0:v/>
      </ns0:c>
      <ns0:c r="L495" s="1">
        <ns0:f>+L494/M494</ns0:f>
        <ns0:v/>
      </ns0:c>
      <ns0:c r="O495" s="1">
        <ns0:f>+O494/Q494</ns0:f>
        <ns0:v/>
      </ns0:c>
      <ns0:c r="P495" s="1">
        <ns0:f>+P494/Q494</ns0:f>
        <ns0:v/>
      </ns0:c>
    </ns0:row>
    <ns0:row r="496" ht="26.25" customHeight="1">
      <ns0:c r="D496" s="1" t="inlineStr">
        <ns0:is>
          <ns0:t xml:space="preserve">Total Frame Alittle bending </ns0:t>
        </ns0:is>
      </ns0:c>
      <ns0:c r="E496" s="1">
        <ns0:f>+E492+E494</ns0:f>
        <ns0:v/>
      </ns0:c>
      <ns0:c r="F496" s="1">
        <ns0:f>+F492+F494</ns0:f>
        <ns0:v/>
      </ns0:c>
      <ns0:c r="G496" s="1">
        <ns0:f>+G492+G494</ns0:f>
        <ns0:v/>
      </ns0:c>
      <ns0:c r="H496" s="1">
        <ns0:f>+H492+H494</ns0:f>
        <ns0:v/>
      </ns0:c>
      <ns0:c r="I496" s="1">
        <ns0:f>+I492+I494</ns0:f>
        <ns0:v/>
      </ns0:c>
      <ns0:c r="J496" s="1">
        <ns0:f>+J492+J494</ns0:f>
        <ns0:v/>
      </ns0:c>
      <ns0:c r="K496" s="1">
        <ns0:f>+K492+K494</ns0:f>
        <ns0:v/>
      </ns0:c>
      <ns0:c r="L496" s="1">
        <ns0:f>+L492+L494</ns0:f>
        <ns0:v/>
      </ns0:c>
      <ns0:c r="M496" s="1">
        <ns0:f>SUM(G496:L496)</ns0:f>
        <ns0:v/>
      </ns0:c>
      <ns0:c r="N496" s="1">
        <ns0:f>M496/E496</ns0:f>
        <ns0:v/>
      </ns0:c>
      <ns0:c r="O496" s="1">
        <ns0:f>+O492+O494</ns0:f>
        <ns0:v/>
      </ns0:c>
      <ns0:c r="P496" s="1">
        <ns0:f>+P492+P494</ns0:f>
        <ns0:v/>
      </ns0:c>
      <ns0:c r="Q496" s="1">
        <ns0:f>+P496+O496+J496+I496+H496+G496</ns0:f>
        <ns0:v/>
      </ns0:c>
      <ns0:c r="R496" s="1">
        <ns0:f>+Q496/E496</ns0:f>
        <ns0:v/>
      </ns0:c>
      <ns0:c r="S496" s="1" t="inlineStr">
        <ns0:is>
          <ns0:t xml:space="preserve"> Hearing voltage up 10%</ns0:t>
        </ns0:is>
      </ns0:c>
    </ns0:row>
    <ns0:row r="497" ht="26.25" customHeight="1">
      <ns0:c r="G497" s="1">
        <ns0:f>+G496/M496</ns0:f>
        <ns0:v/>
      </ns0:c>
      <ns0:c r="H497" s="1">
        <ns0:f>+H496/M496</ns0:f>
        <ns0:v/>
      </ns0:c>
      <ns0:c r="I497" s="1">
        <ns0:f>+I496/M496</ns0:f>
        <ns0:v/>
      </ns0:c>
      <ns0:c r="J497" s="1">
        <ns0:f>+J496/M496</ns0:f>
        <ns0:v/>
      </ns0:c>
      <ns0:c r="K497" s="1">
        <ns0:f>+K496/M496</ns0:f>
        <ns0:v/>
      </ns0:c>
      <ns0:c r="L497" s="1">
        <ns0:f>+L496/M496</ns0:f>
        <ns0:v/>
      </ns0:c>
      <ns0:c r="O497" s="1">
        <ns0:f>+O496/Q496</ns0:f>
        <ns0:v/>
      </ns0:c>
      <ns0:c r="P497" s="1">
        <ns0:f>+P496/Q496</ns0:f>
        <ns0:v/>
      </ns0:c>
    </ns0:row>
    <ns0:row r="498" ht="26.25" customHeight="1">
      <ns0:c r="D498" s="1" t="inlineStr">
        <ns0:is>
          <ns0:t xml:space="preserve">OK bending </ns0:t>
        </ns0:is>
      </ns0:c>
      <ns0:c r="E498" s="1" t="n">
        <ns0:v>365</ns0:v>
      </ns0:c>
      <ns0:c r="F498" s="1">
        <ns0:f>+E498-Q498</ns0:f>
        <ns0:v/>
      </ns0:c>
      <ns0:c r="G498" s="1" t="n">
        <ns0:v>6</ns0:v>
      </ns0:c>
      <ns0:c r="H498" s="1" t="n">
        <ns0:v>1</ns0:v>
      </ns0:c>
      <ns0:c r="I498" s="1" t="n">
        <ns0:v>1</ns0:v>
      </ns0:c>
      <ns0:c r="J498" s="1" t="n">
        <ns0:v>0</ns0:v>
      </ns0:c>
      <ns0:c r="K498" s="1" t="n">
        <ns0:v>10</ns0:v>
      </ns0:c>
      <ns0:c r="L498" s="1" t="n">
        <ns0:v>21</ns0:v>
      </ns0:c>
      <ns0:c r="M498" s="1">
        <ns0:f>SUM(G498:L498)</ns0:f>
        <ns0:v/>
      </ns0:c>
      <ns0:c r="N498" s="1">
        <ns0:f>M498/E498</ns0:f>
        <ns0:v/>
      </ns0:c>
      <ns0:c r="O498" s="1" t="n">
        <ns0:v>7</ns0:v>
      </ns0:c>
      <ns0:c r="P498" s="1" t="n">
        <ns0:v>18</ns0:v>
      </ns0:c>
      <ns0:c r="Q498" s="1">
        <ns0:f>+P498+O498+J498+I498+H498+G498</ns0:f>
        <ns0:v/>
      </ns0:c>
      <ns0:c r="R498" s="1">
        <ns0:f>+Q498/E498</ns0:f>
        <ns0:v/>
      </ns0:c>
      <ns0:c r="S498" s="1" t="inlineStr">
        <ns0:is>
          <ns0:t xml:space="preserve"> Hearing voltage up 10%</ns0:t>
        </ns0:is>
      </ns0:c>
    </ns0:row>
    <ns0:row r="499" ht="26.25" customHeight="1">
      <ns0:c r="G499" s="1">
        <ns0:f>+G498/M498</ns0:f>
        <ns0:v/>
      </ns0:c>
      <ns0:c r="H499" s="1">
        <ns0:f>+H498/M498</ns0:f>
        <ns0:v/>
      </ns0:c>
      <ns0:c r="I499" s="1">
        <ns0:f>+I498/M498</ns0:f>
        <ns0:v/>
      </ns0:c>
      <ns0:c r="J499" s="1">
        <ns0:f>+J498/M498</ns0:f>
        <ns0:v/>
      </ns0:c>
      <ns0:c r="K499" s="1">
        <ns0:f>+K498/M498</ns0:f>
        <ns0:v/>
      </ns0:c>
      <ns0:c r="L499" s="1">
        <ns0:f>+L498/M498</ns0:f>
        <ns0:v/>
      </ns0:c>
      <ns0:c r="O499" s="1">
        <ns0:f>+O498/Q498</ns0:f>
        <ns0:v/>
      </ns0:c>
      <ns0:c r="P499" s="1">
        <ns0:f>+P498/Q498</ns0:f>
        <ns0:v/>
      </ns0:c>
    </ns0:row>
    <ns0:row r="500" ht="26.25" customHeight="1">
      <ns0:c r="E500" s="1" t="n">
        <ns0:v>554</ns0:v>
      </ns0:c>
      <ns0:c r="F500" s="1">
        <ns0:f>+E500-Q500</ns0:f>
        <ns0:v/>
      </ns0:c>
      <ns0:c r="G500" s="1" t="n">
        <ns0:v>3</ns0:v>
      </ns0:c>
      <ns0:c r="H500" s="1" t="n">
        <ns0:v>1</ns0:v>
      </ns0:c>
      <ns0:c r="I500" s="1" t="n">
        <ns0:v>1</ns0:v>
      </ns0:c>
      <ns0:c r="J500" s="1" t="n">
        <ns0:v>1</ns0:v>
      </ns0:c>
      <ns0:c r="K500" s="1" t="n">
        <ns0:v>11</ns0:v>
      </ns0:c>
      <ns0:c r="L500" s="1" t="n">
        <ns0:v>45</ns0:v>
      </ns0:c>
      <ns0:c r="M500" s="1">
        <ns0:f>SUM(G500:L500)</ns0:f>
        <ns0:v/>
      </ns0:c>
      <ns0:c r="N500" s="1">
        <ns0:f>M500/E500</ns0:f>
        <ns0:v/>
      </ns0:c>
      <ns0:c r="O500" s="1" t="n">
        <ns0:v>9</ns0:v>
      </ns0:c>
      <ns0:c r="P500" s="1" t="n">
        <ns0:v>33</ns0:v>
      </ns0:c>
      <ns0:c r="Q500" s="1">
        <ns0:f>+P500+O500+J500+I500+H500+G500</ns0:f>
        <ns0:v/>
      </ns0:c>
      <ns0:c r="R500" s="1">
        <ns0:f>+Q500/E500</ns0:f>
        <ns0:v/>
      </ns0:c>
      <ns0:c r="S500" s="1" t="inlineStr">
        <ns0:is>
          <ns0:t xml:space="preserve"> Hearing voltage up 10%</ns0:t>
        </ns0:is>
      </ns0:c>
    </ns0:row>
    <ns0:row r="501" ht="26.25" customHeight="1">
      <ns0:c r="G501" s="1">
        <ns0:f>+G500/M500</ns0:f>
        <ns0:v/>
      </ns0:c>
      <ns0:c r="H501" s="1">
        <ns0:f>+H500/M500</ns0:f>
        <ns0:v/>
      </ns0:c>
      <ns0:c r="I501" s="1">
        <ns0:f>+I500/M500</ns0:f>
        <ns0:v/>
      </ns0:c>
      <ns0:c r="J501" s="1">
        <ns0:f>+J500/M500</ns0:f>
        <ns0:v/>
      </ns0:c>
      <ns0:c r="K501" s="1">
        <ns0:f>+K500/M500</ns0:f>
        <ns0:v/>
      </ns0:c>
      <ns0:c r="L501" s="1">
        <ns0:f>+L500/M500</ns0:f>
        <ns0:v/>
      </ns0:c>
      <ns0:c r="O501" s="1">
        <ns0:f>+O500/Q500</ns0:f>
        <ns0:v/>
      </ns0:c>
      <ns0:c r="P501" s="1">
        <ns0:f>+P500/Q500</ns0:f>
        <ns0:v/>
      </ns0:c>
    </ns0:row>
    <ns0:row r="502" ht="26.25" customHeight="1">
      <ns0:c r="E502" s="1" t="n">
        <ns0:v>396</ns0:v>
      </ns0:c>
      <ns0:c r="F502" s="1">
        <ns0:f>+E502-Q502</ns0:f>
        <ns0:v/>
      </ns0:c>
      <ns0:c r="G502" s="1" t="n">
        <ns0:v>0</ns0:v>
      </ns0:c>
      <ns0:c r="H502" s="1" t="n">
        <ns0:v>2</ns0:v>
      </ns0:c>
      <ns0:c r="I502" s="1" t="n">
        <ns0:v>0</ns0:v>
      </ns0:c>
      <ns0:c r="J502" s="1" t="n">
        <ns0:v>0</ns0:v>
      </ns0:c>
      <ns0:c r="K502" s="1" t="n">
        <ns0:v>10</ns0:v>
      </ns0:c>
      <ns0:c r="L502" s="1" t="n">
        <ns0:v>32</ns0:v>
      </ns0:c>
      <ns0:c r="M502" s="1">
        <ns0:f>SUM(G502:L502)</ns0:f>
        <ns0:v/>
      </ns0:c>
      <ns0:c r="N502" s="1">
        <ns0:f>M502/E502</ns0:f>
        <ns0:v/>
      </ns0:c>
      <ns0:c r="O502" s="1" t="n">
        <ns0:v>8</ns0:v>
      </ns0:c>
      <ns0:c r="P502" s="1" t="n">
        <ns0:v>13</ns0:v>
      </ns0:c>
      <ns0:c r="Q502" s="1">
        <ns0:f>+P502+O502+J502+I502+H502+G502</ns0:f>
        <ns0:v/>
      </ns0:c>
      <ns0:c r="R502" s="1">
        <ns0:f>+Q502/E502</ns0:f>
        <ns0:v/>
      </ns0:c>
      <ns0:c r="S502" s="1" t="inlineStr">
        <ns0:is>
          <ns0:t xml:space="preserve"> Hearing voltage up 10%</ns0:t>
        </ns0:is>
      </ns0:c>
    </ns0:row>
    <ns0:row r="503" ht="26.25" customHeight="1">
      <ns0:c r="G503" s="1">
        <ns0:f>+G502/M502</ns0:f>
        <ns0:v/>
      </ns0:c>
      <ns0:c r="H503" s="1">
        <ns0:f>+H502/M502</ns0:f>
        <ns0:v/>
      </ns0:c>
      <ns0:c r="I503" s="1">
        <ns0:f>+I502/M502</ns0:f>
        <ns0:v/>
      </ns0:c>
      <ns0:c r="J503" s="1">
        <ns0:f>+J502/M502</ns0:f>
        <ns0:v/>
      </ns0:c>
      <ns0:c r="K503" s="1">
        <ns0:f>+K502/M502</ns0:f>
        <ns0:v/>
      </ns0:c>
      <ns0:c r="L503" s="1">
        <ns0:f>+L502/M502</ns0:f>
        <ns0:v/>
      </ns0:c>
      <ns0:c r="O503" s="1">
        <ns0:f>+O502/Q502</ns0:f>
        <ns0:v/>
      </ns0:c>
      <ns0:c r="P503" s="1">
        <ns0:f>+P502/Q502</ns0:f>
        <ns0:v/>
      </ns0:c>
    </ns0:row>
    <ns0:row r="504" ht="26.25" customHeight="1">
      <ns0:c r="E504" s="1" t="n">
        <ns0:v>211</ns0:v>
      </ns0:c>
      <ns0:c r="F504" s="1">
        <ns0:f>+E504-Q504</ns0:f>
        <ns0:v/>
      </ns0:c>
      <ns0:c r="G504" s="1" t="n">
        <ns0:v>0</ns0:v>
      </ns0:c>
      <ns0:c r="H504" s="1" t="n">
        <ns0:v>1</ns0:v>
      </ns0:c>
      <ns0:c r="I504" s="1" t="n">
        <ns0:v>0</ns0:v>
      </ns0:c>
      <ns0:c r="J504" s="1" t="n">
        <ns0:v>0</ns0:v>
      </ns0:c>
      <ns0:c r="K504" s="1" t="n">
        <ns0:v>6</ns0:v>
      </ns0:c>
      <ns0:c r="L504" s="1" t="n">
        <ns0:v>10</ns0:v>
      </ns0:c>
      <ns0:c r="M504" s="1">
        <ns0:f>SUM(G504:L504)</ns0:f>
        <ns0:v/>
      </ns0:c>
      <ns0:c r="N504" s="1">
        <ns0:f>M504/E504</ns0:f>
        <ns0:v/>
      </ns0:c>
      <ns0:c r="O504" s="1" t="n">
        <ns0:v>5</ns0:v>
      </ns0:c>
      <ns0:c r="P504" s="1" t="n">
        <ns0:v>9</ns0:v>
      </ns0:c>
      <ns0:c r="Q504" s="1">
        <ns0:f>+P504+O504+J504+I504+H504+G504</ns0:f>
        <ns0:v/>
      </ns0:c>
      <ns0:c r="R504" s="1">
        <ns0:f>+Q504/E504</ns0:f>
        <ns0:v/>
      </ns0:c>
      <ns0:c r="S504" s="1" t="inlineStr">
        <ns0:is>
          <ns0:t xml:space="preserve"> Hearing voltage up 10%</ns0:t>
        </ns0:is>
      </ns0:c>
    </ns0:row>
    <ns0:row r="505" ht="26.25" customHeight="1">
      <ns0:c r="G505" s="1">
        <ns0:f>+G504/M504</ns0:f>
        <ns0:v/>
      </ns0:c>
      <ns0:c r="H505" s="1">
        <ns0:f>+H504/M504</ns0:f>
        <ns0:v/>
      </ns0:c>
      <ns0:c r="I505" s="1">
        <ns0:f>+I504/M504</ns0:f>
        <ns0:v/>
      </ns0:c>
      <ns0:c r="J505" s="1">
        <ns0:f>+J504/M504</ns0:f>
        <ns0:v/>
      </ns0:c>
      <ns0:c r="K505" s="1">
        <ns0:f>+K504/M504</ns0:f>
        <ns0:v/>
      </ns0:c>
      <ns0:c r="L505" s="1">
        <ns0:f>+L504/M504</ns0:f>
        <ns0:v/>
      </ns0:c>
      <ns0:c r="O505" s="1">
        <ns0:f>+O504/Q504</ns0:f>
        <ns0:v/>
      </ns0:c>
      <ns0:c r="P505" s="1">
        <ns0:f>+P504/Q504</ns0:f>
        <ns0:v/>
      </ns0:c>
    </ns0:row>
    <ns0:row r="506" ht="26.25" customHeight="1">
      <ns0:c r="E506" s="1" t="n">
        <ns0:v>220</ns0:v>
      </ns0:c>
      <ns0:c r="F506" s="1">
        <ns0:f>+E506-Q506</ns0:f>
        <ns0:v/>
      </ns0:c>
      <ns0:c r="G506" s="1" t="n">
        <ns0:v>1</ns0:v>
      </ns0:c>
      <ns0:c r="H506" s="1" t="n">
        <ns0:v>1</ns0:v>
      </ns0:c>
      <ns0:c r="I506" s="1" t="n">
        <ns0:v>0</ns0:v>
      </ns0:c>
      <ns0:c r="J506" s="1" t="n">
        <ns0:v>0</ns0:v>
      </ns0:c>
      <ns0:c r="K506" s="1" t="n">
        <ns0:v>5</ns0:v>
      </ns0:c>
      <ns0:c r="L506" s="1" t="n">
        <ns0:v>17</ns0:v>
      </ns0:c>
      <ns0:c r="M506" s="1">
        <ns0:f>SUM(G506:L506)</ns0:f>
        <ns0:v/>
      </ns0:c>
      <ns0:c r="N506" s="1">
        <ns0:f>M506/E506</ns0:f>
        <ns0:v/>
      </ns0:c>
      <ns0:c r="O506" s="1" t="n">
        <ns0:v>2</ns0:v>
      </ns0:c>
      <ns0:c r="P506" s="1" t="n">
        <ns0:v>8</ns0:v>
      </ns0:c>
      <ns0:c r="Q506" s="1">
        <ns0:f>+P506+O506+J506+I506+H506+G506</ns0:f>
        <ns0:v/>
      </ns0:c>
      <ns0:c r="R506" s="1">
        <ns0:f>+Q506/E506</ns0:f>
        <ns0:v/>
      </ns0:c>
      <ns0:c r="S506" s="1" t="inlineStr">
        <ns0:is>
          <ns0:t xml:space="preserve"> Hearing voltage up 10%</ns0:t>
        </ns0:is>
      </ns0:c>
    </ns0:row>
    <ns0:row r="507" ht="26.25" customHeight="1">
      <ns0:c r="G507" s="1">
        <ns0:f>+G506/M506</ns0:f>
        <ns0:v/>
      </ns0:c>
      <ns0:c r="H507" s="1">
        <ns0:f>+H506/M506</ns0:f>
        <ns0:v/>
      </ns0:c>
      <ns0:c r="I507" s="1">
        <ns0:f>+I506/M506</ns0:f>
        <ns0:v/>
      </ns0:c>
      <ns0:c r="J507" s="1">
        <ns0:f>+J506/M506</ns0:f>
        <ns0:v/>
      </ns0:c>
      <ns0:c r="K507" s="1">
        <ns0:f>+K506/M506</ns0:f>
        <ns0:v/>
      </ns0:c>
      <ns0:c r="L507" s="1">
        <ns0:f>+L506/M506</ns0:f>
        <ns0:v/>
      </ns0:c>
      <ns0:c r="O507" s="1">
        <ns0:f>+O506/Q506</ns0:f>
        <ns0:v/>
      </ns0:c>
      <ns0:c r="P507" s="1">
        <ns0:f>+P506/Q506</ns0:f>
        <ns0:v/>
      </ns0:c>
    </ns0:row>
    <ns0:row r="508" ht="26.25" customHeight="1">
      <ns0:c r="D508" s="1" t="inlineStr">
        <ns0:is>
          <ns0:t xml:space="preserve">Total Frame OK bending </ns0:t>
        </ns0:is>
      </ns0:c>
      <ns0:c r="E508" s="1">
        <ns0:f>SUM(E498:E507)</ns0:f>
        <ns0:v/>
      </ns0:c>
      <ns0:c r="F508" s="1">
        <ns0:f>SUM(F498:F507)</ns0:f>
        <ns0:v/>
      </ns0:c>
      <ns0:c r="G508" s="1">
        <ns0:f>+G498+G500+G502+G504+G506</ns0:f>
        <ns0:v/>
      </ns0:c>
      <ns0:c r="H508" s="1">
        <ns0:f>+H498+H500+H502+H504+H506</ns0:f>
        <ns0:v/>
      </ns0:c>
      <ns0:c r="I508" s="1">
        <ns0:f>+I498+I500+I502+I504+I506</ns0:f>
        <ns0:v/>
      </ns0:c>
      <ns0:c r="J508" s="1">
        <ns0:f>+J498+J500+J502+J504+J506</ns0:f>
        <ns0:v/>
      </ns0:c>
      <ns0:c r="K508" s="1">
        <ns0:f>+K498+K500+K502+K504+K506</ns0:f>
        <ns0:v/>
      </ns0:c>
      <ns0:c r="L508" s="1">
        <ns0:f>+L498+L500+L502+L504+L506</ns0:f>
        <ns0:v/>
      </ns0:c>
      <ns0:c r="M508" s="1">
        <ns0:f>SUM(G508:L508)</ns0:f>
        <ns0:v/>
      </ns0:c>
      <ns0:c r="N508" s="1">
        <ns0:f>M508/E508</ns0:f>
        <ns0:v/>
      </ns0:c>
      <ns0:c r="O508" s="1">
        <ns0:f>+O498+O500+O502+O504+O506</ns0:f>
        <ns0:v/>
      </ns0:c>
      <ns0:c r="P508" s="1">
        <ns0:f>+P498+P500+P502+P504+P506</ns0:f>
        <ns0:v/>
      </ns0:c>
      <ns0:c r="Q508" s="1">
        <ns0:f>+P508+O508+J508+I508+H508+G508</ns0:f>
        <ns0:v/>
      </ns0:c>
      <ns0:c r="R508" s="1">
        <ns0:f>+Q508/E508</ns0:f>
        <ns0:v/>
      </ns0:c>
      <ns0:c r="S508" s="1" t="inlineStr">
        <ns0:is>
          <ns0:t xml:space="preserve"> Hearing voltage up 10%</ns0:t>
        </ns0:is>
      </ns0:c>
    </ns0:row>
    <ns0:row r="509" ht="26.25" customHeight="1">
      <ns0:c r="G509" s="1">
        <ns0:f>+G508/M508</ns0:f>
        <ns0:v/>
      </ns0:c>
      <ns0:c r="H509" s="1">
        <ns0:f>+H508/M508</ns0:f>
        <ns0:v/>
      </ns0:c>
      <ns0:c r="I509" s="1">
        <ns0:f>+I508/M508</ns0:f>
        <ns0:v/>
      </ns0:c>
      <ns0:c r="J509" s="1">
        <ns0:f>+J508/M508</ns0:f>
        <ns0:v/>
      </ns0:c>
      <ns0:c r="K509" s="1">
        <ns0:f>+K508/M508</ns0:f>
        <ns0:v/>
      </ns0:c>
      <ns0:c r="L509" s="1">
        <ns0:f>+L508/M508</ns0:f>
        <ns0:v/>
      </ns0:c>
      <ns0:c r="O509" s="1">
        <ns0:f>+O508/Q508</ns0:f>
        <ns0:v/>
      </ns0:c>
      <ns0:c r="P509" s="1">
        <ns0:f>+P508/Q508</ns0:f>
        <ns0:v/>
      </ns0:c>
    </ns0:row>
    <ns0:row r="510" ht="26.25" customHeight="1">
      <ns0:c r="C510" s="1" t="inlineStr">
        <ns0:is>
          <ns0:t>Total Frame TEST</ns0:t>
        </ns0:is>
      </ns0:c>
      <ns0:c r="E510" s="1">
        <ns0:f>+E490+E496+E508</ns0:f>
        <ns0:v/>
      </ns0:c>
      <ns0:c r="F510" s="1">
        <ns0:f>+F490+F496+F508</ns0:f>
        <ns0:v/>
      </ns0:c>
      <ns0:c r="G510" s="1">
        <ns0:f>G492+G494+G498+G500+G490+G502+G504+G506</ns0:f>
        <ns0:v/>
      </ns0:c>
      <ns0:c r="H510" s="1">
        <ns0:f>H492+H494+H498+H500+H490+H502+H504+H506</ns0:f>
        <ns0:v/>
      </ns0:c>
      <ns0:c r="I510" s="1">
        <ns0:f>I492+I494+I498+I500+I490+I502+I504+I506</ns0:f>
        <ns0:v/>
      </ns0:c>
      <ns0:c r="J510" s="1">
        <ns0:f>J492+J494+J498+J500+J490+J502+J504+J506</ns0:f>
        <ns0:v/>
      </ns0:c>
      <ns0:c r="K510" s="1">
        <ns0:f>K492+K494+K498+K500+K490+K502+K504+K506</ns0:f>
        <ns0:v/>
      </ns0:c>
      <ns0:c r="L510" s="1">
        <ns0:f>L492+L494+L498+L500+L490+L502+L504+L506</ns0:f>
        <ns0:v/>
      </ns0:c>
      <ns0:c r="M510" s="1">
        <ns0:f>SUM(G510:L510)</ns0:f>
        <ns0:v/>
      </ns0:c>
      <ns0:c r="N510" s="1">
        <ns0:f>M510/E510</ns0:f>
        <ns0:v/>
      </ns0:c>
      <ns0:c r="O510" s="1">
        <ns0:f>+O490+O492+O494+O498+O500+O502+O504+O506</ns0:f>
        <ns0:v/>
      </ns0:c>
      <ns0:c r="P510" s="1">
        <ns0:f>+P490+P492+P494+P498+P500+P502+P504+P506</ns0:f>
        <ns0:v/>
      </ns0:c>
      <ns0:c r="Q510" s="1">
        <ns0:f>+Q490+Q496+Q508</ns0:f>
        <ns0:v/>
      </ns0:c>
      <ns0:c r="R510" s="1">
        <ns0:f>+Q510/E510</ns0:f>
        <ns0:v/>
      </ns0:c>
      <ns0:c r="S510" s="1" t="inlineStr">
        <ns0:is>
          <ns0:t xml:space="preserve"> Hearing voltage up 10%</ns0:t>
        </ns0:is>
      </ns0:c>
    </ns0:row>
    <ns0:row r="511" ht="26.25" customHeight="1">
      <ns0:c r="G511" s="1">
        <ns0:f>+G510/M510</ns0:f>
        <ns0:v/>
      </ns0:c>
      <ns0:c r="H511" s="1">
        <ns0:f>+H510/M510</ns0:f>
        <ns0:v/>
      </ns0:c>
      <ns0:c r="I511" s="1">
        <ns0:f>+I510/M510</ns0:f>
        <ns0:v/>
      </ns0:c>
      <ns0:c r="J511" s="1">
        <ns0:f>+J510/M510</ns0:f>
        <ns0:v/>
      </ns0:c>
      <ns0:c r="K511" s="1">
        <ns0:f>+K510/M510</ns0:f>
        <ns0:v/>
      </ns0:c>
      <ns0:c r="L511" s="1">
        <ns0:f>+L510/M510</ns0:f>
        <ns0:v/>
      </ns0:c>
      <ns0:c r="O511" s="1">
        <ns0:f>+O510/Q510</ns0:f>
        <ns0:v/>
      </ns0:c>
      <ns0:c r="P511" s="1">
        <ns0:f>+P510/Q510</ns0:f>
        <ns0:v/>
      </ns0:c>
    </ns0:row>
    <ns0:row r="512" ht="26.25" customHeight="1">
      <ns0:c r="C512" s="1" t="inlineStr">
        <ns0:is>
          <ns0:t>VP+CD</ns0:t>
        </ns0:is>
      </ns0:c>
      <ns0:c r="D512" s="1" t="inlineStr">
        <ns0:is>
          <ns0:t>VP +CD corner bonding change speed 17 =&gt; 20</ns0:t>
        </ns0:is>
      </ns0:c>
      <ns0:c r="E512" s="1" t="n">
        <ns0:v>399</ns0:v>
      </ns0:c>
      <ns0:c r="F512" s="1">
        <ns0:f>+E512-Q512</ns0:f>
        <ns0:v/>
      </ns0:c>
      <ns0:c r="G512" s="1" t="n">
        <ns0:v>0</ns0:v>
      </ns0:c>
      <ns0:c r="H512" s="1" t="n">
        <ns0:v>1</ns0:v>
      </ns0:c>
      <ns0:c r="I512" s="1" t="n">
        <ns0:v>2</ns0:v>
      </ns0:c>
      <ns0:c r="J512" s="1" t="n">
        <ns0:v>0</ns0:v>
      </ns0:c>
      <ns0:c r="K512" s="1" t="n">
        <ns0:v>3</ns0:v>
      </ns0:c>
      <ns0:c r="L512" s="1" t="n">
        <ns0:v>44</ns0:v>
      </ns0:c>
      <ns0:c r="M512" s="1">
        <ns0:f>SUM(G512:L512)</ns0:f>
        <ns0:v/>
      </ns0:c>
      <ns0:c r="N512" s="1">
        <ns0:f>M512/E512</ns0:f>
        <ns0:v/>
      </ns0:c>
      <ns0:c r="O512" s="1" t="n">
        <ns0:v>3</ns0:v>
      </ns0:c>
      <ns0:c r="P512" s="1" t="n">
        <ns0:v>30</ns0:v>
      </ns0:c>
      <ns0:c r="Q512" s="1">
        <ns0:f>+P512+O512+J512+I512+H512+G512</ns0:f>
        <ns0:v/>
      </ns0:c>
      <ns0:c r="R512" s="1">
        <ns0:f>+Q512/E512</ns0:f>
        <ns0:v/>
      </ns0:c>
      <ns0:c r="S512" s="1" t="inlineStr">
        <ns0:is>
          <ns0:t xml:space="preserve"> Hearing voltage up 10%</ns0:t>
        </ns0:is>
      </ns0:c>
    </ns0:row>
    <ns0:row r="513" ht="26.25" customHeight="1">
      <ns0:c r="G513" s="1">
        <ns0:f>+G512/M512</ns0:f>
        <ns0:v/>
      </ns0:c>
      <ns0:c r="H513" s="1">
        <ns0:f>+H512/M512</ns0:f>
        <ns0:v/>
      </ns0:c>
      <ns0:c r="I513" s="1">
        <ns0:f>+I512/M512</ns0:f>
        <ns0:v/>
      </ns0:c>
      <ns0:c r="J513" s="1">
        <ns0:f>+J512/M512</ns0:f>
        <ns0:v/>
      </ns0:c>
      <ns0:c r="K513" s="1">
        <ns0:f>+K512/M512</ns0:f>
        <ns0:v/>
      </ns0:c>
      <ns0:c r="L513" s="1">
        <ns0:f>+L512/M512</ns0:f>
        <ns0:v/>
      </ns0:c>
      <ns0:c r="O513" s="1">
        <ns0:f>+O512/Q512</ns0:f>
        <ns0:v/>
      </ns0:c>
      <ns0:c r="P513" s="1">
        <ns0:f>+P512/Q512</ns0:f>
        <ns0:v/>
      </ns0:c>
    </ns0:row>
    <ns0:row r="514" ht="26.25" customHeight="1">
      <ns0:c r="C514" s="1" t="inlineStr">
        <ns0:is>
          <ns0:t>UV LED Press FRAME+VP</ns0:t>
        </ns0:is>
      </ns0:c>
      <ns0:c r="D514" s="1" t="inlineStr">
        <ns0:is>
          <ns0:t>Change UV Led Press Frame+VP down
 ( 2 Turn )</ns0:t>
        </ns0:is>
      </ns0:c>
      <ns0:c r="E514" s="1" t="n">
        <ns0:v>629</ns0:v>
      </ns0:c>
      <ns0:c r="F514" s="1">
        <ns0:f>+E514-Q514</ns0:f>
        <ns0:v/>
      </ns0:c>
      <ns0:c r="G514" s="1" t="n">
        <ns0:v>0</ns0:v>
      </ns0:c>
      <ns0:c r="H514" s="1" t="n">
        <ns0:v>3</ns0:v>
      </ns0:c>
      <ns0:c r="I514" s="1" t="n">
        <ns0:v>3</ns0:v>
      </ns0:c>
      <ns0:c r="J514" s="1" t="n">
        <ns0:v>1</ns0:v>
      </ns0:c>
      <ns0:c r="K514" s="1" t="n">
        <ns0:v>17</ns0:v>
      </ns0:c>
      <ns0:c r="L514" s="1" t="n">
        <ns0:v>18</ns0:v>
      </ns0:c>
      <ns0:c r="M514" s="1">
        <ns0:f>SUM(G514:L514)</ns0:f>
        <ns0:v/>
      </ns0:c>
      <ns0:c r="N514" s="1">
        <ns0:f>M514/E514</ns0:f>
        <ns0:v/>
      </ns0:c>
      <ns0:c r="O514" s="1" t="n">
        <ns0:v>9</ns0:v>
      </ns0:c>
      <ns0:c r="P514" s="1" t="n">
        <ns0:v>16</ns0:v>
      </ns0:c>
      <ns0:c r="Q514" s="1">
        <ns0:f>+P514+O514+J514+I514+H514+G514</ns0:f>
        <ns0:v/>
      </ns0:c>
      <ns0:c r="R514" s="1">
        <ns0:f>+Q514/E514</ns0:f>
        <ns0:v/>
      </ns0:c>
      <ns0:c r="S514" s="1" t="inlineStr">
        <ns0:is>
          <ns0:t xml:space="preserve"> Hearing voltage up 10%</ns0:t>
        </ns0:is>
      </ns0:c>
    </ns0:row>
    <ns0:row r="515" ht="26.25" customHeight="1">
      <ns0:c r="G515" s="1">
        <ns0:f>+G514/M514</ns0:f>
        <ns0:v/>
      </ns0:c>
      <ns0:c r="H515" s="1">
        <ns0:f>+H514/M514</ns0:f>
        <ns0:v/>
      </ns0:c>
      <ns0:c r="I515" s="1">
        <ns0:f>+I514/M514</ns0:f>
        <ns0:v/>
      </ns0:c>
      <ns0:c r="J515" s="1">
        <ns0:f>+J514/M514</ns0:f>
        <ns0:v/>
      </ns0:c>
      <ns0:c r="K515" s="1">
        <ns0:f>+K514/M514</ns0:f>
        <ns0:v/>
      </ns0:c>
      <ns0:c r="L515" s="1">
        <ns0:f>+L514/M514</ns0:f>
        <ns0:v/>
      </ns0:c>
      <ns0:c r="O515" s="1">
        <ns0:f>+O514/Q514</ns0:f>
        <ns0:v/>
      </ns0:c>
      <ns0:c r="P515" s="1">
        <ns0:f>+P514/Q514</ns0:f>
        <ns0:v/>
      </ns0:c>
    </ns0:row>
    <ns0:row r="516" ht="26.25" customHeight="1">
      <ns0:c r="C516" s="1" t="inlineStr">
        <ns0:is>
          <ns0:t>VP</ns0:t>
        </ns0:is>
      </ns0:c>
      <ns0:c r="D516" s="1" t="inlineStr">
        <ns0:is>
          <ns0:t>VP using die punch cutting inside</ns0:t>
        </ns0:is>
      </ns0:c>
      <ns0:c r="E516" s="1" t="n">
        <ns0:v>211</ns0:v>
      </ns0:c>
      <ns0:c r="F516" s="1">
        <ns0:f>+E516-Q516</ns0:f>
        <ns0:v/>
      </ns0:c>
      <ns0:c r="G516" s="1" t="n">
        <ns0:v>0</ns0:v>
      </ns0:c>
      <ns0:c r="H516" s="1" t="n">
        <ns0:v>1</ns0:v>
      </ns0:c>
      <ns0:c r="I516" s="1" t="n">
        <ns0:v>0</ns0:v>
      </ns0:c>
      <ns0:c r="J516" s="1" t="n">
        <ns0:v>0</ns0:v>
      </ns0:c>
      <ns0:c r="K516" s="1" t="n">
        <ns0:v>6</ns0:v>
      </ns0:c>
      <ns0:c r="L516" s="1" t="n">
        <ns0:v>10</ns0:v>
      </ns0:c>
      <ns0:c r="M516" s="1">
        <ns0:f>SUM(G516:L516)</ns0:f>
        <ns0:v/>
      </ns0:c>
      <ns0:c r="N516" s="1">
        <ns0:f>M516/E516</ns0:f>
        <ns0:v/>
      </ns0:c>
      <ns0:c r="O516" s="1" t="n">
        <ns0:v>5</ns0:v>
      </ns0:c>
      <ns0:c r="P516" s="1" t="n">
        <ns0:v>9</ns0:v>
      </ns0:c>
      <ns0:c r="Q516" s="1">
        <ns0:f>+P516+O516+J516+I516+H516+G516</ns0:f>
        <ns0:v/>
      </ns0:c>
      <ns0:c r="R516" s="1">
        <ns0:f>+Q516/E516</ns0:f>
        <ns0:v/>
      </ns0:c>
      <ns0:c r="S516" s="1" t="inlineStr">
        <ns0:is>
          <ns0:t xml:space="preserve"> Hearing voltage up 10%</ns0:t>
        </ns0:is>
      </ns0:c>
    </ns0:row>
    <ns0:row r="517" ht="26.25" customHeight="1">
      <ns0:c r="G517" s="1">
        <ns0:f>+G516/M516</ns0:f>
        <ns0:v/>
      </ns0:c>
      <ns0:c r="H517" s="1">
        <ns0:f>+H516/M516</ns0:f>
        <ns0:v/>
      </ns0:c>
      <ns0:c r="I517" s="1">
        <ns0:f>+I516/M516</ns0:f>
        <ns0:v/>
      </ns0:c>
      <ns0:c r="J517" s="1">
        <ns0:f>+J516/M516</ns0:f>
        <ns0:v/>
      </ns0:c>
      <ns0:c r="K517" s="1">
        <ns0:f>+K516/M516</ns0:f>
        <ns0:v/>
      </ns0:c>
      <ns0:c r="L517" s="1">
        <ns0:f>+L516/M516</ns0:f>
        <ns0:v/>
      </ns0:c>
      <ns0:c r="O517" s="1">
        <ns0:f>+O516/Q516</ns0:f>
        <ns0:v/>
      </ns0:c>
      <ns0:c r="P517" s="1">
        <ns0:f>+P516/Q516</ns0:f>
        <ns0:v/>
      </ns0:c>
    </ns0:row>
    <ns0:row r="518" ht="26.25" customHeight="1">
      <ns0:c r="C518" s="1" t="inlineStr">
        <ns0:is>
          <ns0:t xml:space="preserve">Normal </ns0:t>
        </ns0:is>
      </ns0:c>
      <ns0:c r="E518" s="1" t="n">
        <ns0:v>440</ns0:v>
      </ns0:c>
      <ns0:c r="F518" s="1">
        <ns0:f>+E518-Q518</ns0:f>
        <ns0:v/>
      </ns0:c>
      <ns0:c r="G518" s="1" t="n">
        <ns0:v>1</ns0:v>
      </ns0:c>
      <ns0:c r="H518" s="1" t="n">
        <ns0:v>0</ns0:v>
      </ns0:c>
      <ns0:c r="I518" s="1" t="n">
        <ns0:v>0</ns0:v>
      </ns0:c>
      <ns0:c r="J518" s="1" t="n">
        <ns0:v>0</ns0:v>
      </ns0:c>
      <ns0:c r="K518" s="1" t="n">
        <ns0:v>16</ns0:v>
      </ns0:c>
      <ns0:c r="L518" s="1" t="n">
        <ns0:v>61</ns0:v>
      </ns0:c>
      <ns0:c r="M518" s="1">
        <ns0:f>SUM(G518:L518)</ns0:f>
        <ns0:v/>
      </ns0:c>
      <ns0:c r="N518" s="1">
        <ns0:f>M518/E518</ns0:f>
        <ns0:v/>
      </ns0:c>
      <ns0:c r="O518" s="1" t="n">
        <ns0:v>14</ns0:v>
      </ns0:c>
      <ns0:c r="P518" s="1" t="n">
        <ns0:v>35</ns0:v>
      </ns0:c>
      <ns0:c r="Q518" s="1">
        <ns0:f>+P518+O518+J518+I518+H518+G518</ns0:f>
        <ns0:v/>
      </ns0:c>
      <ns0:c r="R518" s="1">
        <ns0:f>+Q518/E518</ns0:f>
        <ns0:v/>
      </ns0:c>
      <ns0:c r="S518" s="1" t="inlineStr">
        <ns0:is>
          <ns0:t xml:space="preserve"> Hearing voltage up 10%</ns0:t>
        </ns0:is>
      </ns0:c>
    </ns0:row>
    <ns0:row r="519" ht="26.25" customHeight="1">
      <ns0:c r="G519" s="1">
        <ns0:f>+G518/M518</ns0:f>
        <ns0:v/>
      </ns0:c>
      <ns0:c r="H519" s="1">
        <ns0:f>+H518/M518</ns0:f>
        <ns0:v/>
      </ns0:c>
      <ns0:c r="I519" s="1">
        <ns0:f>+I518/M518</ns0:f>
        <ns0:v/>
      </ns0:c>
      <ns0:c r="J519" s="1">
        <ns0:f>+J518/M518</ns0:f>
        <ns0:v/>
      </ns0:c>
      <ns0:c r="K519" s="1">
        <ns0:f>+K518/M518</ns0:f>
        <ns0:v/>
      </ns0:c>
      <ns0:c r="L519" s="1">
        <ns0:f>+L518/M518</ns0:f>
        <ns0:v/>
      </ns0:c>
      <ns0:c r="O519" s="1">
        <ns0:f>+O518/Q518</ns0:f>
        <ns0:v/>
      </ns0:c>
      <ns0:c r="P519" s="1">
        <ns0:f>+P518/Q518</ns0:f>
        <ns0:v/>
      </ns0:c>
    </ns0:row>
    <ns0:row r="520" ht="26.25" customHeight="1">
      <ns0:c r="B520" s="2" t="n">
        <ns0:v>45502</ns0:v>
      </ns0:c>
      <ns0:c r="C520" s="1" t="inlineStr">
        <ns0:is>
          <ns0:t>VP+CD</ns0:t>
        </ns0:is>
      </ns0:c>
      <ns0:c r="D520" s="1" t="inlineStr">
        <ns0:is>
          <ns0:t>VP +CD bonding offset 0.15</ns0:t>
        </ns0:is>
      </ns0:c>
      <ns0:c r="E520" s="1" t="n">
        <ns0:v>405</ns0:v>
      </ns0:c>
      <ns0:c r="F520" s="1">
        <ns0:f>+E520-Q520</ns0:f>
        <ns0:v/>
      </ns0:c>
      <ns0:c r="G520" s="1" t="n">
        <ns0:v>0</ns0:v>
      </ns0:c>
      <ns0:c r="H520" s="1" t="n">
        <ns0:v>0</ns0:v>
      </ns0:c>
      <ns0:c r="I520" s="1" t="n">
        <ns0:v>0</ns0:v>
      </ns0:c>
      <ns0:c r="J520" s="1" t="n">
        <ns0:v>0</ns0:v>
      </ns0:c>
      <ns0:c r="K520" s="1" t="n">
        <ns0:v>4</ns0:v>
      </ns0:c>
      <ns0:c r="L520" s="1" t="n">
        <ns0:v>42</ns0:v>
      </ns0:c>
      <ns0:c r="M520" s="1">
        <ns0:f>SUM(G520:L520)</ns0:f>
        <ns0:v/>
      </ns0:c>
      <ns0:c r="N520" s="1">
        <ns0:f>M520/E520</ns0:f>
        <ns0:v/>
      </ns0:c>
      <ns0:c r="O520" s="1" t="n">
        <ns0:v>4</ns0:v>
      </ns0:c>
      <ns0:c r="P520" s="1" t="n">
        <ns0:v>17</ns0:v>
      </ns0:c>
      <ns0:c r="Q520" s="1">
        <ns0:f>+P520+O520+J520+I520+H520+G520</ns0:f>
        <ns0:v/>
      </ns0:c>
      <ns0:c r="R520" s="1">
        <ns0:f>+Q520/E520</ns0:f>
        <ns0:v/>
      </ns0:c>
      <ns0:c r="S520" s="1" t="inlineStr">
        <ns0:is>
          <ns0:t xml:space="preserve"> Hearing voltage up 10%</ns0:t>
        </ns0:is>
      </ns0:c>
    </ns0:row>
    <ns0:row r="521" ht="26.25" customHeight="1">
      <ns0:c r="G521" s="1">
        <ns0:f>+G520/M520</ns0:f>
        <ns0:v/>
      </ns0:c>
      <ns0:c r="H521" s="1">
        <ns0:f>+H520/M520</ns0:f>
        <ns0:v/>
      </ns0:c>
      <ns0:c r="I521" s="1">
        <ns0:f>+I520/M520</ns0:f>
        <ns0:v/>
      </ns0:c>
      <ns0:c r="J521" s="1">
        <ns0:f>+J520/M520</ns0:f>
        <ns0:v/>
      </ns0:c>
      <ns0:c r="K521" s="1">
        <ns0:f>+K520/M520</ns0:f>
        <ns0:v/>
      </ns0:c>
      <ns0:c r="L521" s="1">
        <ns0:f>+L520/M520</ns0:f>
        <ns0:v/>
      </ns0:c>
      <ns0:c r="O521" s="1">
        <ns0:f>+O520/Q520</ns0:f>
        <ns0:v/>
      </ns0:c>
      <ns0:c r="P521" s="1">
        <ns0:f>+P520/Q520</ns0:f>
        <ns0:v/>
      </ns0:c>
    </ns0:row>
    <ns0:row r="522" ht="26.25" customHeight="1">
      <ns0:c r="C522" s="1" t="inlineStr">
        <ns0:is>
          <ns0:t xml:space="preserve">Normal </ns0:t>
        </ns0:is>
      </ns0:c>
      <ns0:c r="E522" s="1" t="n">
        <ns0:v>797</ns0:v>
      </ns0:c>
      <ns0:c r="F522" s="1">
        <ns0:f>+E522-Q522</ns0:f>
        <ns0:v/>
      </ns0:c>
      <ns0:c r="G522" s="1" t="n">
        <ns0:v>0</ns0:v>
      </ns0:c>
      <ns0:c r="H522" s="1" t="n">
        <ns0:v>3</ns0:v>
      </ns0:c>
      <ns0:c r="I522" s="1" t="n">
        <ns0:v>0</ns0:v>
      </ns0:c>
      <ns0:c r="J522" s="1" t="n">
        <ns0:v>0</ns0:v>
      </ns0:c>
      <ns0:c r="K522" s="1" t="n">
        <ns0:v>12</ns0:v>
      </ns0:c>
      <ns0:c r="L522" s="1" t="n">
        <ns0:v>58</ns0:v>
      </ns0:c>
      <ns0:c r="M522" s="1">
        <ns0:f>SUM(G522:L522)</ns0:f>
        <ns0:v/>
      </ns0:c>
      <ns0:c r="N522" s="1">
        <ns0:f>M522/E522</ns0:f>
        <ns0:v/>
      </ns0:c>
      <ns0:c r="O522" s="1" t="n">
        <ns0:v>10</ns0:v>
      </ns0:c>
      <ns0:c r="P522" s="1" t="n">
        <ns0:v>22</ns0:v>
      </ns0:c>
      <ns0:c r="Q522" s="1">
        <ns0:f>+P522+O522+J522+I522+H522+G522</ns0:f>
        <ns0:v/>
      </ns0:c>
      <ns0:c r="R522" s="1">
        <ns0:f>+Q522/E522</ns0:f>
        <ns0:v/>
      </ns0:c>
      <ns0:c r="S522" s="1" t="inlineStr">
        <ns0:is>
          <ns0:t xml:space="preserve"> Hearing voltage up 10%</ns0:t>
        </ns0:is>
      </ns0:c>
    </ns0:row>
    <ns0:row r="523" ht="26.25" customHeight="1">
      <ns0:c r="G523" s="1">
        <ns0:f>+G522/M522</ns0:f>
        <ns0:v/>
      </ns0:c>
      <ns0:c r="H523" s="1">
        <ns0:f>+H522/M522</ns0:f>
        <ns0:v/>
      </ns0:c>
      <ns0:c r="I523" s="1">
        <ns0:f>+I522/M522</ns0:f>
        <ns0:v/>
      </ns0:c>
      <ns0:c r="J523" s="1">
        <ns0:f>+J522/M522</ns0:f>
        <ns0:v/>
      </ns0:c>
      <ns0:c r="K523" s="1">
        <ns0:f>+K522/M522</ns0:f>
        <ns0:v/>
      </ns0:c>
      <ns0:c r="L523" s="1">
        <ns0:f>+L522/M522</ns0:f>
        <ns0:v/>
      </ns0:c>
      <ns0:c r="O523" s="1">
        <ns0:f>+O522/Q522</ns0:f>
        <ns0:v/>
      </ns0:c>
      <ns0:c r="P523" s="1">
        <ns0:f>+P522/Q522</ns0:f>
        <ns0:v/>
      </ns0:c>
    </ns0:row>
    <ns0:row r="524" ht="26.25" customHeight="1">
      <ns0:c r="B524" s="2" t="n">
        <ns0:v>45503</ns0:v>
      </ns0:c>
      <ns0:c r="C524" s="1" t="inlineStr">
        <ns0:is>
          <ns0:t>VP</ns0:t>
        </ns0:is>
      </ns0:c>
      <ns0:c r="D524" s="1" t="inlineStr">
        <ns0:is>
          <ns0:t xml:space="preserve">VP Forming stick mold </ns0:t>
        </ns0:is>
      </ns0:c>
      <ns0:c r="E524" s="1" t="n">
        <ns0:v>197</ns0:v>
      </ns0:c>
      <ns0:c r="F524" s="1">
        <ns0:f>+E524-Q524</ns0:f>
        <ns0:v/>
      </ns0:c>
      <ns0:c r="G524" s="1" t="n">
        <ns0:v>0</ns0:v>
      </ns0:c>
      <ns0:c r="H524" s="1" t="n">
        <ns0:v>0</ns0:v>
      </ns0:c>
      <ns0:c r="I524" s="1" t="n">
        <ns0:v>0</ns0:v>
      </ns0:c>
      <ns0:c r="J524" s="1" t="n">
        <ns0:v>0</ns0:v>
      </ns0:c>
      <ns0:c r="K524" s="1" t="n">
        <ns0:v>8</ns0:v>
      </ns0:c>
      <ns0:c r="L524" s="1" t="n">
        <ns0:v>2</ns0:v>
      </ns0:c>
      <ns0:c r="M524" s="1">
        <ns0:f>SUM(G524:L524)</ns0:f>
        <ns0:v/>
      </ns0:c>
      <ns0:c r="N524" s="1">
        <ns0:f>M524/E524</ns0:f>
        <ns0:v/>
      </ns0:c>
      <ns0:c r="O524" s="1" t="n">
        <ns0:v>9</ns0:v>
      </ns0:c>
      <ns0:c r="P524" s="1" t="n">
        <ns0:v>0</ns0:v>
      </ns0:c>
      <ns0:c r="Q524" s="1">
        <ns0:f>+P524+O524+J524+I524+H524+G524</ns0:f>
        <ns0:v/>
      </ns0:c>
      <ns0:c r="R524" s="1">
        <ns0:f>+Q524/E524</ns0:f>
        <ns0:v/>
      </ns0:c>
      <ns0:c r="S524" s="1" t="inlineStr">
        <ns0:is>
          <ns0:t xml:space="preserve"> Hearing voltage up 10%</ns0:t>
        </ns0:is>
      </ns0:c>
    </ns0:row>
    <ns0:row r="525" ht="26.25" customHeight="1">
      <ns0:c r="G525" s="1">
        <ns0:f>+G524/M524</ns0:f>
        <ns0:v/>
      </ns0:c>
      <ns0:c r="H525" s="1">
        <ns0:f>+H524/M524</ns0:f>
        <ns0:v/>
      </ns0:c>
      <ns0:c r="I525" s="1">
        <ns0:f>+I524/M524</ns0:f>
        <ns0:v/>
      </ns0:c>
      <ns0:c r="J525" s="1">
        <ns0:f>+J524/M524</ns0:f>
        <ns0:v/>
      </ns0:c>
      <ns0:c r="K525" s="1">
        <ns0:f>+K524/M524</ns0:f>
        <ns0:v/>
      </ns0:c>
      <ns0:c r="L525" s="1">
        <ns0:f>+L524/M524</ns0:f>
        <ns0:v/>
      </ns0:c>
      <ns0:c r="O525" s="1">
        <ns0:f>+O524/Q524</ns0:f>
        <ns0:v/>
      </ns0:c>
      <ns0:c r="P525" s="1">
        <ns0:f>+P524/Q524</ns0:f>
        <ns0:v/>
      </ns0:c>
    </ns0:row>
    <ns0:row r="526" ht="26.25" customHeight="1">
      <ns0:c r="D526" s="1" t="inlineStr">
        <ns0:is>
          <ns0:t>VP Forming =&gt; cutting laser</ns0:t>
        </ns0:is>
      </ns0:c>
      <ns0:c r="E526" s="1" t="n">
        <ns0:v>120</ns0:v>
      </ns0:c>
      <ns0:c r="F526" s="1">
        <ns0:f>+E526-Q526</ns0:f>
        <ns0:v/>
      </ns0:c>
      <ns0:c r="G526" s="1" t="n">
        <ns0:v>0</ns0:v>
      </ns0:c>
      <ns0:c r="H526" s="1" t="n">
        <ns0:v>1</ns0:v>
      </ns0:c>
      <ns0:c r="I526" s="1" t="n">
        <ns0:v>0</ns0:v>
      </ns0:c>
      <ns0:c r="J526" s="1" t="n">
        <ns0:v>0</ns0:v>
      </ns0:c>
      <ns0:c r="K526" s="1" t="n">
        <ns0:v>1</ns0:v>
      </ns0:c>
      <ns0:c r="L526" s="1" t="n">
        <ns0:v>8</ns0:v>
      </ns0:c>
      <ns0:c r="M526" s="1">
        <ns0:f>SUM(G526:L526)</ns0:f>
        <ns0:v/>
      </ns0:c>
      <ns0:c r="N526" s="1">
        <ns0:f>M526/E526</ns0:f>
        <ns0:v/>
      </ns0:c>
      <ns0:c r="O526" s="1" t="n">
        <ns0:v>1</ns0:v>
      </ns0:c>
      <ns0:c r="P526" s="1" t="n">
        <ns0:v>3</ns0:v>
      </ns0:c>
      <ns0:c r="Q526" s="1">
        <ns0:f>+P526+O526+J526+I526+H526+G526</ns0:f>
        <ns0:v/>
      </ns0:c>
      <ns0:c r="R526" s="1">
        <ns0:f>+Q526/E526</ns0:f>
        <ns0:v/>
      </ns0:c>
      <ns0:c r="S526" s="1" t="inlineStr">
        <ns0:is>
          <ns0:t xml:space="preserve"> Hearing voltage up 10%</ns0:t>
        </ns0:is>
      </ns0:c>
    </ns0:row>
    <ns0:row r="527" ht="26.25" customHeight="1">
      <ns0:c r="G527" s="1">
        <ns0:f>+G526/M526</ns0:f>
        <ns0:v/>
      </ns0:c>
      <ns0:c r="H527" s="1">
        <ns0:f>+H526/M526</ns0:f>
        <ns0:v/>
      </ns0:c>
      <ns0:c r="I527" s="1">
        <ns0:f>+I526/M526</ns0:f>
        <ns0:v/>
      </ns0:c>
      <ns0:c r="J527" s="1">
        <ns0:f>+J526/M526</ns0:f>
        <ns0:v/>
      </ns0:c>
      <ns0:c r="K527" s="1">
        <ns0:f>+K526/M526</ns0:f>
        <ns0:v/>
      </ns0:c>
      <ns0:c r="L527" s="1">
        <ns0:f>+L526/M526</ns0:f>
        <ns0:v/>
      </ns0:c>
      <ns0:c r="O527" s="1">
        <ns0:f>+O526/Q526</ns0:f>
        <ns0:v/>
      </ns0:c>
      <ns0:c r="P527" s="1">
        <ns0:f>+P526/Q526</ns0:f>
        <ns0:v/>
      </ns0:c>
    </ns0:row>
    <ns0:row r="528" ht="26.25" customHeight="1">
      <ns0:c r="D528" s="1" t="inlineStr">
        <ns0:is>
          <ns0:t>VP Forming =&gt; wait 30min =&gt; cutting laser</ns0:t>
        </ns0:is>
      </ns0:c>
      <ns0:c r="E528" s="1" t="n">
        <ns0:v>115</ns0:v>
      </ns0:c>
      <ns0:c r="F528" s="1">
        <ns0:f>+E528-Q528</ns0:f>
        <ns0:v/>
      </ns0:c>
      <ns0:c r="G528" s="1" t="n">
        <ns0:v>0</ns0:v>
      </ns0:c>
      <ns0:c r="H528" s="1" t="n">
        <ns0:v>0</ns0:v>
      </ns0:c>
      <ns0:c r="I528" s="1" t="n">
        <ns0:v>0</ns0:v>
      </ns0:c>
      <ns0:c r="J528" s="1" t="n">
        <ns0:v>0</ns0:v>
      </ns0:c>
      <ns0:c r="K528" s="1" t="n">
        <ns0:v>4</ns0:v>
      </ns0:c>
      <ns0:c r="L528" s="1" t="n">
        <ns0:v>1</ns0:v>
      </ns0:c>
      <ns0:c r="M528" s="1">
        <ns0:f>SUM(G528:L528)</ns0:f>
        <ns0:v/>
      </ns0:c>
      <ns0:c r="N528" s="1">
        <ns0:f>M528/E528</ns0:f>
        <ns0:v/>
      </ns0:c>
      <ns0:c r="O528" s="1" t="n">
        <ns0:v>1</ns0:v>
      </ns0:c>
      <ns0:c r="P528" s="1" t="n">
        <ns0:v>2</ns0:v>
      </ns0:c>
      <ns0:c r="Q528" s="1">
        <ns0:f>+P528+O528+J528+I528+H528+G528</ns0:f>
        <ns0:v/>
      </ns0:c>
      <ns0:c r="R528" s="1">
        <ns0:f>+Q528/E528</ns0:f>
        <ns0:v/>
      </ns0:c>
      <ns0:c r="S528" s="1" t="inlineStr">
        <ns0:is>
          <ns0:t xml:space="preserve"> Hearing voltage up 10%</ns0:t>
        </ns0:is>
      </ns0:c>
    </ns0:row>
    <ns0:row r="529" ht="26.25" customHeight="1">
      <ns0:c r="G529" s="1">
        <ns0:f>+G528/M528</ns0:f>
        <ns0:v/>
      </ns0:c>
      <ns0:c r="H529" s="1">
        <ns0:f>+H528/M528</ns0:f>
        <ns0:v/>
      </ns0:c>
      <ns0:c r="I529" s="1">
        <ns0:f>+I528/M528</ns0:f>
        <ns0:v/>
      </ns0:c>
      <ns0:c r="J529" s="1">
        <ns0:f>+J528/M528</ns0:f>
        <ns0:v/>
      </ns0:c>
      <ns0:c r="K529" s="1">
        <ns0:f>+K528/M528</ns0:f>
        <ns0:v/>
      </ns0:c>
      <ns0:c r="L529" s="1">
        <ns0:f>+L528/M528</ns0:f>
        <ns0:v/>
      </ns0:c>
      <ns0:c r="O529" s="1">
        <ns0:f>+O528/Q528</ns0:f>
        <ns0:v/>
      </ns0:c>
      <ns0:c r="P529" s="1">
        <ns0:f>+P528/Q528</ns0:f>
        <ns0:v/>
      </ns0:c>
    </ns0:row>
    <ns0:row r="530" ht="26.25" customHeight="1">
      <ns0:c r="D530" s="1" t="inlineStr">
        <ns0:is>
          <ns0:t>VP using die punch cutting inside</ns0:t>
        </ns0:is>
      </ns0:c>
      <ns0:c r="E530" s="1" t="n">
        <ns0:v>389</ns0:v>
      </ns0:c>
      <ns0:c r="F530" s="1">
        <ns0:f>+E530-M530</ns0:f>
        <ns0:v/>
      </ns0:c>
      <ns0:c r="G530" s="1" t="n">
        <ns0:v>0</ns0:v>
      </ns0:c>
      <ns0:c r="H530" s="1" t="n">
        <ns0:v>2</ns0:v>
      </ns0:c>
      <ns0:c r="I530" s="1" t="n">
        <ns0:v>0</ns0:v>
      </ns0:c>
      <ns0:c r="J530" s="1" t="n">
        <ns0:v>0</ns0:v>
      </ns0:c>
      <ns0:c r="K530" s="1" t="n">
        <ns0:v>10</ns0:v>
      </ns0:c>
      <ns0:c r="L530" s="1" t="n">
        <ns0:v>11</ns0:v>
      </ns0:c>
      <ns0:c r="M530" s="1">
        <ns0:f>SUM(G530:L530)</ns0:f>
        <ns0:v/>
      </ns0:c>
      <ns0:c r="N530" s="1">
        <ns0:f>M530/E530</ns0:f>
        <ns0:v/>
      </ns0:c>
      <ns0:c r="O530" s="1" t="n">
        <ns0:v>8</ns0:v>
      </ns0:c>
      <ns0:c r="P530" s="1" t="n">
        <ns0:v>5</ns0:v>
      </ns0:c>
      <ns0:c r="Q530" s="1">
        <ns0:f>+P530+O530+J530+I530+H530+G530</ns0:f>
        <ns0:v/>
      </ns0:c>
      <ns0:c r="R530" s="1">
        <ns0:f>+Q530/E530</ns0:f>
        <ns0:v/>
      </ns0:c>
      <ns0:c r="S530" s="1" t="inlineStr">
        <ns0:is>
          <ns0:t xml:space="preserve"> Hearing voltage up 10%</ns0:t>
        </ns0:is>
      </ns0:c>
    </ns0:row>
    <ns0:row r="531" ht="26.25" customHeight="1">
      <ns0:c r="G531" s="1">
        <ns0:f>+G530/M530</ns0:f>
        <ns0:v/>
      </ns0:c>
      <ns0:c r="H531" s="1">
        <ns0:f>+H530/M530</ns0:f>
        <ns0:v/>
      </ns0:c>
      <ns0:c r="I531" s="1">
        <ns0:f>+I530/M530</ns0:f>
        <ns0:v/>
      </ns0:c>
      <ns0:c r="J531" s="1">
        <ns0:f>+J530/M530</ns0:f>
        <ns0:v/>
      </ns0:c>
      <ns0:c r="K531" s="1">
        <ns0:f>+K530/M530</ns0:f>
        <ns0:v/>
      </ns0:c>
      <ns0:c r="L531" s="1">
        <ns0:f>+L530/M530</ns0:f>
        <ns0:v/>
      </ns0:c>
      <ns0:c r="O531" s="1">
        <ns0:f>+O530/Q530</ns0:f>
        <ns0:v/>
      </ns0:c>
      <ns0:c r="P531" s="1">
        <ns0:f>+P530/Q530</ns0:f>
        <ns0:v/>
      </ns0:c>
    </ns0:row>
    <ns0:row r="532" ht="26.25" customHeight="1">
      <ns0:c r="C532" s="1" t="inlineStr">
        <ns0:is>
          <ns0:t xml:space="preserve">Normal </ns0:t>
        </ns0:is>
      </ns0:c>
      <ns0:c r="E532" s="1" t="n">
        <ns0:v>799</ns0:v>
      </ns0:c>
      <ns0:c r="F532" s="1">
        <ns0:f>+E532-Q532</ns0:f>
        <ns0:v/>
      </ns0:c>
      <ns0:c r="G532" s="1" t="n">
        <ns0:v>1</ns0:v>
      </ns0:c>
      <ns0:c r="H532" s="1" t="n">
        <ns0:v>4</ns0:v>
      </ns0:c>
      <ns0:c r="I532" s="1" t="n">
        <ns0:v>0</ns0:v>
      </ns0:c>
      <ns0:c r="J532" s="1" t="n">
        <ns0:v>0</ns0:v>
      </ns0:c>
      <ns0:c r="K532" s="1" t="n">
        <ns0:v>13</ns0:v>
      </ns0:c>
      <ns0:c r="L532" s="1" t="n">
        <ns0:v>42</ns0:v>
      </ns0:c>
      <ns0:c r="M532" s="1">
        <ns0:f>SUM(G532:L532)</ns0:f>
        <ns0:v/>
      </ns0:c>
      <ns0:c r="N532" s="1">
        <ns0:f>M532/E532</ns0:f>
        <ns0:v/>
      </ns0:c>
      <ns0:c r="O532" s="1" t="n">
        <ns0:v>10</ns0:v>
      </ns0:c>
      <ns0:c r="P532" s="1" t="n">
        <ns0:v>20</ns0:v>
      </ns0:c>
      <ns0:c r="Q532" s="1">
        <ns0:f>+P532+O532+J532+I532+H532+G532</ns0:f>
        <ns0:v/>
      </ns0:c>
      <ns0:c r="R532" s="1">
        <ns0:f>+Q532/E532</ns0:f>
        <ns0:v/>
      </ns0:c>
      <ns0:c r="S532" s="1" t="inlineStr">
        <ns0:is>
          <ns0:t xml:space="preserve"> Hearing voltage up 10%</ns0:t>
        </ns0:is>
      </ns0:c>
    </ns0:row>
    <ns0:row r="533" ht="26.25" customHeight="1">
      <ns0:c r="G533" s="1">
        <ns0:f>+G532/M532</ns0:f>
        <ns0:v/>
      </ns0:c>
      <ns0:c r="H533" s="1">
        <ns0:f>+H532/M532</ns0:f>
        <ns0:v/>
      </ns0:c>
      <ns0:c r="I533" s="1">
        <ns0:f>+I532/M532</ns0:f>
        <ns0:v/>
      </ns0:c>
      <ns0:c r="J533" s="1">
        <ns0:f>+J532/M532</ns0:f>
        <ns0:v/>
      </ns0:c>
      <ns0:c r="K533" s="1">
        <ns0:f>+K532/M532</ns0:f>
        <ns0:v/>
      </ns0:c>
      <ns0:c r="L533" s="1">
        <ns0:f>+L532/M532</ns0:f>
        <ns0:v/>
      </ns0:c>
      <ns0:c r="O533" s="1">
        <ns0:f>+O532/Q532</ns0:f>
        <ns0:v/>
      </ns0:c>
      <ns0:c r="P533" s="1">
        <ns0:f>+P532/Q532</ns0:f>
        <ns0:v/>
      </ns0:c>
    </ns0:row>
    <ns0:row r="534" ht="26.25" customHeight="1">
      <ns0:c r="B534" s="2" t="n">
        <ns0:v>45504</ns0:v>
      </ns0:c>
      <ns0:c r="C534" s="1" t="inlineStr">
        <ns0:is>
          <ns0:t>UV Led Press VP+COIL</ns0:t>
        </ns0:is>
      </ns0:c>
      <ns0:c r="D534" s="1" t="inlineStr">
        <ns0:is>
          <ns0:t>Now using ( UV Led press 19 Turn )</ns0:t>
        </ns0:is>
      </ns0:c>
      <ns0:c r="E534" s="1" t="n">
        <ns0:v>250</ns0:v>
      </ns0:c>
      <ns0:c r="F534" s="1">
        <ns0:f>+E534-Q534</ns0:f>
        <ns0:v/>
      </ns0:c>
      <ns0:c r="G534" s="1" t="n">
        <ns0:v>0</ns0:v>
      </ns0:c>
      <ns0:c r="H534" s="1" t="n">
        <ns0:v>0</ns0:v>
      </ns0:c>
      <ns0:c r="I534" s="1" t="n">
        <ns0:v>1</ns0:v>
      </ns0:c>
      <ns0:c r="J534" s="1" t="n">
        <ns0:v>0</ns0:v>
      </ns0:c>
      <ns0:c r="K534" s="1" t="n">
        <ns0:v>8</ns0:v>
      </ns0:c>
      <ns0:c r="L534" s="1" t="n">
        <ns0:v>10</ns0:v>
      </ns0:c>
      <ns0:c r="M534" s="1">
        <ns0:f>SUM(G534:L534)</ns0:f>
        <ns0:v/>
      </ns0:c>
      <ns0:c r="N534" s="1">
        <ns0:f>M534/E534</ns0:f>
        <ns0:v/>
      </ns0:c>
      <ns0:c r="O534" s="1" t="n">
        <ns0:v>7</ns0:v>
      </ns0:c>
      <ns0:c r="P534" s="1" t="n">
        <ns0:v>5</ns0:v>
      </ns0:c>
      <ns0:c r="Q534" s="1">
        <ns0:f>+P534+O534+J534+I534+H534+G534</ns0:f>
        <ns0:v/>
      </ns0:c>
      <ns0:c r="R534" s="1">
        <ns0:f>+Q534/E534</ns0:f>
        <ns0:v/>
      </ns0:c>
      <ns0:c r="S534" s="1" t="inlineStr">
        <ns0:is>
          <ns0:t xml:space="preserve"> Hearing voltage up 10%</ns0:t>
        </ns0:is>
      </ns0:c>
    </ns0:row>
    <ns0:row r="535" ht="26.25" customHeight="1">
      <ns0:c r="G535" s="1">
        <ns0:f>+G534/M534</ns0:f>
        <ns0:v/>
      </ns0:c>
      <ns0:c r="H535" s="1">
        <ns0:f>+H534/M534</ns0:f>
        <ns0:v/>
      </ns0:c>
      <ns0:c r="I535" s="1">
        <ns0:f>+I534/M534</ns0:f>
        <ns0:v/>
      </ns0:c>
      <ns0:c r="J535" s="1">
        <ns0:f>+J534/M534</ns0:f>
        <ns0:v/>
      </ns0:c>
      <ns0:c r="K535" s="1">
        <ns0:f>+K534/M534</ns0:f>
        <ns0:v/>
      </ns0:c>
      <ns0:c r="L535" s="1">
        <ns0:f>+L534/M534</ns0:f>
        <ns0:v/>
      </ns0:c>
      <ns0:c r="O535" s="1">
        <ns0:f>+O534/Q534</ns0:f>
        <ns0:v/>
      </ns0:c>
      <ns0:c r="P535" s="1">
        <ns0:f>+P534/Q534</ns0:f>
        <ns0:v/>
      </ns0:c>
    </ns0:row>
    <ns0:row r="536" ht="26.25" customHeight="1">
      <ns0:c r="D536" s="1" t="inlineStr">
        <ns0:is>
          <ns0:t xml:space="preserve">Change UV Led press Down 24 Turn </ns0:t>
        </ns0:is>
      </ns0:c>
      <ns0:c r="E536" s="1" t="n">
        <ns0:v>160</ns0:v>
      </ns0:c>
      <ns0:c r="F536" s="1">
        <ns0:f>+E536-M536</ns0:f>
        <ns0:v/>
      </ns0:c>
      <ns0:c r="G536" s="1" t="n">
        <ns0:v>1</ns0:v>
      </ns0:c>
      <ns0:c r="H536" s="1" t="n">
        <ns0:v>0</ns0:v>
      </ns0:c>
      <ns0:c r="I536" s="1" t="n">
        <ns0:v>0</ns0:v>
      </ns0:c>
      <ns0:c r="J536" s="1" t="n">
        <ns0:v>0</ns0:v>
      </ns0:c>
      <ns0:c r="K536" s="1" t="n">
        <ns0:v>2</ns0:v>
      </ns0:c>
      <ns0:c r="L536" s="1" t="n">
        <ns0:v>5</ns0:v>
      </ns0:c>
      <ns0:c r="M536" s="1">
        <ns0:f>SUM(G536:L536)</ns0:f>
        <ns0:v/>
      </ns0:c>
      <ns0:c r="N536" s="1">
        <ns0:f>M536/E536</ns0:f>
        <ns0:v/>
      </ns0:c>
      <ns0:c r="O536" s="1" t="n">
        <ns0:v>3</ns0:v>
      </ns0:c>
      <ns0:c r="P536" s="1" t="n">
        <ns0:v>2</ns0:v>
      </ns0:c>
      <ns0:c r="Q536" s="1">
        <ns0:f>+P536+O536+J536+I536+H536+G536</ns0:f>
        <ns0:v/>
      </ns0:c>
      <ns0:c r="R536" s="1">
        <ns0:f>+Q536/E536</ns0:f>
        <ns0:v/>
      </ns0:c>
      <ns0:c r="S536" s="1" t="inlineStr">
        <ns0:is>
          <ns0:t xml:space="preserve"> Hearing voltage up 10%</ns0:t>
        </ns0:is>
      </ns0:c>
    </ns0:row>
    <ns0:row r="537" ht="26.25" customHeight="1">
      <ns0:c r="G537" s="1">
        <ns0:f>+G536/M536</ns0:f>
        <ns0:v/>
      </ns0:c>
      <ns0:c r="H537" s="1">
        <ns0:f>+H536/M536</ns0:f>
        <ns0:v/>
      </ns0:c>
      <ns0:c r="I537" s="1">
        <ns0:f>+I536/M536</ns0:f>
        <ns0:v/>
      </ns0:c>
      <ns0:c r="J537" s="1">
        <ns0:f>+J536/M536</ns0:f>
        <ns0:v/>
      </ns0:c>
      <ns0:c r="K537" s="1">
        <ns0:f>+K536/M536</ns0:f>
        <ns0:v/>
      </ns0:c>
      <ns0:c r="L537" s="1">
        <ns0:f>+L536/M536</ns0:f>
        <ns0:v/>
      </ns0:c>
      <ns0:c r="O537" s="1">
        <ns0:f>+O536/Q536</ns0:f>
        <ns0:v/>
      </ns0:c>
      <ns0:c r="P537" s="1">
        <ns0:f>+P536/Q536</ns0:f>
        <ns0:v/>
      </ns0:c>
    </ns0:row>
    <ns0:row r="538" ht="26.25" customHeight="1">
      <ns0:c r="D538" s="1" t="inlineStr">
        <ns0:is>
          <ns0:t xml:space="preserve">Change UV Led press up 14 Turn </ns0:t>
        </ns0:is>
      </ns0:c>
      <ns0:c r="E538" s="1" t="n">
        <ns0:v>143</ns0:v>
      </ns0:c>
      <ns0:c r="F538" s="1">
        <ns0:f>+E538-Q538</ns0:f>
        <ns0:v/>
      </ns0:c>
      <ns0:c r="G538" s="1" t="n">
        <ns0:v>5</ns0:v>
      </ns0:c>
      <ns0:c r="H538" s="1" t="n">
        <ns0:v>0</ns0:v>
      </ns0:c>
      <ns0:c r="I538" s="1" t="n">
        <ns0:v>0</ns0:v>
      </ns0:c>
      <ns0:c r="J538" s="1" t="n">
        <ns0:v>0</ns0:v>
      </ns0:c>
      <ns0:c r="K538" s="1" t="n">
        <ns0:v>6</ns0:v>
      </ns0:c>
      <ns0:c r="L538" s="1" t="n">
        <ns0:v>3</ns0:v>
      </ns0:c>
      <ns0:c r="M538" s="1">
        <ns0:f>SUM(G538:L538)</ns0:f>
        <ns0:v/>
      </ns0:c>
      <ns0:c r="N538" s="1">
        <ns0:f>M538/E538</ns0:f>
        <ns0:v/>
      </ns0:c>
      <ns0:c r="O538" s="1" t="n">
        <ns0:v>5</ns0:v>
      </ns0:c>
      <ns0:c r="P538" s="1" t="n">
        <ns0:v>1</ns0:v>
      </ns0:c>
      <ns0:c r="Q538" s="1">
        <ns0:f>+P538+O538+J538+I538+H538+G538</ns0:f>
        <ns0:v/>
      </ns0:c>
      <ns0:c r="R538" s="1">
        <ns0:f>+Q538/E538</ns0:f>
        <ns0:v/>
      </ns0:c>
      <ns0:c r="S538" s="1" t="inlineStr">
        <ns0:is>
          <ns0:t xml:space="preserve"> Hearing voltage up 10%</ns0:t>
        </ns0:is>
      </ns0:c>
    </ns0:row>
    <ns0:row r="539" ht="26.25" customHeight="1">
      <ns0:c r="G539" s="1">
        <ns0:f>+G538/M538</ns0:f>
        <ns0:v/>
      </ns0:c>
      <ns0:c r="H539" s="1">
        <ns0:f>+H538/M538</ns0:f>
        <ns0:v/>
      </ns0:c>
      <ns0:c r="I539" s="1">
        <ns0:f>+I538/M538</ns0:f>
        <ns0:v/>
      </ns0:c>
      <ns0:c r="J539" s="1">
        <ns0:f>+J538/M538</ns0:f>
        <ns0:v/>
      </ns0:c>
      <ns0:c r="K539" s="1">
        <ns0:f>+K538/M538</ns0:f>
        <ns0:v/>
      </ns0:c>
      <ns0:c r="L539" s="1">
        <ns0:f>+L538/M538</ns0:f>
        <ns0:v/>
      </ns0:c>
      <ns0:c r="O539" s="1">
        <ns0:f>+O538/Q538</ns0:f>
        <ns0:v/>
      </ns0:c>
      <ns0:c r="P539" s="1">
        <ns0:f>+P538/Q538</ns0:f>
        <ns0:v/>
      </ns0:c>
    </ns0:row>
    <ns0:row r="540" ht="26.25" customHeight="1">
      <ns0:c r="D540" s="1" t="inlineStr">
        <ns0:is>
          <ns0:t>Before Line NG high ( UV Led press 17 Turn )</ns0:t>
        </ns0:is>
      </ns0:c>
      <ns0:c r="E540" s="1" t="n">
        <ns0:v>276</ns0:v>
      </ns0:c>
      <ns0:c r="F540" s="1">
        <ns0:f>+E540-Q540</ns0:f>
        <ns0:v/>
      </ns0:c>
      <ns0:c r="G540" s="1" t="n">
        <ns0:v>2</ns0:v>
      </ns0:c>
      <ns0:c r="H540" s="1" t="n">
        <ns0:v>1</ns0:v>
      </ns0:c>
      <ns0:c r="I540" s="1" t="n">
        <ns0:v>0</ns0:v>
      </ns0:c>
      <ns0:c r="J540" s="1" t="n">
        <ns0:v>0</ns0:v>
      </ns0:c>
      <ns0:c r="K540" s="1" t="n">
        <ns0:v>16</ns0:v>
      </ns0:c>
      <ns0:c r="L540" s="1" t="n">
        <ns0:v>28</ns0:v>
      </ns0:c>
      <ns0:c r="M540" s="1">
        <ns0:f>SUM(G540:L540)</ns0:f>
        <ns0:v/>
      </ns0:c>
      <ns0:c r="N540" s="1">
        <ns0:f>M540/E540</ns0:f>
        <ns0:v/>
      </ns0:c>
      <ns0:c r="O540" s="1" t="n">
        <ns0:v>16</ns0:v>
      </ns0:c>
      <ns0:c r="P540" s="1" t="n">
        <ns0:v>15</ns0:v>
      </ns0:c>
      <ns0:c r="Q540" s="1">
        <ns0:f>+P540+O540+J540+I540+H540+G540</ns0:f>
        <ns0:v/>
      </ns0:c>
      <ns0:c r="R540" s="1">
        <ns0:f>+Q540/E540</ns0:f>
        <ns0:v/>
      </ns0:c>
      <ns0:c r="S540" s="1" t="inlineStr">
        <ns0:is>
          <ns0:t xml:space="preserve"> Hearing voltage up 10%</ns0:t>
        </ns0:is>
      </ns0:c>
    </ns0:row>
    <ns0:row r="541" ht="26.25" customHeight="1">
      <ns0:c r="G541" s="1">
        <ns0:f>+G540/M540</ns0:f>
        <ns0:v/>
      </ns0:c>
      <ns0:c r="H541" s="1">
        <ns0:f>+H540/M540</ns0:f>
        <ns0:v/>
      </ns0:c>
      <ns0:c r="I541" s="1">
        <ns0:f>+I540/M540</ns0:f>
        <ns0:v/>
      </ns0:c>
      <ns0:c r="J541" s="1">
        <ns0:f>+J540/M540</ns0:f>
        <ns0:v/>
      </ns0:c>
      <ns0:c r="K541" s="1">
        <ns0:f>+K540/M540</ns0:f>
        <ns0:v/>
      </ns0:c>
      <ns0:c r="L541" s="1">
        <ns0:f>+L540/M540</ns0:f>
        <ns0:v/>
      </ns0:c>
      <ns0:c r="O541" s="1">
        <ns0:f>+O540/Q540</ns0:f>
        <ns0:v/>
      </ns0:c>
      <ns0:c r="P541" s="1">
        <ns0:f>+P540/Q540</ns0:f>
        <ns0:v/>
      </ns0:c>
    </ns0:row>
    <ns0:row r="542" ht="26.25" customHeight="1">
      <ns0:c r="B542" s="2" t="n">
        <ns0:v>45506</ns0:v>
      </ns0:c>
      <ns0:c r="C542" s="1" t="inlineStr">
        <ns0:is>
          <ns0:t>VP/CD old bonding line</ns0:t>
        </ns0:is>
      </ns0:c>
      <ns0:c r="D542" s="1" t="inlineStr">
        <ns0:is>
          <ns0:t>Now using ( UV Led press 19 Turn )</ns0:t>
        </ns0:is>
      </ns0:c>
      <ns0:c r="E542" s="1" t="n">
        <ns0:v>206</ns0:v>
      </ns0:c>
      <ns0:c r="F542" s="1">
        <ns0:f>+E542-Q542</ns0:f>
        <ns0:v/>
      </ns0:c>
      <ns0:c r="G542" s="1" t="n">
        <ns0:v>0</ns0:v>
      </ns0:c>
      <ns0:c r="H542" s="1" t="n">
        <ns0:v>0</ns0:v>
      </ns0:c>
      <ns0:c r="I542" s="1" t="n">
        <ns0:v>0</ns0:v>
      </ns0:c>
      <ns0:c r="J542" s="1" t="n">
        <ns0:v>0</ns0:v>
      </ns0:c>
      <ns0:c r="K542" s="1" t="n">
        <ns0:v>2</ns0:v>
      </ns0:c>
      <ns0:c r="L542" s="1" t="n">
        <ns0:v>14</ns0:v>
      </ns0:c>
      <ns0:c r="M542" s="1">
        <ns0:f>SUM(G542:L542)</ns0:f>
        <ns0:v/>
      </ns0:c>
      <ns0:c r="N542" s="1">
        <ns0:f>M542/E542</ns0:f>
        <ns0:v/>
      </ns0:c>
      <ns0:c r="O542" s="1" t="n">
        <ns0:v>2</ns0:v>
      </ns0:c>
      <ns0:c r="P542" s="1" t="n">
        <ns0:v>5</ns0:v>
      </ns0:c>
      <ns0:c r="Q542" s="1">
        <ns0:f>+P542+O542+J542+I542+H542+G542</ns0:f>
        <ns0:v/>
      </ns0:c>
      <ns0:c r="R542" s="1">
        <ns0:f>+Q542/E542</ns0:f>
        <ns0:v/>
      </ns0:c>
      <ns0:c r="S542" s="1" t="inlineStr">
        <ns0:is>
          <ns0:t xml:space="preserve"> Hearing voltage up 10%</ns0:t>
        </ns0:is>
      </ns0:c>
    </ns0:row>
    <ns0:row r="543" ht="26.25" customHeight="1">
      <ns0:c r="G543" s="1">
        <ns0:f>+G542/M542</ns0:f>
        <ns0:v/>
      </ns0:c>
      <ns0:c r="H543" s="1">
        <ns0:f>+H542/M542</ns0:f>
        <ns0:v/>
      </ns0:c>
      <ns0:c r="I543" s="1">
        <ns0:f>+I542/M542</ns0:f>
        <ns0:v/>
      </ns0:c>
      <ns0:c r="J543" s="1">
        <ns0:f>+J542/M542</ns0:f>
        <ns0:v/>
      </ns0:c>
      <ns0:c r="K543" s="1">
        <ns0:f>+K542/M542</ns0:f>
        <ns0:v/>
      </ns0:c>
      <ns0:c r="L543" s="1">
        <ns0:f>+L542/M542</ns0:f>
        <ns0:v/>
      </ns0:c>
      <ns0:c r="O543" s="1">
        <ns0:f>+O542/Q542</ns0:f>
        <ns0:v/>
      </ns0:c>
      <ns0:c r="P543" s="1">
        <ns0:f>+P542/Q542</ns0:f>
        <ns0:v/>
      </ns0:c>
    </ns0:row>
    <ns0:row r="544" ht="26.25" customHeight="1">
      <ns0:c r="D544" s="1" t="inlineStr">
        <ns0:is>
          <ns0:t xml:space="preserve">Change UV Led press Down 24 Turn </ns0:t>
        </ns0:is>
      </ns0:c>
      <ns0:c r="E544" s="1" t="n">
        <ns0:v>199</ns0:v>
      </ns0:c>
      <ns0:c r="F544" s="1">
        <ns0:f>+E544-Q544</ns0:f>
        <ns0:v/>
      </ns0:c>
      <ns0:c r="G544" s="1" t="n">
        <ns0:v>0</ns0:v>
      </ns0:c>
      <ns0:c r="H544" s="1" t="n">
        <ns0:v>0</ns0:v>
      </ns0:c>
      <ns0:c r="I544" s="1" t="n">
        <ns0:v>0</ns0:v>
      </ns0:c>
      <ns0:c r="J544" s="1" t="n">
        <ns0:v>0</ns0:v>
      </ns0:c>
      <ns0:c r="K544" s="1" t="n">
        <ns0:v>9</ns0:v>
      </ns0:c>
      <ns0:c r="L544" s="1" t="n">
        <ns0:v>21</ns0:v>
      </ns0:c>
      <ns0:c r="M544" s="1">
        <ns0:f>SUM(G544:L544)</ns0:f>
        <ns0:v/>
      </ns0:c>
      <ns0:c r="N544" s="1">
        <ns0:f>M544/E544</ns0:f>
        <ns0:v/>
      </ns0:c>
      <ns0:c r="O544" s="1" t="n">
        <ns0:v>10</ns0:v>
      </ns0:c>
      <ns0:c r="P544" s="1" t="n">
        <ns0:v>6</ns0:v>
      </ns0:c>
      <ns0:c r="Q544" s="1">
        <ns0:f>+P544+O544+J544+I544+H544+G544</ns0:f>
        <ns0:v/>
      </ns0:c>
      <ns0:c r="R544" s="1">
        <ns0:f>+Q544/E544</ns0:f>
        <ns0:v/>
      </ns0:c>
      <ns0:c r="S544" s="1" t="inlineStr">
        <ns0:is>
          <ns0:t xml:space="preserve"> Hearing voltage up 10%</ns0:t>
        </ns0:is>
      </ns0:c>
    </ns0:row>
    <ns0:row r="545" ht="26.25" customHeight="1">
      <ns0:c r="G545" s="1">
        <ns0:f>+G544/M544</ns0:f>
        <ns0:v/>
      </ns0:c>
      <ns0:c r="H545" s="1">
        <ns0:f>+H544/M544</ns0:f>
        <ns0:v/>
      </ns0:c>
      <ns0:c r="I545" s="1">
        <ns0:f>+I544/M544</ns0:f>
        <ns0:v/>
      </ns0:c>
      <ns0:c r="J545" s="1">
        <ns0:f>+J544/M544</ns0:f>
        <ns0:v/>
      </ns0:c>
      <ns0:c r="K545" s="1">
        <ns0:f>+K544/M544</ns0:f>
        <ns0:v/>
      </ns0:c>
      <ns0:c r="L545" s="1">
        <ns0:f>+L544/M544</ns0:f>
        <ns0:v/>
      </ns0:c>
      <ns0:c r="O545" s="1">
        <ns0:f>+O544/Q544</ns0:f>
        <ns0:v/>
      </ns0:c>
      <ns0:c r="P545" s="1">
        <ns0:f>+P544/Q544</ns0:f>
        <ns0:v/>
      </ns0:c>
    </ns0:row>
    <ns0:row r="546" ht="26.25" customHeight="1">
      <ns0:c r="D546" s="1" t="inlineStr">
        <ns0:is>
          <ns0:t xml:space="preserve">Change UV Led press up 14 Turn </ns0:t>
        </ns0:is>
      </ns0:c>
      <ns0:c r="E546" s="1" t="n">
        <ns0:v>200</ns0:v>
      </ns0:c>
      <ns0:c r="F546" s="1">
        <ns0:f>+E546-Q546</ns0:f>
        <ns0:v/>
      </ns0:c>
      <ns0:c r="G546" s="1" t="n">
        <ns0:v>0</ns0:v>
      </ns0:c>
      <ns0:c r="H546" s="1" t="n">
        <ns0:v>0</ns0:v>
      </ns0:c>
      <ns0:c r="I546" s="1" t="n">
        <ns0:v>0</ns0:v>
      </ns0:c>
      <ns0:c r="J546" s="1" t="n">
        <ns0:v>0</ns0:v>
      </ns0:c>
      <ns0:c r="K546" s="1" t="n">
        <ns0:v>1</ns0:v>
      </ns0:c>
      <ns0:c r="L546" s="1" t="n">
        <ns0:v>17</ns0:v>
      </ns0:c>
      <ns0:c r="M546" s="1">
        <ns0:f>SUM(G546:L546)</ns0:f>
        <ns0:v/>
      </ns0:c>
      <ns0:c r="N546" s="1">
        <ns0:f>M546/E546</ns0:f>
        <ns0:v/>
      </ns0:c>
      <ns0:c r="O546" s="1" t="n">
        <ns0:v>2</ns0:v>
      </ns0:c>
      <ns0:c r="P546" s="1" t="n">
        <ns0:v>6</ns0:v>
      </ns0:c>
      <ns0:c r="Q546" s="1">
        <ns0:f>+P546+O546+J546+I546+H546+G546</ns0:f>
        <ns0:v/>
      </ns0:c>
      <ns0:c r="R546" s="1">
        <ns0:f>+Q546/E546</ns0:f>
        <ns0:v/>
      </ns0:c>
      <ns0:c r="S546" s="1" t="inlineStr">
        <ns0:is>
          <ns0:t xml:space="preserve"> Hearing voltage up 10%</ns0:t>
        </ns0:is>
      </ns0:c>
    </ns0:row>
    <ns0:row r="547" ht="26.25" customHeight="1">
      <ns0:c r="G547" s="1">
        <ns0:f>+G546/M546</ns0:f>
        <ns0:v/>
      </ns0:c>
      <ns0:c r="H547" s="1">
        <ns0:f>+H546/M546</ns0:f>
        <ns0:v/>
      </ns0:c>
      <ns0:c r="I547" s="1">
        <ns0:f>+I546/M546</ns0:f>
        <ns0:v/>
      </ns0:c>
      <ns0:c r="J547" s="1">
        <ns0:f>+J546/M546</ns0:f>
        <ns0:v/>
      </ns0:c>
      <ns0:c r="K547" s="1">
        <ns0:f>+K546/M546</ns0:f>
        <ns0:v/>
      </ns0:c>
      <ns0:c r="L547" s="1">
        <ns0:f>+L546/M546</ns0:f>
        <ns0:v/>
      </ns0:c>
      <ns0:c r="O547" s="1">
        <ns0:f>+O546/Q546</ns0:f>
        <ns0:v/>
      </ns0:c>
      <ns0:c r="P547" s="1">
        <ns0:f>+P546/Q546</ns0:f>
        <ns0:v/>
      </ns0:c>
    </ns0:row>
    <ns0:row r="548" ht="26.25" customHeight="1">
      <ns0:c r="D548" s="1" t="inlineStr">
        <ns0:is>
          <ns0:t>Before Line NG high ( UV Led press 17 Turn )</ns0:t>
        </ns0:is>
      </ns0:c>
      <ns0:c r="E548" s="1" t="n">
        <ns0:v>200</ns0:v>
      </ns0:c>
      <ns0:c r="F548" s="1">
        <ns0:f>+E548-Q548</ns0:f>
        <ns0:v/>
      </ns0:c>
      <ns0:c r="G548" s="1" t="n">
        <ns0:v>1</ns0:v>
      </ns0:c>
      <ns0:c r="H548" s="1" t="n">
        <ns0:v>0</ns0:v>
      </ns0:c>
      <ns0:c r="I548" s="1" t="n">
        <ns0:v>0</ns0:v>
      </ns0:c>
      <ns0:c r="J548" s="1" t="n">
        <ns0:v>0</ns0:v>
      </ns0:c>
      <ns0:c r="K548" s="1" t="n">
        <ns0:v>6</ns0:v>
      </ns0:c>
      <ns0:c r="L548" s="1" t="n">
        <ns0:v>37</ns0:v>
      </ns0:c>
      <ns0:c r="M548" s="1">
        <ns0:f>SUM(G548:L548)</ns0:f>
        <ns0:v/>
      </ns0:c>
      <ns0:c r="N548" s="1">
        <ns0:f>M548/E548</ns0:f>
        <ns0:v/>
      </ns0:c>
      <ns0:c r="O548" s="1" t="n">
        <ns0:v>20</ns0:v>
      </ns0:c>
      <ns0:c r="P548" s="1" t="n">
        <ns0:v>6</ns0:v>
      </ns0:c>
      <ns0:c r="Q548" s="1">
        <ns0:f>+P548+O548+J548+I548+H548+G548</ns0:f>
        <ns0:v/>
      </ns0:c>
      <ns0:c r="R548" s="1">
        <ns0:f>+Q548/E548</ns0:f>
        <ns0:v/>
      </ns0:c>
      <ns0:c r="S548" s="1" t="inlineStr">
        <ns0:is>
          <ns0:t xml:space="preserve"> Hearing voltage up 10%</ns0:t>
        </ns0:is>
      </ns0:c>
    </ns0:row>
    <ns0:row r="549" ht="26.25" customHeight="1">
      <ns0:c r="G549" s="1">
        <ns0:f>+G548/M548</ns0:f>
        <ns0:v/>
      </ns0:c>
      <ns0:c r="H549" s="1">
        <ns0:f>+H548/M548</ns0:f>
        <ns0:v/>
      </ns0:c>
      <ns0:c r="I549" s="1">
        <ns0:f>+I548/M548</ns0:f>
        <ns0:v/>
      </ns0:c>
      <ns0:c r="J549" s="1">
        <ns0:f>+J548/M548</ns0:f>
        <ns0:v/>
      </ns0:c>
      <ns0:c r="K549" s="1">
        <ns0:f>+K548/M548</ns0:f>
        <ns0:v/>
      </ns0:c>
      <ns0:c r="L549" s="1">
        <ns0:f>+L548/M548</ns0:f>
        <ns0:v/>
      </ns0:c>
      <ns0:c r="O549" s="1">
        <ns0:f>+O548/Q548</ns0:f>
        <ns0:v/>
      </ns0:c>
      <ns0:c r="P549" s="1">
        <ns0:f>+P548/Q548</ns0:f>
        <ns0:v/>
      </ns0:c>
    </ns0:row>
    <ns0:row r="550" ht="26.25" customHeight="1">
      <ns0:c r="C550" s="1" t="inlineStr">
        <ns0:is>
          <ns0:t>VP/CD</ns0:t>
        </ns0:is>
      </ns0:c>
      <ns0:c r="D550" s="1" t="inlineStr">
        <ns0:is>
          <ns0:t>VP/CD offset return</ns0:t>
        </ns0:is>
      </ns0:c>
      <ns0:c r="E550" s="1" t="n">
        <ns0:v>340</ns0:v>
      </ns0:c>
      <ns0:c r="F550" s="1">
        <ns0:f>+E550-Q550</ns0:f>
        <ns0:v/>
      </ns0:c>
      <ns0:c r="G550" s="1" t="n">
        <ns0:v>5</ns0:v>
      </ns0:c>
      <ns0:c r="H550" s="1" t="n">
        <ns0:v>0</ns0:v>
      </ns0:c>
      <ns0:c r="I550" s="1" t="n">
        <ns0:v>0</ns0:v>
      </ns0:c>
      <ns0:c r="J550" s="1" t="n">
        <ns0:v>0</ns0:v>
      </ns0:c>
      <ns0:c r="K550" s="1" t="n">
        <ns0:v>6</ns0:v>
      </ns0:c>
      <ns0:c r="L550" s="1" t="n">
        <ns0:v>3</ns0:v>
      </ns0:c>
      <ns0:c r="M550" s="1">
        <ns0:f>SUM(G550:L550)</ns0:f>
        <ns0:v/>
      </ns0:c>
      <ns0:c r="N550" s="1">
        <ns0:f>M550/E550</ns0:f>
        <ns0:v/>
      </ns0:c>
      <ns0:c r="O550" s="1" t="n">
        <ns0:v>5</ns0:v>
      </ns0:c>
      <ns0:c r="P550" s="1" t="n">
        <ns0:v>1</ns0:v>
      </ns0:c>
      <ns0:c r="Q550" s="1">
        <ns0:f>+P550+O550+J550+I550+H550+G550</ns0:f>
        <ns0:v/>
      </ns0:c>
      <ns0:c r="R550" s="1">
        <ns0:f>+Q550/E550</ns0:f>
        <ns0:v/>
      </ns0:c>
      <ns0:c r="S550" s="1" t="inlineStr">
        <ns0:is>
          <ns0:t xml:space="preserve"> Hearing voltage up 10%</ns0:t>
        </ns0:is>
      </ns0:c>
    </ns0:row>
    <ns0:row r="551" ht="26.25" customHeight="1">
      <ns0:c r="G551" s="1">
        <ns0:f>+G550/M550</ns0:f>
        <ns0:v/>
      </ns0:c>
      <ns0:c r="H551" s="1">
        <ns0:f>+H550/M550</ns0:f>
        <ns0:v/>
      </ns0:c>
      <ns0:c r="I551" s="1">
        <ns0:f>+I550/M550</ns0:f>
        <ns0:v/>
      </ns0:c>
      <ns0:c r="J551" s="1">
        <ns0:f>+J550/M550</ns0:f>
        <ns0:v/>
      </ns0:c>
      <ns0:c r="K551" s="1">
        <ns0:f>+K550/M550</ns0:f>
        <ns0:v/>
      </ns0:c>
      <ns0:c r="L551" s="1">
        <ns0:f>+L550/M550</ns0:f>
        <ns0:v/>
      </ns0:c>
      <ns0:c r="O551" s="1">
        <ns0:f>+O550/Q550</ns0:f>
        <ns0:v/>
      </ns0:c>
      <ns0:c r="P551" s="1">
        <ns0:f>+P550/Q550</ns0:f>
        <ns0:v/>
      </ns0:c>
    </ns0:row>
    <ns0:row r="552" ht="26.25" customHeight="1">
      <ns0:c r="C552" s="1" t="inlineStr">
        <ns0:is>
          <ns0:t xml:space="preserve">Normal </ns0:t>
        </ns0:is>
      </ns0:c>
      <ns0:c r="E552" s="1" t="n">
        <ns0:v>1123</ns0:v>
      </ns0:c>
      <ns0:c r="F552" s="1">
        <ns0:f>+E552-Q552</ns0:f>
        <ns0:v/>
      </ns0:c>
      <ns0:c r="G552" s="1" t="n">
        <ns0:v>20</ns0:v>
      </ns0:c>
      <ns0:c r="H552" s="1" t="n">
        <ns0:v>1</ns0:v>
      </ns0:c>
      <ns0:c r="I552" s="1" t="n">
        <ns0:v>1</ns0:v>
      </ns0:c>
      <ns0:c r="J552" s="1" t="n">
        <ns0:v>0</ns0:v>
      </ns0:c>
      <ns0:c r="K552" s="1" t="n">
        <ns0:v>52</ns0:v>
      </ns0:c>
      <ns0:c r="L552" s="1" t="n">
        <ns0:v>78</ns0:v>
      </ns0:c>
      <ns0:c r="M552" s="1">
        <ns0:f>SUM(G552:L552)</ns0:f>
        <ns0:v/>
      </ns0:c>
      <ns0:c r="N552" s="1">
        <ns0:f>M552/E552</ns0:f>
        <ns0:v/>
      </ns0:c>
      <ns0:c r="O552" s="1" t="n">
        <ns0:v>40</ns0:v>
      </ns0:c>
      <ns0:c r="P552" s="1" t="n">
        <ns0:v>24</ns0:v>
      </ns0:c>
      <ns0:c r="Q552" s="1">
        <ns0:f>+P552+O552+J552+I552+H552+G552</ns0:f>
        <ns0:v/>
      </ns0:c>
      <ns0:c r="R552" s="1">
        <ns0:f>+Q552/E552</ns0:f>
        <ns0:v/>
      </ns0:c>
      <ns0:c r="S552" s="1" t="inlineStr">
        <ns0:is>
          <ns0:t xml:space="preserve"> Hearing voltage up 10%</ns0:t>
        </ns0:is>
      </ns0:c>
    </ns0:row>
    <ns0:row r="553" ht="26.25" customHeight="1">
      <ns0:c r="G553" s="1">
        <ns0:f>+G552/M552</ns0:f>
        <ns0:v/>
      </ns0:c>
      <ns0:c r="H553" s="1">
        <ns0:f>+H552/M552</ns0:f>
        <ns0:v/>
      </ns0:c>
      <ns0:c r="I553" s="1">
        <ns0:f>+I552/M552</ns0:f>
        <ns0:v/>
      </ns0:c>
      <ns0:c r="J553" s="1">
        <ns0:f>+J552/M552</ns0:f>
        <ns0:v/>
      </ns0:c>
      <ns0:c r="K553" s="1">
        <ns0:f>+K552/M552</ns0:f>
        <ns0:v/>
      </ns0:c>
      <ns0:c r="L553" s="1">
        <ns0:f>+L552/M552</ns0:f>
        <ns0:v/>
      </ns0:c>
      <ns0:c r="O553" s="1">
        <ns0:f>+O552/Q552</ns0:f>
        <ns0:v/>
      </ns0:c>
      <ns0:c r="P553" s="1">
        <ns0:f>+P552/Q552</ns0:f>
        <ns0:v/>
      </ns0:c>
    </ns0:row>
    <ns0:row r="554" ht="26.25" customHeight="1">
      <ns0:c r="B554" s="2" t="n">
        <ns0:v>45507</ns0:v>
      </ns0:c>
      <ns0:c r="C554" s="1" t="inlineStr">
        <ns0:is>
          <ns0:t>Frame</ns0:t>
        </ns0:is>
      </ns0:c>
      <ns0:c r="D554" s="1" t="inlineStr">
        <ns0:is>
          <ns0:t xml:space="preserve">Frame date 2024/6/26 </ns0:t>
        </ns0:is>
      </ns0:c>
      <ns0:c r="E554" s="1" t="n">
        <ns0:v>197</ns0:v>
      </ns0:c>
      <ns0:c r="F554" s="1">
        <ns0:f>+E554-Q554</ns0:f>
        <ns0:v/>
      </ns0:c>
      <ns0:c r="G554" s="1" t="n">
        <ns0:v>7</ns0:v>
      </ns0:c>
      <ns0:c r="H554" s="1" t="n">
        <ns0:v>0</ns0:v>
      </ns0:c>
      <ns0:c r="I554" s="1" t="n">
        <ns0:v>0</ns0:v>
      </ns0:c>
      <ns0:c r="J554" s="1" t="n">
        <ns0:v>0</ns0:v>
      </ns0:c>
      <ns0:c r="K554" s="1" t="n">
        <ns0:v>2</ns0:v>
      </ns0:c>
      <ns0:c r="L554" s="1" t="n">
        <ns0:v>4</ns0:v>
      </ns0:c>
      <ns0:c r="M554" s="1">
        <ns0:f>SUM(G554:L554)</ns0:f>
        <ns0:v/>
      </ns0:c>
      <ns0:c r="N554" s="1">
        <ns0:f>M554/E554</ns0:f>
        <ns0:v/>
      </ns0:c>
      <ns0:c r="O554" s="1" t="n">
        <ns0:v>3</ns0:v>
      </ns0:c>
      <ns0:c r="P554" s="1" t="n">
        <ns0:v>1</ns0:v>
      </ns0:c>
      <ns0:c r="Q554" s="1">
        <ns0:f>+P554+O554+J554+I554+H554+G554</ns0:f>
        <ns0:v/>
      </ns0:c>
      <ns0:c r="R554" s="1">
        <ns0:f>+Q554/E554</ns0:f>
        <ns0:v/>
      </ns0:c>
      <ns0:c r="S554" s="1" t="inlineStr">
        <ns0:is>
          <ns0:t xml:space="preserve"> Hearing voltage up 10%</ns0:t>
        </ns0:is>
      </ns0:c>
    </ns0:row>
    <ns0:row r="555" ht="26.25" customHeight="1">
      <ns0:c r="G555" s="1">
        <ns0:f>+G554/M554</ns0:f>
        <ns0:v/>
      </ns0:c>
      <ns0:c r="H555" s="1">
        <ns0:f>+H554/M554</ns0:f>
        <ns0:v/>
      </ns0:c>
      <ns0:c r="I555" s="1">
        <ns0:f>+I554/M554</ns0:f>
        <ns0:v/>
      </ns0:c>
      <ns0:c r="J555" s="1">
        <ns0:f>+J554/M554</ns0:f>
        <ns0:v/>
      </ns0:c>
      <ns0:c r="K555" s="1">
        <ns0:f>+K554/M554</ns0:f>
        <ns0:v/>
      </ns0:c>
      <ns0:c r="L555" s="1">
        <ns0:f>+L554/M554</ns0:f>
        <ns0:v/>
      </ns0:c>
      <ns0:c r="O555" s="1">
        <ns0:f>+O554/Q554</ns0:f>
        <ns0:v/>
      </ns0:c>
      <ns0:c r="P555" s="1">
        <ns0:f>+P554/Q554</ns0:f>
        <ns0:v/>
      </ns0:c>
    </ns0:row>
    <ns0:row r="556" ht="26.25" customHeight="1">
      <ns0:c r="D556" s="1" t="inlineStr">
        <ns0:is>
          <ns0:t>Frame 2023</ns0:t>
        </ns0:is>
      </ns0:c>
      <ns0:c r="E556" s="1" t="n">
        <ns0:v>175</ns0:v>
      </ns0:c>
      <ns0:c r="F556" s="1">
        <ns0:f>+E556-Q556</ns0:f>
        <ns0:v/>
      </ns0:c>
      <ns0:c r="G556" s="1" t="n">
        <ns0:v>0</ns0:v>
      </ns0:c>
      <ns0:c r="H556" s="1" t="n">
        <ns0:v>0</ns0:v>
      </ns0:c>
      <ns0:c r="I556" s="1" t="n">
        <ns0:v>0</ns0:v>
      </ns0:c>
      <ns0:c r="J556" s="1" t="n">
        <ns0:v>0</ns0:v>
      </ns0:c>
      <ns0:c r="K556" s="1" t="n">
        <ns0:v>2</ns0:v>
      </ns0:c>
      <ns0:c r="L556" s="1" t="n">
        <ns0:v>8</ns0:v>
      </ns0:c>
      <ns0:c r="M556" s="1">
        <ns0:f>SUM(G556:L556)</ns0:f>
        <ns0:v/>
      </ns0:c>
      <ns0:c r="N556" s="1">
        <ns0:f>M556/E556</ns0:f>
        <ns0:v/>
      </ns0:c>
      <ns0:c r="O556" s="1" t="n">
        <ns0:v>4</ns0:v>
      </ns0:c>
      <ns0:c r="P556" s="1" t="n">
        <ns0:v>4</ns0:v>
      </ns0:c>
      <ns0:c r="Q556" s="1">
        <ns0:f>+P556+O556+J556+I556+H556+G556</ns0:f>
        <ns0:v/>
      </ns0:c>
      <ns0:c r="R556" s="1">
        <ns0:f>+Q556/E556</ns0:f>
        <ns0:v/>
      </ns0:c>
      <ns0:c r="S556" s="1" t="inlineStr">
        <ns0:is>
          <ns0:t xml:space="preserve"> Hearing voltage up 10%</ns0:t>
        </ns0:is>
      </ns0:c>
    </ns0:row>
    <ns0:row r="557" ht="26.25" customHeight="1">
      <ns0:c r="G557" s="1">
        <ns0:f>+G556/M556</ns0:f>
        <ns0:v/>
      </ns0:c>
      <ns0:c r="H557" s="1">
        <ns0:f>+H556/M556</ns0:f>
        <ns0:v/>
      </ns0:c>
      <ns0:c r="I557" s="1">
        <ns0:f>+I556/M556</ns0:f>
        <ns0:v/>
      </ns0:c>
      <ns0:c r="J557" s="1">
        <ns0:f>+J556/M556</ns0:f>
        <ns0:v/>
      </ns0:c>
      <ns0:c r="K557" s="1">
        <ns0:f>+K556/M556</ns0:f>
        <ns0:v/>
      </ns0:c>
      <ns0:c r="L557" s="1">
        <ns0:f>+L556/M556</ns0:f>
        <ns0:v/>
      </ns0:c>
      <ns0:c r="O557" s="1">
        <ns0:f>+O556/Q556</ns0:f>
        <ns0:v/>
      </ns0:c>
      <ns0:c r="P557" s="1">
        <ns0:f>+P556/Q556</ns0:f>
        <ns0:v/>
      </ns0:c>
    </ns0:row>
    <ns0:row r="558" ht="26.25" customHeight="1">
      <ns0:c r="C558" s="1" t="inlineStr">
        <ns0:is>
          <ns0:t>VP+CD</ns0:t>
        </ns0:is>
      </ns0:c>
      <ns0:c r="D558" s="1" t="inlineStr">
        <ns0:is>
          <ns0:t>Old bonding line + VP+CD offset return 
( Bond amount increase )</ns0:t>
        </ns0:is>
      </ns0:c>
      <ns0:c r="E558" s="1" t="n">
        <ns0:v>720</ns0:v>
      </ns0:c>
      <ns0:c r="F558" s="1">
        <ns0:f>+E558-Q558</ns0:f>
        <ns0:v/>
      </ns0:c>
      <ns0:c r="G558" s="1" t="n">
        <ns0:v>0</ns0:v>
      </ns0:c>
      <ns0:c r="H558" s="1" t="n">
        <ns0:v>4</ns0:v>
      </ns0:c>
      <ns0:c r="I558" s="1" t="n">
        <ns0:v>2</ns0:v>
      </ns0:c>
      <ns0:c r="J558" s="1" t="n">
        <ns0:v>0</ns0:v>
      </ns0:c>
      <ns0:c r="K558" s="1" t="n">
        <ns0:v>28</ns0:v>
      </ns0:c>
      <ns0:c r="L558" s="1" t="n">
        <ns0:v>125</ns0:v>
      </ns0:c>
      <ns0:c r="M558" s="1">
        <ns0:f>SUM(G558:L558)</ns0:f>
        <ns0:v/>
      </ns0:c>
      <ns0:c r="N558" s="1">
        <ns0:f>M558/E558</ns0:f>
        <ns0:v/>
      </ns0:c>
      <ns0:c r="O558" s="1" t="n">
        <ns0:v>14</ns0:v>
      </ns0:c>
      <ns0:c r="P558" s="1" t="n">
        <ns0:v>66</ns0:v>
      </ns0:c>
      <ns0:c r="Q558" s="1">
        <ns0:f>+P558+O558+J558+I558+H558+G558</ns0:f>
        <ns0:v/>
      </ns0:c>
      <ns0:c r="R558" s="1">
        <ns0:f>+Q558/E558</ns0:f>
        <ns0:v/>
      </ns0:c>
      <ns0:c r="S558" s="1" t="inlineStr">
        <ns0:is>
          <ns0:t xml:space="preserve"> Hearing voltage up 10%</ns0:t>
        </ns0:is>
      </ns0:c>
    </ns0:row>
    <ns0:row r="559" ht="26.25" customHeight="1">
      <ns0:c r="G559" s="1">
        <ns0:f>+G558/M558</ns0:f>
        <ns0:v/>
      </ns0:c>
      <ns0:c r="H559" s="1">
        <ns0:f>+H558/M558</ns0:f>
        <ns0:v/>
      </ns0:c>
      <ns0:c r="I559" s="1">
        <ns0:f>+I558/M558</ns0:f>
        <ns0:v/>
      </ns0:c>
      <ns0:c r="J559" s="1">
        <ns0:f>+J558/M558</ns0:f>
        <ns0:v/>
      </ns0:c>
      <ns0:c r="K559" s="1">
        <ns0:f>+K558/M558</ns0:f>
        <ns0:v/>
      </ns0:c>
      <ns0:c r="L559" s="1">
        <ns0:f>+L558/M558</ns0:f>
        <ns0:v/>
      </ns0:c>
      <ns0:c r="O559" s="1">
        <ns0:f>+O558/Q558</ns0:f>
        <ns0:v/>
      </ns0:c>
      <ns0:c r="P559" s="1">
        <ns0:f>+P558/Q558</ns0:f>
        <ns0:v/>
      </ns0:c>
    </ns0:row>
    <ns0:row r="560" ht="26.25" customHeight="1">
      <ns0:c r="C560" s="1" t="inlineStr">
        <ns0:is>
          <ns0:t>Frame + VP Out side</ns0:t>
        </ns0:is>
      </ns0:c>
      <ns0:c r="D560" s="1" t="inlineStr">
        <ns0:is>
          <ns0:t>Old speed bonding + increase bond amount max</ns0:t>
        </ns0:is>
      </ns0:c>
      <ns0:c r="E560" s="1" t="n">
        <ns0:v>700</ns0:v>
      </ns0:c>
      <ns0:c r="F560" s="1">
        <ns0:f>+E560-Q560</ns0:f>
        <ns0:v/>
      </ns0:c>
      <ns0:c r="G560" s="1" t="n">
        <ns0:v>8</ns0:v>
      </ns0:c>
      <ns0:c r="H560" s="1" t="n">
        <ns0:v>2</ns0:v>
      </ns0:c>
      <ns0:c r="I560" s="1" t="n">
        <ns0:v>1</ns0:v>
      </ns0:c>
      <ns0:c r="J560" s="1" t="n">
        <ns0:v>0</ns0:v>
      </ns0:c>
      <ns0:c r="K560" s="1" t="n">
        <ns0:v>10</ns0:v>
      </ns0:c>
      <ns0:c r="L560" s="1" t="n">
        <ns0:v>41</ns0:v>
      </ns0:c>
      <ns0:c r="M560" s="1">
        <ns0:f>SUM(G560:L560)</ns0:f>
        <ns0:v/>
      </ns0:c>
      <ns0:c r="N560" s="1">
        <ns0:f>M560/E560</ns0:f>
        <ns0:v/>
      </ns0:c>
      <ns0:c r="O560" s="1" t="n">
        <ns0:v>9</ns0:v>
      </ns0:c>
      <ns0:c r="P560" s="1" t="n">
        <ns0:v>12</ns0:v>
      </ns0:c>
      <ns0:c r="Q560" s="1">
        <ns0:f>+P560+O560+J560+I560+H560+G560</ns0:f>
        <ns0:v/>
      </ns0:c>
      <ns0:c r="R560" s="1">
        <ns0:f>+Q560/E560</ns0:f>
        <ns0:v/>
      </ns0:c>
      <ns0:c r="S560" s="1" t="inlineStr">
        <ns0:is>
          <ns0:t xml:space="preserve"> Hearing voltage up 10%</ns0:t>
        </ns0:is>
      </ns0:c>
    </ns0:row>
    <ns0:row r="561" ht="26.25" customHeight="1">
      <ns0:c r="G561" s="1">
        <ns0:f>+G560/M560</ns0:f>
        <ns0:v/>
      </ns0:c>
      <ns0:c r="H561" s="1">
        <ns0:f>+H560/M560</ns0:f>
        <ns0:v/>
      </ns0:c>
      <ns0:c r="I561" s="1">
        <ns0:f>+I560/M560</ns0:f>
        <ns0:v/>
      </ns0:c>
      <ns0:c r="J561" s="1">
        <ns0:f>+J560/M560</ns0:f>
        <ns0:v/>
      </ns0:c>
      <ns0:c r="K561" s="1">
        <ns0:f>+K560/M560</ns0:f>
        <ns0:v/>
      </ns0:c>
      <ns0:c r="L561" s="1">
        <ns0:f>+L560/M560</ns0:f>
        <ns0:v/>
      </ns0:c>
      <ns0:c r="O561" s="1">
        <ns0:f>+O560/Q560</ns0:f>
        <ns0:v/>
      </ns0:c>
      <ns0:c r="P561" s="1">
        <ns0:f>+P560/Q560</ns0:f>
        <ns0:v/>
      </ns0:c>
    </ns0:row>
    <ns0:row r="562" ht="26.25" customHeight="1">
      <ns0:c r="B562" s="2" t="n">
        <ns0:v>45507</ns0:v>
      </ns0:c>
      <ns0:c r="C562" s="1" t="inlineStr">
        <ns0:is>
          <ns0:t>VP Before clean 
(Same mold and same lot film)</ns0:t>
        </ns0:is>
      </ns0:c>
      <ns0:c r="D562" s="1" t="inlineStr">
        <ns0:is>
          <ns0:t>Normal</ns0:t>
        </ns0:is>
      </ns0:c>
      <ns0:c r="E562" s="1" t="n">
        <ns0:v>200</ns0:v>
      </ns0:c>
      <ns0:c r="F562" s="1">
        <ns0:f>+E562-Q562</ns0:f>
        <ns0:v/>
      </ns0:c>
      <ns0:c r="G562" s="1" t="n">
        <ns0:v>0</ns0:v>
      </ns0:c>
      <ns0:c r="H562" s="1" t="n">
        <ns0:v>0</ns0:v>
      </ns0:c>
      <ns0:c r="I562" s="1" t="n">
        <ns0:v>1</ns0:v>
      </ns0:c>
      <ns0:c r="J562" s="1" t="n">
        <ns0:v>0</ns0:v>
      </ns0:c>
      <ns0:c r="K562" s="1" t="n">
        <ns0:v>3</ns0:v>
      </ns0:c>
      <ns0:c r="L562" s="1" t="n">
        <ns0:v>34</ns0:v>
      </ns0:c>
      <ns0:c r="M562" s="1">
        <ns0:f>SUM(G562:L562)</ns0:f>
        <ns0:v/>
      </ns0:c>
      <ns0:c r="N562" s="1">
        <ns0:f>M562/E562</ns0:f>
        <ns0:v/>
      </ns0:c>
      <ns0:c r="O562" s="1" t="n">
        <ns0:v>3</ns0:v>
      </ns0:c>
      <ns0:c r="P562" s="1" t="n">
        <ns0:v>12</ns0:v>
      </ns0:c>
      <ns0:c r="Q562" s="1">
        <ns0:f>+P562+O562+J562+I562+H562+G562</ns0:f>
        <ns0:v/>
      </ns0:c>
      <ns0:c r="R562" s="1">
        <ns0:f>+Q562/E562</ns0:f>
        <ns0:v/>
      </ns0:c>
      <ns0:c r="S562" s="1" t="inlineStr">
        <ns0:is>
          <ns0:t>VP+CD Old bonding Line ( move inside 0.1)</ns0:t>
        </ns0:is>
      </ns0:c>
    </ns0:row>
    <ns0:row r="563" ht="26.25" customHeight="1">
      <ns0:c r="G563" s="1">
        <ns0:f>+G562/M562</ns0:f>
        <ns0:v/>
      </ns0:c>
      <ns0:c r="H563" s="1">
        <ns0:f>+H562/M562</ns0:f>
        <ns0:v/>
      </ns0:c>
      <ns0:c r="I563" s="1">
        <ns0:f>+I562/M562</ns0:f>
        <ns0:v/>
      </ns0:c>
      <ns0:c r="J563" s="1">
        <ns0:f>+J562/M562</ns0:f>
        <ns0:v/>
      </ns0:c>
      <ns0:c r="K563" s="1">
        <ns0:f>+K562/M562</ns0:f>
        <ns0:v/>
      </ns0:c>
      <ns0:c r="L563" s="1">
        <ns0:f>+L562/M562</ns0:f>
        <ns0:v/>
      </ns0:c>
      <ns0:c r="O563" s="1">
        <ns0:f>+O562/Q562</ns0:f>
        <ns0:v/>
      </ns0:c>
      <ns0:c r="P563" s="1">
        <ns0:f>+P562/Q562</ns0:f>
        <ns0:v/>
      </ns0:c>
    </ns0:row>
    <ns0:row r="564" ht="26.25" customHeight="1">
      <ns0:c r="B564" s="2" t="n">
        <ns0:v>45510</ns0:v>
      </ns0:c>
      <ns0:c r="D564" s="1" t="inlineStr">
        <ns0:is>
          <ns0:t>Keep 2day</ns0:t>
        </ns0:is>
      </ns0:c>
      <ns0:c r="E564" s="1" t="n">
        <ns0:v>199</ns0:v>
      </ns0:c>
      <ns0:c r="F564" s="1">
        <ns0:f>+E564-Q564</ns0:f>
        <ns0:v/>
      </ns0:c>
      <ns0:c r="G564" s="1" t="n">
        <ns0:v>1</ns0:v>
      </ns0:c>
      <ns0:c r="H564" s="1" t="n">
        <ns0:v>0</ns0:v>
      </ns0:c>
      <ns0:c r="I564" s="1" t="n">
        <ns0:v>0</ns0:v>
      </ns0:c>
      <ns0:c r="J564" s="1" t="n">
        <ns0:v>0</ns0:v>
      </ns0:c>
      <ns0:c r="K564" s="1" t="n">
        <ns0:v>3</ns0:v>
      </ns0:c>
      <ns0:c r="L564" s="1" t="n">
        <ns0:v>6</ns0:v>
      </ns0:c>
      <ns0:c r="M564" s="1">
        <ns0:f>SUM(G564:L564)</ns0:f>
        <ns0:v/>
      </ns0:c>
      <ns0:c r="N564" s="1">
        <ns0:f>M564/E564</ns0:f>
        <ns0:v/>
      </ns0:c>
      <ns0:c r="O564" s="1" t="n">
        <ns0:v>2</ns0:v>
      </ns0:c>
      <ns0:c r="P564" s="1" t="n">
        <ns0:v>3</ns0:v>
      </ns0:c>
      <ns0:c r="Q564" s="1">
        <ns0:f>+P564+O564+J564+I564+H564+G564</ns0:f>
        <ns0:v/>
      </ns0:c>
      <ns0:c r="R564" s="1">
        <ns0:f>+Q564/E564</ns0:f>
        <ns0:v/>
      </ns0:c>
      <ns0:c r="S564" s="1" t="inlineStr">
        <ns0:is>
          <ns0:t>VP+CD Old bonding Line ( move inside 0.1)</ns0:t>
        </ns0:is>
      </ns0:c>
      <ns0:c r="U564" s="1" t="inlineStr">
        <ns0:is>
          <ns0:t>Frame PT lot 57K V07-G2</ns0:t>
        </ns0:is>
      </ns0:c>
    </ns0:row>
    <ns0:row r="565" ht="26.25" customHeight="1">
      <ns0:c r="G565" s="1">
        <ns0:f>+G564/M564</ns0:f>
        <ns0:v/>
      </ns0:c>
      <ns0:c r="H565" s="1">
        <ns0:f>+H564/M564</ns0:f>
        <ns0:v/>
      </ns0:c>
      <ns0:c r="I565" s="1">
        <ns0:f>+I564/M564</ns0:f>
        <ns0:v/>
      </ns0:c>
      <ns0:c r="J565" s="1">
        <ns0:f>+J564/M564</ns0:f>
        <ns0:v/>
      </ns0:c>
      <ns0:c r="K565" s="1">
        <ns0:f>+K564/M564</ns0:f>
        <ns0:v/>
      </ns0:c>
      <ns0:c r="L565" s="1">
        <ns0:f>+L564/M564</ns0:f>
        <ns0:v/>
      </ns0:c>
      <ns0:c r="O565" s="1">
        <ns0:f>+O564/Q564</ns0:f>
        <ns0:v/>
      </ns0:c>
      <ns0:c r="P565" s="1">
        <ns0:f>+P564/Q564</ns0:f>
        <ns0:v/>
      </ns0:c>
    </ns0:row>
    <ns0:row r="566" ht="26.25" customHeight="1">
      <ns0:c r="B566" s="2" t="n">
        <ns0:v>45509</ns0:v>
      </ns0:c>
      <ns0:c r="C566" s="1" t="inlineStr">
        <ns0:is>
          <ns0:t>VP After clean
(Same mold and same lot film)</ns0:t>
        </ns0:is>
      </ns0:c>
      <ns0:c r="D566" s="1" t="inlineStr">
        <ns0:is>
          <ns0:t>VP (After 5 times run with no film=&gt; make VP)</ns0:t>
        </ns0:is>
      </ns0:c>
      <ns0:c r="E566" s="1" t="n">
        <ns0:v>198</ns0:v>
      </ns0:c>
      <ns0:c r="F566" s="1">
        <ns0:f>+E566-Q566</ns0:f>
        <ns0:v/>
      </ns0:c>
      <ns0:c r="G566" s="1" t="n">
        <ns0:v>0</ns0:v>
      </ns0:c>
      <ns0:c r="H566" s="1" t="n">
        <ns0:v>0</ns0:v>
      </ns0:c>
      <ns0:c r="I566" s="1" t="n">
        <ns0:v>0</ns0:v>
      </ns0:c>
      <ns0:c r="J566" s="1" t="n">
        <ns0:v>0</ns0:v>
      </ns0:c>
      <ns0:c r="K566" s="1" t="n">
        <ns0:v>1</ns0:v>
      </ns0:c>
      <ns0:c r="L566" s="1" t="n">
        <ns0:v>9</ns0:v>
      </ns0:c>
      <ns0:c r="M566" s="1">
        <ns0:f>SUM(G566:L566)</ns0:f>
        <ns0:v/>
      </ns0:c>
      <ns0:c r="N566" s="1">
        <ns0:f>M566/E566</ns0:f>
        <ns0:v/>
      </ns0:c>
      <ns0:c r="O566" s="1" t="n">
        <ns0:v>1</ns0:v>
      </ns0:c>
      <ns0:c r="P566" s="1" t="n">
        <ns0:v>8</ns0:v>
      </ns0:c>
      <ns0:c r="Q566" s="1">
        <ns0:f>+P566+O566+J566+I566+H566+G566</ns0:f>
        <ns0:v/>
      </ns0:c>
      <ns0:c r="R566" s="1">
        <ns0:f>+Q566/E566</ns0:f>
        <ns0:v/>
      </ns0:c>
      <ns0:c r="S566" s="1" t="inlineStr">
        <ns0:is>
          <ns0:t>VP+CD Old bonding Line ( move inside 0.1)</ns0:t>
        </ns0:is>
      </ns0:c>
      <ns0:c r="U566" s="1" t="inlineStr">
        <ns0:is>
          <ns0:t>Frame V07-G2 (31/7)</ns0:t>
        </ns0:is>
      </ns0:c>
      <ns0:c r="V566" s="1" t="inlineStr">
        <ns0:is>
          <ns0:t>VP 240710098-00001 (2/8)</ns0:t>
        </ns0:is>
      </ns0:c>
    </ns0:row>
    <ns0:row r="567" ht="26.25" customHeight="1">
      <ns0:c r="G567" s="1">
        <ns0:f>+G566/M566</ns0:f>
        <ns0:v/>
      </ns0:c>
      <ns0:c r="H567" s="1">
        <ns0:f>+H566/M566</ns0:f>
        <ns0:v/>
      </ns0:c>
      <ns0:c r="I567" s="1">
        <ns0:f>+I566/M566</ns0:f>
        <ns0:v/>
      </ns0:c>
      <ns0:c r="J567" s="1">
        <ns0:f>+J566/M566</ns0:f>
        <ns0:v/>
      </ns0:c>
      <ns0:c r="K567" s="1">
        <ns0:f>+K566/M566</ns0:f>
        <ns0:v/>
      </ns0:c>
      <ns0:c r="L567" s="1">
        <ns0:f>+L566/M566</ns0:f>
        <ns0:v/>
      </ns0:c>
      <ns0:c r="O567" s="1">
        <ns0:f>+O566/Q566</ns0:f>
        <ns0:v/>
      </ns0:c>
      <ns0:c r="P567" s="1">
        <ns0:f>+P566/Q566</ns0:f>
        <ns0:v/>
      </ns0:c>
    </ns0:row>
    <ns0:row r="568" ht="26.25" customHeight="1">
      <ns0:c r="D568" s="1" t="inlineStr">
        <ns0:is>
          <ns0:t>VP (After 10 times run with no film=&gt; make VP)</ns0:t>
        </ns0:is>
      </ns0:c>
      <ns0:c r="E568" s="1" t="n">
        <ns0:v>195</ns0:v>
      </ns0:c>
      <ns0:c r="F568" s="1">
        <ns0:f>+E568-Q568</ns0:f>
        <ns0:v/>
      </ns0:c>
      <ns0:c r="G568" s="1" t="n">
        <ns0:v>0</ns0:v>
      </ns0:c>
      <ns0:c r="H568" s="1" t="n">
        <ns0:v>0</ns0:v>
      </ns0:c>
      <ns0:c r="I568" s="1" t="n">
        <ns0:v>0</ns0:v>
      </ns0:c>
      <ns0:c r="J568" s="1" t="n">
        <ns0:v>0</ns0:v>
      </ns0:c>
      <ns0:c r="K568" s="1" t="n">
        <ns0:v>1</ns0:v>
      </ns0:c>
      <ns0:c r="L568" s="1" t="n">
        <ns0:v>12</ns0:v>
      </ns0:c>
      <ns0:c r="M568" s="1">
        <ns0:f>SUM(G568:L568)</ns0:f>
        <ns0:v/>
      </ns0:c>
      <ns0:c r="N568" s="1">
        <ns0:f>M568/E568</ns0:f>
        <ns0:v/>
      </ns0:c>
      <ns0:c r="O568" s="1" t="n">
        <ns0:v>1</ns0:v>
      </ns0:c>
      <ns0:c r="P568" s="1" t="n">
        <ns0:v>8</ns0:v>
      </ns0:c>
      <ns0:c r="Q568" s="1">
        <ns0:f>+P568+O568+J568+I568+H568+G568</ns0:f>
        <ns0:v/>
      </ns0:c>
      <ns0:c r="R568" s="1">
        <ns0:f>+Q568/E568</ns0:f>
        <ns0:v/>
      </ns0:c>
      <ns0:c r="S568" s="1" t="inlineStr">
        <ns0:is>
          <ns0:t>VP+CD Old bonding Line ( move inside 0.1)</ns0:t>
        </ns0:is>
      </ns0:c>
      <ns0:c r="U568" s="1" t="inlineStr">
        <ns0:is>
          <ns0:t>Frame V34-K1 (2/8)</ns0:t>
        </ns0:is>
      </ns0:c>
      <ns0:c r="V568" s="1" t="inlineStr">
        <ns0:is>
          <ns0:t>VP 240710098-00001 (2/8)</ns0:t>
        </ns0:is>
      </ns0:c>
    </ns0:row>
    <ns0:row r="569" ht="26.25" customHeight="1">
      <ns0:c r="G569" s="1">
        <ns0:f>+G568/M568</ns0:f>
        <ns0:v/>
      </ns0:c>
      <ns0:c r="H569" s="1">
        <ns0:f>+H568/M568</ns0:f>
        <ns0:v/>
      </ns0:c>
      <ns0:c r="I569" s="1">
        <ns0:f>+I568/M568</ns0:f>
        <ns0:v/>
      </ns0:c>
      <ns0:c r="J569" s="1">
        <ns0:f>+J568/M568</ns0:f>
        <ns0:v/>
      </ns0:c>
      <ns0:c r="K569" s="1">
        <ns0:f>+K568/M568</ns0:f>
        <ns0:v/>
      </ns0:c>
      <ns0:c r="L569" s="1">
        <ns0:f>+L568/M568</ns0:f>
        <ns0:v/>
      </ns0:c>
      <ns0:c r="O569" s="1">
        <ns0:f>+O568/Q568</ns0:f>
        <ns0:v/>
      </ns0:c>
      <ns0:c r="P569" s="1">
        <ns0:f>+P568/Q568</ns0:f>
        <ns0:v/>
      </ns0:c>
    </ns0:row>
    <ns0:row r="570" ht="26.25" customHeight="1">
      <ns0:c r="B570" s="2" t="n">
        <ns0:v>45510</ns0:v>
      </ns0:c>
      <ns0:c r="D570" s="1" t="inlineStr">
        <ns0:is>
          <ns0:t>Keep 2day</ns0:t>
        </ns0:is>
      </ns0:c>
      <ns0:c r="E570" s="1" t="n">
        <ns0:v>199</ns0:v>
      </ns0:c>
      <ns0:c r="F570" s="1" t="n">
        <ns0:v>199</ns0:v>
      </ns0:c>
      <ns0:c r="G570" s="1" t="n">
        <ns0:v>0</ns0:v>
      </ns0:c>
      <ns0:c r="H570" s="1" t="n">
        <ns0:v>0</ns0:v>
      </ns0:c>
      <ns0:c r="I570" s="1" t="n">
        <ns0:v>2</ns0:v>
      </ns0:c>
      <ns0:c r="J570" s="1" t="n">
        <ns0:v>0</ns0:v>
      </ns0:c>
      <ns0:c r="K570" s="1" t="n">
        <ns0:v>3</ns0:v>
      </ns0:c>
      <ns0:c r="L570" s="1" t="n">
        <ns0:v>12</ns0:v>
      </ns0:c>
      <ns0:c r="M570" s="1">
        <ns0:f>SUM(G570:L570)</ns0:f>
        <ns0:v/>
      </ns0:c>
      <ns0:c r="N570" s="1">
        <ns0:f>M570/E570</ns0:f>
        <ns0:v/>
      </ns0:c>
      <ns0:c r="O570" s="1" t="n">
        <ns0:v>3</ns0:v>
      </ns0:c>
      <ns0:c r="P570" s="1" t="n">
        <ns0:v>5</ns0:v>
      </ns0:c>
      <ns0:c r="Q570" s="1">
        <ns0:f>+P570+O570+J570+I570+H570+G570</ns0:f>
        <ns0:v/>
      </ns0:c>
      <ns0:c r="R570" s="1">
        <ns0:f>+Q570/E570</ns0:f>
        <ns0:v/>
      </ns0:c>
      <ns0:c r="S570" s="1" t="inlineStr">
        <ns0:is>
          <ns0:t>VP+CD Old bonding Line ( move inside 0.1)</ns0:t>
        </ns0:is>
      </ns0:c>
      <ns0:c r="U570" s="1" t="inlineStr">
        <ns0:is>
          <ns0:t>Frame PT lot 57K V07-G2</ns0:t>
        </ns0:is>
      </ns0:c>
    </ns0:row>
    <ns0:row r="571" ht="26.25" customHeight="1">
      <ns0:c r="G571" s="1">
        <ns0:f>+G570/M570</ns0:f>
        <ns0:v/>
      </ns0:c>
      <ns0:c r="H571" s="1">
        <ns0:f>+H570/M570</ns0:f>
        <ns0:v/>
      </ns0:c>
      <ns0:c r="I571" s="1">
        <ns0:f>+I570/M570</ns0:f>
        <ns0:v/>
      </ns0:c>
      <ns0:c r="J571" s="1">
        <ns0:f>+J570/M570</ns0:f>
        <ns0:v/>
      </ns0:c>
      <ns0:c r="K571" s="1">
        <ns0:f>+K570/M570</ns0:f>
        <ns0:v/>
      </ns0:c>
      <ns0:c r="L571" s="1">
        <ns0:f>+L570/M570</ns0:f>
        <ns0:v/>
      </ns0:c>
      <ns0:c r="O571" s="1">
        <ns0:f>+O570/Q570</ns0:f>
        <ns0:v/>
      </ns0:c>
      <ns0:c r="P571" s="1">
        <ns0:f>+P570/Q570</ns0:f>
        <ns0:v/>
      </ns0:c>
    </ns0:row>
    <ns0:row r="572" ht="26.25" customHeight="1">
      <ns0:c r="B572" s="2" t="n">
        <ns0:v>45507</ns0:v>
      </ns0:c>
      <ns0:c r="C572" s="1" t="inlineStr">
        <ns0:is>
          <ns0:t>Frame NG dimension</ns0:t>
        </ns0:is>
      </ns0:c>
      <ns0:c r="D572" s="1" t="inlineStr">
        <ns0:is>
          <ns0:t xml:space="preserve"> PT Lot 57K NG dimension</ns0:t>
        </ns0:is>
      </ns0:c>
      <ns0:c r="E572" s="1" t="n">
        <ns0:v>510</ns0:v>
      </ns0:c>
      <ns0:c r="F572" s="1">
        <ns0:f>+E572-Q572</ns0:f>
        <ns0:v/>
      </ns0:c>
      <ns0:c r="G572" s="1" t="n">
        <ns0:v>0</ns0:v>
      </ns0:c>
      <ns0:c r="H572" s="1" t="n">
        <ns0:v>0</ns0:v>
      </ns0:c>
      <ns0:c r="I572" s="1" t="n">
        <ns0:v>1</ns0:v>
      </ns0:c>
      <ns0:c r="J572" s="1" t="n">
        <ns0:v>0</ns0:v>
      </ns0:c>
      <ns0:c r="K572" s="1" t="n">
        <ns0:v>74</ns0:v>
      </ns0:c>
      <ns0:c r="L572" s="1" t="n">
        <ns0:v>13</ns0:v>
      </ns0:c>
      <ns0:c r="M572" s="1">
        <ns0:f>SUM(G572:L572)</ns0:f>
        <ns0:v/>
      </ns0:c>
      <ns0:c r="N572" s="1">
        <ns0:f>M572/E572</ns0:f>
        <ns0:v/>
      </ns0:c>
      <ns0:c r="O572" s="1" t="n">
        <ns0:v>9</ns0:v>
      </ns0:c>
      <ns0:c r="P572" s="1" t="n">
        <ns0:v>53</ns0:v>
      </ns0:c>
      <ns0:c r="Q572" s="1">
        <ns0:f>+P572+O572+J572+I572+H572+G572</ns0:f>
        <ns0:v/>
      </ns0:c>
      <ns0:c r="R572" s="1">
        <ns0:f>+Q572/E572</ns0:f>
        <ns0:v/>
      </ns0:c>
      <ns0:c r="S572" s="1" t="inlineStr">
        <ns0:is>
          <ns0:t xml:space="preserve"> Hearing voltage up 10%</ns0:t>
        </ns0:is>
      </ns0:c>
    </ns0:row>
    <ns0:row r="573" ht="26.25" customHeight="1">
      <ns0:c r="G573" s="1">
        <ns0:f>+G572/M572</ns0:f>
        <ns0:v/>
      </ns0:c>
      <ns0:c r="H573" s="1">
        <ns0:f>+H572/M572</ns0:f>
        <ns0:v/>
      </ns0:c>
      <ns0:c r="I573" s="1">
        <ns0:f>+I572/M572</ns0:f>
        <ns0:v/>
      </ns0:c>
      <ns0:c r="J573" s="1">
        <ns0:f>+J572/M572</ns0:f>
        <ns0:v/>
      </ns0:c>
      <ns0:c r="K573" s="1">
        <ns0:f>+K572/M572</ns0:f>
        <ns0:v/>
      </ns0:c>
      <ns0:c r="L573" s="1">
        <ns0:f>+L572/M572</ns0:f>
        <ns0:v/>
      </ns0:c>
      <ns0:c r="O573" s="1">
        <ns0:f>+O572/Q572</ns0:f>
        <ns0:v/>
      </ns0:c>
      <ns0:c r="P573" s="1">
        <ns0:f>+P572/Q572</ns0:f>
        <ns0:v/>
      </ns0:c>
    </ns0:row>
    <ns0:row r="574" ht="26.25" customHeight="1">
      <ns0:c r="D574" s="1" t="inlineStr">
        <ns0:is>
          <ns0:t>PT Lot 75K</ns0:t>
        </ns0:is>
      </ns0:c>
      <ns0:c r="E574" s="1" t="n">
        <ns0:v>990</ns0:v>
      </ns0:c>
      <ns0:c r="F574" s="1">
        <ns0:f>+E574-Q574</ns0:f>
        <ns0:v/>
      </ns0:c>
      <ns0:c r="G574" s="1" t="n">
        <ns0:v>0</ns0:v>
      </ns0:c>
      <ns0:c r="H574" s="1" t="n">
        <ns0:v>2</ns0:v>
      </ns0:c>
      <ns0:c r="I574" s="1" t="n">
        <ns0:v>0</ns0:v>
      </ns0:c>
      <ns0:c r="J574" s="1" t="n">
        <ns0:v>0</ns0:v>
      </ns0:c>
      <ns0:c r="K574" s="1" t="n">
        <ns0:v>64</ns0:v>
      </ns0:c>
      <ns0:c r="L574" s="1" t="n">
        <ns0:v>97</ns0:v>
      </ns0:c>
      <ns0:c r="M574" s="1">
        <ns0:f>SUM(G574:L574)</ns0:f>
        <ns0:v/>
      </ns0:c>
      <ns0:c r="N574" s="1">
        <ns0:f>M574/E574</ns0:f>
        <ns0:v/>
      </ns0:c>
      <ns0:c r="O574" s="1" t="n">
        <ns0:v>20</ns0:v>
      </ns0:c>
      <ns0:c r="P574" s="1" t="n">
        <ns0:v>52</ns0:v>
      </ns0:c>
      <ns0:c r="Q574" s="1">
        <ns0:f>+P574+O574+J574+I574+H574+G574</ns0:f>
        <ns0:v/>
      </ns0:c>
      <ns0:c r="R574" s="1">
        <ns0:f>+Q574/E574</ns0:f>
        <ns0:v/>
      </ns0:c>
      <ns0:c r="S574" s="1" t="inlineStr">
        <ns0:is>
          <ns0:t xml:space="preserve"> Hearing voltage up 10%</ns0:t>
        </ns0:is>
      </ns0:c>
    </ns0:row>
    <ns0:row r="575" ht="26.25" customHeight="1">
      <ns0:c r="G575" s="1">
        <ns0:f>+G574/M574</ns0:f>
        <ns0:v/>
      </ns0:c>
      <ns0:c r="H575" s="1">
        <ns0:f>+H574/M574</ns0:f>
        <ns0:v/>
      </ns0:c>
      <ns0:c r="I575" s="1">
        <ns0:f>+I574/M574</ns0:f>
        <ns0:v/>
      </ns0:c>
      <ns0:c r="J575" s="1">
        <ns0:f>+J574/M574</ns0:f>
        <ns0:v/>
      </ns0:c>
      <ns0:c r="K575" s="1">
        <ns0:f>+K574/M574</ns0:f>
        <ns0:v/>
      </ns0:c>
      <ns0:c r="L575" s="1">
        <ns0:f>+L574/M574</ns0:f>
        <ns0:v/>
      </ns0:c>
      <ns0:c r="O575" s="1">
        <ns0:f>+O574/Q574</ns0:f>
        <ns0:v/>
      </ns0:c>
      <ns0:c r="P575" s="1">
        <ns0:f>+P574/Q574</ns0:f>
        <ns0:v/>
      </ns0:c>
    </ns0:row>
    <ns0:row r="576" ht="26.25" customHeight="1">
      <ns0:c r="D576" s="1" t="inlineStr">
        <ns0:is>
          <ns0:t>PT Lot 33K</ns0:t>
        </ns0:is>
      </ns0:c>
      <ns0:c r="E576" s="1" t="n">
        <ns0:v>981</ns0:v>
      </ns0:c>
      <ns0:c r="F576" s="1">
        <ns0:f>+E576-Q576</ns0:f>
        <ns0:v/>
      </ns0:c>
      <ns0:c r="G576" s="1" t="n">
        <ns0:v>0</ns0:v>
      </ns0:c>
      <ns0:c r="H576" s="1" t="n">
        <ns0:v>2</ns0:v>
      </ns0:c>
      <ns0:c r="I576" s="1" t="n">
        <ns0:v>3</ns0:v>
      </ns0:c>
      <ns0:c r="J576" s="1" t="n">
        <ns0:v>0</ns0:v>
      </ns0:c>
      <ns0:c r="K576" s="1" t="n">
        <ns0:v>10</ns0:v>
      </ns0:c>
      <ns0:c r="L576" s="1" t="n">
        <ns0:v>120</ns0:v>
      </ns0:c>
      <ns0:c r="M576" s="1">
        <ns0:f>SUM(G576:L576)</ns0:f>
        <ns0:v/>
      </ns0:c>
      <ns0:c r="N576" s="1">
        <ns0:f>M576/E576</ns0:f>
        <ns0:v/>
      </ns0:c>
      <ns0:c r="O576" s="1" t="n">
        <ns0:v>4</ns0:v>
      </ns0:c>
      <ns0:c r="P576" s="1" t="n">
        <ns0:v>93</ns0:v>
      </ns0:c>
      <ns0:c r="Q576" s="1">
        <ns0:f>+P576+O576+J576+I576+H576+G576</ns0:f>
        <ns0:v/>
      </ns0:c>
      <ns0:c r="R576" s="1">
        <ns0:f>+Q576/E576</ns0:f>
        <ns0:v/>
      </ns0:c>
      <ns0:c r="S576" s="1" t="inlineStr">
        <ns0:is>
          <ns0:t xml:space="preserve"> Hearing voltage up 10%</ns0:t>
        </ns0:is>
      </ns0:c>
    </ns0:row>
    <ns0:row r="577" ht="26.25" customHeight="1">
      <ns0:c r="G577" s="1">
        <ns0:f>+G576/M576</ns0:f>
        <ns0:v/>
      </ns0:c>
      <ns0:c r="H577" s="1">
        <ns0:f>+H576/M576</ns0:f>
        <ns0:v/>
      </ns0:c>
      <ns0:c r="I577" s="1">
        <ns0:f>+I576/M576</ns0:f>
        <ns0:v/>
      </ns0:c>
      <ns0:c r="J577" s="1">
        <ns0:f>+J576/M576</ns0:f>
        <ns0:v/>
      </ns0:c>
      <ns0:c r="K577" s="1">
        <ns0:f>+K576/M576</ns0:f>
        <ns0:v/>
      </ns0:c>
      <ns0:c r="L577" s="1">
        <ns0:f>+L576/M576</ns0:f>
        <ns0:v/>
      </ns0:c>
      <ns0:c r="O577" s="1">
        <ns0:f>+O576/Q576</ns0:f>
        <ns0:v/>
      </ns0:c>
      <ns0:c r="P577" s="1">
        <ns0:f>+P576/Q576</ns0:f>
        <ns0:v/>
      </ns0:c>
    </ns0:row>
    <ns0:row r="578" ht="26.25" customHeight="1">
      <ns0:c r="B578" s="2" t="n">
        <ns0:v>45511</ns0:v>
      </ns0:c>
      <ns0:c r="C578" s="1" t="inlineStr">
        <ns0:is>
          <ns0:t>VP+CD</ns0:t>
        </ns0:is>
      </ns0:c>
      <ns0:c r="D578" s="1" t="inlineStr">
        <ns0:is>
          <ns0:t xml:space="preserve"> VP bonding Point 5,6,9 and 15,16,19 move 0.15</ns0:t>
        </ns0:is>
      </ns0:c>
      <ns0:c r="E578" s="1" t="n">
        <ns0:v>160</ns0:v>
      </ns0:c>
      <ns0:c r="F578" s="1">
        <ns0:f>+E578-Q578</ns0:f>
        <ns0:v/>
      </ns0:c>
      <ns0:c r="G578" s="1" t="n">
        <ns0:v>0</ns0:v>
      </ns0:c>
      <ns0:c r="H578" s="1" t="n">
        <ns0:v>0</ns0:v>
      </ns0:c>
      <ns0:c r="I578" s="1" t="n">
        <ns0:v>0</ns0:v>
      </ns0:c>
      <ns0:c r="J578" s="1" t="n">
        <ns0:v>0</ns0:v>
      </ns0:c>
      <ns0:c r="K578" s="1" t="n">
        <ns0:v>2</ns0:v>
      </ns0:c>
      <ns0:c r="L578" s="1" t="n">
        <ns0:v>6</ns0:v>
      </ns0:c>
      <ns0:c r="M578" s="1">
        <ns0:f>SUM(G578:L578)</ns0:f>
        <ns0:v/>
      </ns0:c>
      <ns0:c r="N578" s="1">
        <ns0:f>M578/E578</ns0:f>
        <ns0:v/>
      </ns0:c>
      <ns0:c r="O578" s="1" t="n">
        <ns0:v>2</ns0:v>
      </ns0:c>
      <ns0:c r="P578" s="1" t="n">
        <ns0:v>1</ns0:v>
      </ns0:c>
      <ns0:c r="Q578" s="1">
        <ns0:f>+P578+O578+J578+I578+H578+G578</ns0:f>
        <ns0:v/>
      </ns0:c>
      <ns0:c r="R578" s="1">
        <ns0:f>+Q578/E578</ns0:f>
        <ns0:v/>
      </ns0:c>
    </ns0:row>
    <ns0:row r="579" ht="26.25" customHeight="1">
      <ns0:c r="G579" s="1">
        <ns0:f>+G578/M578</ns0:f>
        <ns0:v/>
      </ns0:c>
      <ns0:c r="H579" s="1">
        <ns0:f>+H578/M578</ns0:f>
        <ns0:v/>
      </ns0:c>
      <ns0:c r="I579" s="1">
        <ns0:f>+I578/M578</ns0:f>
        <ns0:v/>
      </ns0:c>
      <ns0:c r="J579" s="1">
        <ns0:f>+J578/M578</ns0:f>
        <ns0:v/>
      </ns0:c>
      <ns0:c r="K579" s="1">
        <ns0:f>+K578/M578</ns0:f>
        <ns0:v/>
      </ns0:c>
      <ns0:c r="L579" s="1">
        <ns0:f>+L578/M578</ns0:f>
        <ns0:v/>
      </ns0:c>
      <ns0:c r="O579" s="1">
        <ns0:f>+O578/Q578</ns0:f>
        <ns0:v/>
      </ns0:c>
      <ns0:c r="P579" s="1">
        <ns0:f>+P578/Q578</ns0:f>
        <ns0:v/>
      </ns0:c>
    </ns0:row>
    <ns0:row r="580" ht="26.25" customHeight="1">
      <ns0:c r="D580" s="1" t="inlineStr">
        <ns0:is>
          <ns0:t xml:space="preserve"> VP bonding Point 7,8 and 17,18 move 0.15</ns0:t>
        </ns0:is>
      </ns0:c>
      <ns0:c r="E580" s="1" t="n">
        <ns0:v>159</ns0:v>
      </ns0:c>
      <ns0:c r="F580" s="1">
        <ns0:f>+E580-Q580</ns0:f>
        <ns0:v/>
      </ns0:c>
      <ns0:c r="G580" s="1" t="n">
        <ns0:v>0</ns0:v>
      </ns0:c>
      <ns0:c r="H580" s="1" t="n">
        <ns0:v>0</ns0:v>
      </ns0:c>
      <ns0:c r="I580" s="1" t="n">
        <ns0:v>0</ns0:v>
      </ns0:c>
      <ns0:c r="J580" s="1" t="n">
        <ns0:v>0</ns0:v>
      </ns0:c>
      <ns0:c r="K580" s="1" t="n">
        <ns0:v>2</ns0:v>
      </ns0:c>
      <ns0:c r="L580" s="1" t="n">
        <ns0:v>15</ns0:v>
      </ns0:c>
      <ns0:c r="M580" s="1">
        <ns0:f>SUM(G580:L580)</ns0:f>
        <ns0:v/>
      </ns0:c>
      <ns0:c r="N580" s="1">
        <ns0:f>M580/E580</ns0:f>
        <ns0:v/>
      </ns0:c>
      <ns0:c r="O580" s="1" t="n">
        <ns0:v>1</ns0:v>
      </ns0:c>
      <ns0:c r="P580" s="1" t="n">
        <ns0:v>8</ns0:v>
      </ns0:c>
      <ns0:c r="Q580" s="1">
        <ns0:f>+P580+O580+J580+I580+H580+G580</ns0:f>
        <ns0:v/>
      </ns0:c>
      <ns0:c r="R580" s="1">
        <ns0:f>+Q580/E580</ns0:f>
        <ns0:v/>
      </ns0:c>
    </ns0:row>
    <ns0:row r="581" ht="26.25" customHeight="1">
      <ns0:c r="G581" s="1">
        <ns0:f>+G580/M580</ns0:f>
        <ns0:v/>
      </ns0:c>
      <ns0:c r="H581" s="1">
        <ns0:f>+H580/M580</ns0:f>
        <ns0:v/>
      </ns0:c>
      <ns0:c r="I581" s="1">
        <ns0:f>+I580/M580</ns0:f>
        <ns0:v/>
      </ns0:c>
      <ns0:c r="J581" s="1">
        <ns0:f>+J580/M580</ns0:f>
        <ns0:v/>
      </ns0:c>
      <ns0:c r="K581" s="1">
        <ns0:f>+K580/M580</ns0:f>
        <ns0:v/>
      </ns0:c>
      <ns0:c r="L581" s="1">
        <ns0:f>+L580/M580</ns0:f>
        <ns0:v/>
      </ns0:c>
      <ns0:c r="O581" s="1">
        <ns0:f>+O580/Q580</ns0:f>
        <ns0:v/>
      </ns0:c>
      <ns0:c r="P581" s="1">
        <ns0:f>+P580/Q580</ns0:f>
        <ns0:v/>
      </ns0:c>
    </ns0:row>
    <ns0:row r="582" ht="26.25" customHeight="1">
      <ns0:c r="D582" s="1" t="inlineStr">
        <ns0:is>
          <ns0:t>Press VP</ns0:t>
        </ns0:is>
      </ns0:c>
      <ns0:c r="E582" s="1" t="n">
        <ns0:v>56</ns0:v>
      </ns0:c>
      <ns0:c r="F582" s="1">
        <ns0:f>+E582-Q582</ns0:f>
        <ns0:v/>
      </ns0:c>
      <ns0:c r="G582" s="1" t="n">
        <ns0:v>0</ns0:v>
      </ns0:c>
      <ns0:c r="H582" s="1" t="n">
        <ns0:v>0</ns0:v>
      </ns0:c>
      <ns0:c r="I582" s="1" t="n">
        <ns0:v>0</ns0:v>
      </ns0:c>
      <ns0:c r="J582" s="1" t="n">
        <ns0:v>0</ns0:v>
      </ns0:c>
      <ns0:c r="K582" s="1" t="n">
        <ns0:v>0</ns0:v>
      </ns0:c>
      <ns0:c r="L582" s="1" t="n">
        <ns0:v>2</ns0:v>
      </ns0:c>
      <ns0:c r="M582" s="1">
        <ns0:f>SUM(G582:L582)</ns0:f>
        <ns0:v/>
      </ns0:c>
      <ns0:c r="N582" s="1">
        <ns0:f>M582/E582</ns0:f>
        <ns0:v/>
      </ns0:c>
      <ns0:c r="O582" s="1" t="n">
        <ns0:v>0</ns0:v>
      </ns0:c>
      <ns0:c r="P582" s="1" t="n">
        <ns0:v>1</ns0:v>
      </ns0:c>
      <ns0:c r="Q582" s="1">
        <ns0:f>+P582+O582+J582+I582+H582+G582</ns0:f>
        <ns0:v/>
      </ns0:c>
      <ns0:c r="R582" s="1">
        <ns0:f>+Q582/E582</ns0:f>
        <ns0:v/>
      </ns0:c>
      <ns0:c r="S582" s="1" t="inlineStr">
        <ns0:is>
          <ns0:t xml:space="preserve"> VP+CD bonding line 0.05</ns0:t>
        </ns0:is>
      </ns0:c>
    </ns0:row>
    <ns0:row r="583" ht="26.25" customHeight="1">
      <ns0:c r="G583" s="1">
        <ns0:f>+G582/M582</ns0:f>
        <ns0:v/>
      </ns0:c>
      <ns0:c r="H583" s="1">
        <ns0:f>+H582/M582</ns0:f>
        <ns0:v/>
      </ns0:c>
      <ns0:c r="I583" s="1">
        <ns0:f>+I582/M582</ns0:f>
        <ns0:v/>
      </ns0:c>
      <ns0:c r="J583" s="1">
        <ns0:f>+J582/M582</ns0:f>
        <ns0:v/>
      </ns0:c>
      <ns0:c r="K583" s="1">
        <ns0:f>+K582/M582</ns0:f>
        <ns0:v/>
      </ns0:c>
      <ns0:c r="L583" s="1">
        <ns0:f>+L582/M582</ns0:f>
        <ns0:v/>
      </ns0:c>
      <ns0:c r="O583" s="1">
        <ns0:f>+O582/Q582</ns0:f>
        <ns0:v/>
      </ns0:c>
      <ns0:c r="P583" s="1">
        <ns0:f>+P582/Q582</ns0:f>
        <ns0:v/>
      </ns0:c>
    </ns0:row>
    <ns0:row r="584" ht="26.25" customHeight="1">
      <ns0:c r="D584" s="1" t="inlineStr">
        <ns0:is>
          <ns0:t>Normal ( VP bonding offset 0.05 )</ns0:t>
        </ns0:is>
      </ns0:c>
      <ns0:c r="E584" s="1" t="n">
        <ns0:v>800</ns0:v>
      </ns0:c>
      <ns0:c r="F584" s="1">
        <ns0:f>+E584-Q584</ns0:f>
        <ns0:v/>
      </ns0:c>
      <ns0:c r="G584" s="1" t="n">
        <ns0:v>0</ns0:v>
      </ns0:c>
      <ns0:c r="H584" s="1" t="n">
        <ns0:v>0</ns0:v>
      </ns0:c>
      <ns0:c r="I584" s="1" t="n">
        <ns0:v>0</ns0:v>
      </ns0:c>
      <ns0:c r="J584" s="1" t="n">
        <ns0:v>0</ns0:v>
      </ns0:c>
      <ns0:c r="K584" s="1" t="n">
        <ns0:v>8</ns0:v>
      </ns0:c>
      <ns0:c r="L584" s="1" t="n">
        <ns0:v>65</ns0:v>
      </ns0:c>
      <ns0:c r="M584" s="1">
        <ns0:f>SUM(G584:L584)</ns0:f>
        <ns0:v/>
      </ns0:c>
      <ns0:c r="N584" s="1">
        <ns0:f>M584/E584</ns0:f>
        <ns0:v/>
      </ns0:c>
      <ns0:c r="O584" s="1" t="n">
        <ns0:v>7</ns0:v>
      </ns0:c>
      <ns0:c r="P584" s="1" t="n">
        <ns0:v>37</ns0:v>
      </ns0:c>
      <ns0:c r="Q584" s="1">
        <ns0:f>+P584+O584+J584+I584+H584+G584</ns0:f>
        <ns0:v/>
      </ns0:c>
      <ns0:c r="R584" s="1">
        <ns0:f>+Q584/E584</ns0:f>
        <ns0:v/>
      </ns0:c>
      <ns0:c r="S584" s="1" t="inlineStr">
        <ns0:is>
          <ns0:t xml:space="preserve"> VP+CD bonding line 0.05</ns0:t>
        </ns0:is>
      </ns0:c>
    </ns0:row>
    <ns0:row r="585" ht="26.25" customHeight="1">
      <ns0:c r="G585" s="1">
        <ns0:f>+G584/M584</ns0:f>
        <ns0:v/>
      </ns0:c>
      <ns0:c r="H585" s="1">
        <ns0:f>+H584/M584</ns0:f>
        <ns0:v/>
      </ns0:c>
      <ns0:c r="I585" s="1">
        <ns0:f>+I584/M584</ns0:f>
        <ns0:v/>
      </ns0:c>
      <ns0:c r="J585" s="1">
        <ns0:f>+J584/M584</ns0:f>
        <ns0:v/>
      </ns0:c>
      <ns0:c r="K585" s="1">
        <ns0:f>+K584/M584</ns0:f>
        <ns0:v/>
      </ns0:c>
      <ns0:c r="L585" s="1">
        <ns0:f>+L584/M584</ns0:f>
        <ns0:v/>
      </ns0:c>
      <ns0:c r="O585" s="1">
        <ns0:f>+O584/Q584</ns0:f>
        <ns0:v/>
      </ns0:c>
      <ns0:c r="P585" s="1">
        <ns0:f>+P584/Q584</ns0:f>
        <ns0:v/>
      </ns0:c>
    </ns0:row>
    <ns0:row r="586" ht="26.25" customHeight="1">
      <ns0:c r="C586" s="1" t="inlineStr">
        <ns0:is>
          <ns0:t>VP Old Mold</ns0:t>
        </ns0:is>
      </ns0:c>
      <ns0:c r="D586" s="1" t="inlineStr">
        <ns0:is>
          <ns0:t>VP Old Mold + Bonding Line 0.05</ns0:t>
        </ns0:is>
      </ns0:c>
      <ns0:c r="E586" s="1" t="n">
        <ns0:v>798</ns0:v>
      </ns0:c>
      <ns0:c r="F586" s="1">
        <ns0:f>+E586-Q586</ns0:f>
        <ns0:v/>
      </ns0:c>
      <ns0:c r="G586" s="1" t="n">
        <ns0:v>0</ns0:v>
      </ns0:c>
      <ns0:c r="H586" s="1" t="n">
        <ns0:v>0</ns0:v>
      </ns0:c>
      <ns0:c r="I586" s="1" t="n">
        <ns0:v>0</ns0:v>
      </ns0:c>
      <ns0:c r="J586" s="1" t="n">
        <ns0:v>0</ns0:v>
      </ns0:c>
      <ns0:c r="K586" s="1" t="n">
        <ns0:v>5</ns0:v>
      </ns0:c>
      <ns0:c r="L586" s="1" t="n">
        <ns0:v>41</ns0:v>
      </ns0:c>
      <ns0:c r="M586" s="1">
        <ns0:f>SUM(G586:L586)</ns0:f>
        <ns0:v/>
      </ns0:c>
      <ns0:c r="N586" s="1">
        <ns0:f>M586/E586</ns0:f>
        <ns0:v/>
      </ns0:c>
      <ns0:c r="O586" s="1" t="n">
        <ns0:v>5</ns0:v>
      </ns0:c>
      <ns0:c r="P586" s="1" t="n">
        <ns0:v>35</ns0:v>
      </ns0:c>
      <ns0:c r="Q586" s="1">
        <ns0:f>+P586+O586+J586+I586+H586+G586</ns0:f>
        <ns0:v/>
      </ns0:c>
      <ns0:c r="R586" s="1">
        <ns0:f>+Q586/E586</ns0:f>
        <ns0:v/>
      </ns0:c>
    </ns0:row>
    <ns0:row r="587" ht="26.25" customHeight="1">
      <ns0:c r="G587" s="1">
        <ns0:f>+G586/M586</ns0:f>
        <ns0:v/>
      </ns0:c>
      <ns0:c r="H587" s="1">
        <ns0:f>+H586/M586</ns0:f>
        <ns0:v/>
      </ns0:c>
      <ns0:c r="I587" s="1">
        <ns0:f>+I586/M586</ns0:f>
        <ns0:v/>
      </ns0:c>
      <ns0:c r="J587" s="1">
        <ns0:f>+J586/M586</ns0:f>
        <ns0:v/>
      </ns0:c>
      <ns0:c r="K587" s="1">
        <ns0:f>+K586/M586</ns0:f>
        <ns0:v/>
      </ns0:c>
      <ns0:c r="L587" s="1">
        <ns0:f>+L586/M586</ns0:f>
        <ns0:v/>
      </ns0:c>
      <ns0:c r="O587" s="1">
        <ns0:f>+O586/Q586</ns0:f>
        <ns0:v/>
      </ns0:c>
      <ns0:c r="P587" s="1">
        <ns0:f>+P586/Q586</ns0:f>
        <ns0:v/>
      </ns0:c>
    </ns0:row>
    <ns0:row r="588" ht="26.25" customHeight="1">
      <ns0:c r="D588" s="1" t="inlineStr">
        <ns0:is>
          <ns0:t>VP Old Mold + Bonding Line 0.05</ns0:t>
        </ns0:is>
      </ns0:c>
      <ns0:c r="E588" s="1" t="n">
        <ns0:v>1033</ns0:v>
      </ns0:c>
      <ns0:c r="F588" s="1">
        <ns0:f>+E588-Q588</ns0:f>
        <ns0:v/>
      </ns0:c>
      <ns0:c r="G588" s="1" t="n">
        <ns0:v>0</ns0:v>
      </ns0:c>
      <ns0:c r="H588" s="1" t="n">
        <ns0:v>2</ns0:v>
      </ns0:c>
      <ns0:c r="I588" s="1" t="n">
        <ns0:v>0</ns0:v>
      </ns0:c>
      <ns0:c r="J588" s="1" t="n">
        <ns0:v>0</ns0:v>
      </ns0:c>
      <ns0:c r="K588" s="1" t="n">
        <ns0:v>9</ns0:v>
      </ns0:c>
      <ns0:c r="L588" s="1" t="n">
        <ns0:v>66</ns0:v>
      </ns0:c>
      <ns0:c r="M588" s="1">
        <ns0:f>SUM(G588:L588)</ns0:f>
        <ns0:v/>
      </ns0:c>
      <ns0:c r="N588" s="1">
        <ns0:f>M588/E588</ns0:f>
        <ns0:v/>
      </ns0:c>
      <ns0:c r="O588" s="1" t="n">
        <ns0:v>8</ns0:v>
      </ns0:c>
      <ns0:c r="P588" s="1" t="n">
        <ns0:v>41</ns0:v>
      </ns0:c>
      <ns0:c r="Q588" s="1">
        <ns0:f>+P588+O588+J588+I588+H588+G588</ns0:f>
        <ns0:v/>
      </ns0:c>
      <ns0:c r="R588" s="1">
        <ns0:f>+Q588/E588</ns0:f>
        <ns0:v/>
      </ns0:c>
      <ns0:c r="S588" s="1" t="inlineStr">
        <ns0:is>
          <ns0:t xml:space="preserve"> VP+CD bonding line 0.05</ns0:t>
        </ns0:is>
      </ns0:c>
    </ns0:row>
    <ns0:row r="589" ht="26.25" customHeight="1">
      <ns0:c r="G589" s="1">
        <ns0:f>+G588/M588</ns0:f>
        <ns0:v/>
      </ns0:c>
      <ns0:c r="H589" s="1">
        <ns0:f>+H588/M588</ns0:f>
        <ns0:v/>
      </ns0:c>
      <ns0:c r="I589" s="1">
        <ns0:f>+I588/M588</ns0:f>
        <ns0:v/>
      </ns0:c>
      <ns0:c r="J589" s="1">
        <ns0:f>+J588/M588</ns0:f>
        <ns0:v/>
      </ns0:c>
      <ns0:c r="K589" s="1">
        <ns0:f>+K588/M588</ns0:f>
        <ns0:v/>
      </ns0:c>
      <ns0:c r="L589" s="1">
        <ns0:f>+L588/M588</ns0:f>
        <ns0:v/>
      </ns0:c>
      <ns0:c r="O589" s="1">
        <ns0:f>+O588/Q588</ns0:f>
        <ns0:v/>
      </ns0:c>
      <ns0:c r="P589" s="1">
        <ns0:f>+P588/Q588</ns0:f>
        <ns0:v/>
      </ns0:c>
    </ns0:row>
    <ns0:row r="590" ht="26.25" customHeight="1">
      <ns0:c r="C590" s="1" t="inlineStr">
        <ns0:is>
          <ns0:t xml:space="preserve">Total </ns0:t>
        </ns0:is>
      </ns0:c>
      <ns0:c r="E590" s="1">
        <ns0:f>+E586+E588</ns0:f>
        <ns0:v/>
      </ns0:c>
      <ns0:c r="F590" s="1">
        <ns0:f>+E590-Q590</ns0:f>
        <ns0:v/>
      </ns0:c>
      <ns0:c r="G590" s="1">
        <ns0:f>+G586+G588</ns0:f>
        <ns0:v/>
      </ns0:c>
      <ns0:c r="H590" s="1">
        <ns0:f>+H586+H588</ns0:f>
        <ns0:v/>
      </ns0:c>
      <ns0:c r="I590" s="1">
        <ns0:f>+I586+I588</ns0:f>
        <ns0:v/>
      </ns0:c>
      <ns0:c r="J590" s="1">
        <ns0:f>+J586+J588</ns0:f>
        <ns0:v/>
      </ns0:c>
      <ns0:c r="K590" s="1">
        <ns0:f>+K586+K588</ns0:f>
        <ns0:v/>
      </ns0:c>
      <ns0:c r="L590" s="1">
        <ns0:f>+L586+L588</ns0:f>
        <ns0:v/>
      </ns0:c>
      <ns0:c r="M590" s="1">
        <ns0:f>SUM(G590:L590)</ns0:f>
        <ns0:v/>
      </ns0:c>
      <ns0:c r="N590" s="1">
        <ns0:f>M590/E590</ns0:f>
        <ns0:v/>
      </ns0:c>
      <ns0:c r="O590" s="1">
        <ns0:f>+O586+O588</ns0:f>
        <ns0:v/>
      </ns0:c>
      <ns0:c r="P590" s="1">
        <ns0:f>+P586+P588</ns0:f>
        <ns0:v/>
      </ns0:c>
      <ns0:c r="Q590" s="1">
        <ns0:f>+P590+O590+J590+I590+H590+G590</ns0:f>
        <ns0:v/>
      </ns0:c>
      <ns0:c r="R590" s="1">
        <ns0:f>+Q590/E590</ns0:f>
        <ns0:v/>
      </ns0:c>
      <ns0:c r="S590" s="1" t="inlineStr">
        <ns0:is>
          <ns0:t xml:space="preserve"> VP+CD bonding line 0.05</ns0:t>
        </ns0:is>
      </ns0:c>
    </ns0:row>
    <ns0:row r="591" ht="26.25" customHeight="1">
      <ns0:c r="G591" s="1">
        <ns0:f>+G590/M590</ns0:f>
        <ns0:v/>
      </ns0:c>
      <ns0:c r="H591" s="1">
        <ns0:f>+H590/M590</ns0:f>
        <ns0:v/>
      </ns0:c>
      <ns0:c r="I591" s="1">
        <ns0:f>+I590/M590</ns0:f>
        <ns0:v/>
      </ns0:c>
      <ns0:c r="J591" s="1">
        <ns0:f>+J590/M590</ns0:f>
        <ns0:v/>
      </ns0:c>
      <ns0:c r="K591" s="1">
        <ns0:f>+K590/M590</ns0:f>
        <ns0:v/>
      </ns0:c>
      <ns0:c r="L591" s="1">
        <ns0:f>+L590/M590</ns0:f>
        <ns0:v/>
      </ns0:c>
      <ns0:c r="O591" s="1">
        <ns0:f>+O590/Q590</ns0:f>
        <ns0:v/>
      </ns0:c>
      <ns0:c r="P591" s="1">
        <ns0:f>+P590/Q590</ns0:f>
        <ns0:v/>
      </ns0:c>
    </ns0:row>
    <ns0:row r="592" ht="26.25" customHeight="1">
      <ns0:c r="B592" s="2" t="n">
        <ns0:v>45512</ns0:v>
      </ns0:c>
      <ns0:c r="C592" s="1" t="inlineStr">
        <ns0:is>
          <ns0:t>VP+CD</ns0:t>
        </ns0:is>
      </ns0:c>
      <ns0:c r="D592" s="1" t="inlineStr">
        <ns0:is>
          <ns0:t xml:space="preserve"> VP bonding Point 5,6,9 and 15,16,19 move 0.15</ns0:t>
        </ns0:is>
      </ns0:c>
      <ns0:c r="E592" s="1" t="n">
        <ns0:v>328</ns0:v>
      </ns0:c>
      <ns0:c r="F592" s="1">
        <ns0:f>+E592-Q592</ns0:f>
        <ns0:v/>
      </ns0:c>
      <ns0:c r="G592" s="1" t="n">
        <ns0:v>0</ns0:v>
      </ns0:c>
      <ns0:c r="H592" s="1" t="n">
        <ns0:v>1</ns0:v>
      </ns0:c>
      <ns0:c r="I592" s="1" t="n">
        <ns0:v>0</ns0:v>
      </ns0:c>
      <ns0:c r="J592" s="1" t="n">
        <ns0:v>0</ns0:v>
      </ns0:c>
      <ns0:c r="K592" s="1" t="n">
        <ns0:v>4</ns0:v>
      </ns0:c>
      <ns0:c r="L592" s="1" t="n">
        <ns0:v>29</ns0:v>
      </ns0:c>
      <ns0:c r="M592" s="1">
        <ns0:f>SUM(G592:L592)</ns0:f>
        <ns0:v/>
      </ns0:c>
      <ns0:c r="N592" s="1">
        <ns0:f>M592/E592</ns0:f>
        <ns0:v/>
      </ns0:c>
      <ns0:c r="O592" s="1" t="n">
        <ns0:v>1</ns0:v>
      </ns0:c>
      <ns0:c r="P592" s="1" t="n">
        <ns0:v>15</ns0:v>
      </ns0:c>
      <ns0:c r="Q592" s="1">
        <ns0:f>+P592+O592+J592+I592+H592+G592</ns0:f>
        <ns0:v/>
      </ns0:c>
      <ns0:c r="R592" s="1">
        <ns0:f>+Q592/E592</ns0:f>
        <ns0:v/>
      </ns0:c>
    </ns0:row>
    <ns0:row r="593" ht="26.25" customHeight="1">
      <ns0:c r="G593" s="1">
        <ns0:f>+G592/M592</ns0:f>
        <ns0:v/>
      </ns0:c>
      <ns0:c r="H593" s="1">
        <ns0:f>+H592/M592</ns0:f>
        <ns0:v/>
      </ns0:c>
      <ns0:c r="I593" s="1">
        <ns0:f>+I592/M592</ns0:f>
        <ns0:v/>
      </ns0:c>
      <ns0:c r="J593" s="1">
        <ns0:f>+J592/M592</ns0:f>
        <ns0:v/>
      </ns0:c>
      <ns0:c r="K593" s="1">
        <ns0:f>+K592/M592</ns0:f>
        <ns0:v/>
      </ns0:c>
      <ns0:c r="L593" s="1">
        <ns0:f>+L592/M592</ns0:f>
        <ns0:v/>
      </ns0:c>
      <ns0:c r="O593" s="1">
        <ns0:f>+O592/Q592</ns0:f>
        <ns0:v/>
      </ns0:c>
      <ns0:c r="P593" s="1">
        <ns0:f>+P592/Q592</ns0:f>
        <ns0:v/>
      </ns0:c>
    </ns0:row>
    <ns0:row r="594" ht="26.25" customHeight="1">
      <ns0:c r="D594" s="1" t="inlineStr">
        <ns0:is>
          <ns0:t xml:space="preserve"> VP bonding Point 7,8 and 17,18 move 0.15</ns0:t>
        </ns0:is>
      </ns0:c>
      <ns0:c r="E594" s="1" t="n">
        <ns0:v>339</ns0:v>
      </ns0:c>
      <ns0:c r="F594" s="1">
        <ns0:f>+E594-Q594</ns0:f>
        <ns0:v/>
      </ns0:c>
      <ns0:c r="G594" s="1" t="n">
        <ns0:v>0</ns0:v>
      </ns0:c>
      <ns0:c r="H594" s="1" t="n">
        <ns0:v>0</ns0:v>
      </ns0:c>
      <ns0:c r="I594" s="1" t="n">
        <ns0:v>0</ns0:v>
      </ns0:c>
      <ns0:c r="J594" s="1" t="n">
        <ns0:v>0</ns0:v>
      </ns0:c>
      <ns0:c r="K594" s="1" t="n">
        <ns0:v>3</ns0:v>
      </ns0:c>
      <ns0:c r="L594" s="1" t="n">
        <ns0:v>31</ns0:v>
      </ns0:c>
      <ns0:c r="M594" s="1">
        <ns0:f>SUM(G594:L594)</ns0:f>
        <ns0:v/>
      </ns0:c>
      <ns0:c r="N594" s="1">
        <ns0:f>M594/E594</ns0:f>
        <ns0:v/>
      </ns0:c>
      <ns0:c r="O594" s="1" t="n">
        <ns0:v>3</ns0:v>
      </ns0:c>
      <ns0:c r="P594" s="1" t="n">
        <ns0:v>16</ns0:v>
      </ns0:c>
      <ns0:c r="Q594" s="1">
        <ns0:f>+P594+O594+J594+I594+H594+G594</ns0:f>
        <ns0:v/>
      </ns0:c>
      <ns0:c r="R594" s="1">
        <ns0:f>+Q594/E594</ns0:f>
        <ns0:v/>
      </ns0:c>
    </ns0:row>
    <ns0:row r="595" ht="26.25" customHeight="1">
      <ns0:c r="G595" s="1">
        <ns0:f>+G594/M594</ns0:f>
        <ns0:v/>
      </ns0:c>
      <ns0:c r="H595" s="1">
        <ns0:f>+H594/M594</ns0:f>
        <ns0:v/>
      </ns0:c>
      <ns0:c r="I595" s="1">
        <ns0:f>+I594/M594</ns0:f>
        <ns0:v/>
      </ns0:c>
      <ns0:c r="J595" s="1">
        <ns0:f>+J594/M594</ns0:f>
        <ns0:v/>
      </ns0:c>
      <ns0:c r="K595" s="1">
        <ns0:f>+K594/M594</ns0:f>
        <ns0:v/>
      </ns0:c>
      <ns0:c r="L595" s="1">
        <ns0:f>+L594/M594</ns0:f>
        <ns0:v/>
      </ns0:c>
      <ns0:c r="O595" s="1">
        <ns0:f>+O594/Q594</ns0:f>
        <ns0:v/>
      </ns0:c>
      <ns0:c r="P595" s="1">
        <ns0:f>+P594/Q594</ns0:f>
        <ns0:v/>
      </ns0:c>
    </ns0:row>
    <ns0:row r="596" ht="26.25" customHeight="1">
      <ns0:c r="D596" s="1" t="inlineStr">
        <ns0:is>
          <ns0:t>Normal ( VP bonding offset 0.05 )</ns0:t>
        </ns0:is>
      </ns0:c>
      <ns0:c r="E596" s="1" t="n">
        <ns0:v>800</ns0:v>
      </ns0:c>
      <ns0:c r="F596" s="1">
        <ns0:f>+E596-Q596</ns0:f>
        <ns0:v/>
      </ns0:c>
      <ns0:c r="G596" s="1" t="n">
        <ns0:v>9</ns0:v>
      </ns0:c>
      <ns0:c r="H596" s="1" t="n">
        <ns0:v>3</ns0:v>
      </ns0:c>
      <ns0:c r="I596" s="1" t="n">
        <ns0:v>1</ns0:v>
      </ns0:c>
      <ns0:c r="J596" s="1" t="n">
        <ns0:v>0</ns0:v>
      </ns0:c>
      <ns0:c r="K596" s="1" t="n">
        <ns0:v>6</ns0:v>
      </ns0:c>
      <ns0:c r="L596" s="1" t="n">
        <ns0:v>34</ns0:v>
      </ns0:c>
      <ns0:c r="M596" s="1">
        <ns0:f>SUM(G596:L596)</ns0:f>
        <ns0:v/>
      </ns0:c>
      <ns0:c r="N596" s="1">
        <ns0:f>M596/E596</ns0:f>
        <ns0:v/>
      </ns0:c>
      <ns0:c r="O596" s="1" t="n">
        <ns0:v>5</ns0:v>
      </ns0:c>
      <ns0:c r="P596" s="1" t="n">
        <ns0:v>20</ns0:v>
      </ns0:c>
      <ns0:c r="Q596" s="1">
        <ns0:f>+P596+O596+J596+I596+H596+G596</ns0:f>
        <ns0:v/>
      </ns0:c>
      <ns0:c r="R596" s="1">
        <ns0:f>+Q596/E596</ns0:f>
        <ns0:v/>
      </ns0:c>
      <ns0:c r="S596" s="1" t="inlineStr">
        <ns0:is>
          <ns0:t xml:space="preserve"> VP+CD bonding line 0.05</ns0:t>
        </ns0:is>
      </ns0:c>
    </ns0:row>
    <ns0:row r="597" ht="26.25" customHeight="1">
      <ns0:c r="G597" s="1">
        <ns0:f>+G596/M596</ns0:f>
        <ns0:v/>
      </ns0:c>
      <ns0:c r="H597" s="1">
        <ns0:f>+H596/M596</ns0:f>
        <ns0:v/>
      </ns0:c>
      <ns0:c r="I597" s="1">
        <ns0:f>+I596/M596</ns0:f>
        <ns0:v/>
      </ns0:c>
      <ns0:c r="J597" s="1">
        <ns0:f>+J596/M596</ns0:f>
        <ns0:v/>
      </ns0:c>
      <ns0:c r="K597" s="1">
        <ns0:f>+K596/M596</ns0:f>
        <ns0:v/>
      </ns0:c>
      <ns0:c r="L597" s="1">
        <ns0:f>+L596/M596</ns0:f>
        <ns0:v/>
      </ns0:c>
      <ns0:c r="O597" s="1">
        <ns0:f>+O596/Q596</ns0:f>
        <ns0:v/>
      </ns0:c>
      <ns0:c r="P597" s="1">
        <ns0:f>+P596/Q596</ns0:f>
        <ns0:v/>
      </ns0:c>
    </ns0:row>
    <ns0:row r="598" ht="26.25" customHeight="1">
      <ns0:c r="C598" s="1" t="inlineStr">
        <ns0:is>
          <ns0:t>VP Forming</ns0:t>
        </ns0:is>
      </ns0:c>
      <ns0:c r="D598" s="1" t="inlineStr">
        <ns0:is>
          <ns0:t>Time Forming 8h ~ 11h</ns0:t>
        </ns0:is>
      </ns0:c>
      <ns0:c r="E598" s="1" t="n">
        <ns0:v>357</ns0:v>
      </ns0:c>
      <ns0:c r="F598" s="1">
        <ns0:f>+E598-Q598</ns0:f>
        <ns0:v/>
      </ns0:c>
      <ns0:c r="G598" s="1" t="n">
        <ns0:v>0</ns0:v>
      </ns0:c>
      <ns0:c r="H598" s="1" t="n">
        <ns0:v>0</ns0:v>
      </ns0:c>
      <ns0:c r="I598" s="1" t="n">
        <ns0:v>0</ns0:v>
      </ns0:c>
      <ns0:c r="J598" s="1" t="n">
        <ns0:v>0</ns0:v>
      </ns0:c>
      <ns0:c r="K598" s="1" t="n">
        <ns0:v>5</ns0:v>
      </ns0:c>
      <ns0:c r="L598" s="1" t="n">
        <ns0:v>22</ns0:v>
      </ns0:c>
      <ns0:c r="M598" s="1">
        <ns0:f>SUM(G598:L598)</ns0:f>
        <ns0:v/>
      </ns0:c>
      <ns0:c r="N598" s="1">
        <ns0:f>M598/E598</ns0:f>
        <ns0:v/>
      </ns0:c>
      <ns0:c r="O598" s="1" t="n">
        <ns0:v>2</ns0:v>
      </ns0:c>
      <ns0:c r="P598" s="1" t="n">
        <ns0:v>12</ns0:v>
      </ns0:c>
      <ns0:c r="Q598" s="1">
        <ns0:f>+P598+O598+J598+I598+H598+G598</ns0:f>
        <ns0:v/>
      </ns0:c>
      <ns0:c r="R598" s="1">
        <ns0:f>+Q598/E598</ns0:f>
        <ns0:v/>
      </ns0:c>
      <ns0:c r="S598" s="1" t="inlineStr">
        <ns0:is>
          <ns0:t xml:space="preserve"> VP+CD bonding line 0.05</ns0:t>
        </ns0:is>
      </ns0:c>
    </ns0:row>
    <ns0:row r="599" ht="26.25" customHeight="1">
      <ns0:c r="G599" s="1">
        <ns0:f>+G598/M598</ns0:f>
        <ns0:v/>
      </ns0:c>
      <ns0:c r="H599" s="1">
        <ns0:f>+H598/M598</ns0:f>
        <ns0:v/>
      </ns0:c>
      <ns0:c r="I599" s="1">
        <ns0:f>+I598/M598</ns0:f>
        <ns0:v/>
      </ns0:c>
      <ns0:c r="J599" s="1">
        <ns0:f>+J598/M598</ns0:f>
        <ns0:v/>
      </ns0:c>
      <ns0:c r="K599" s="1">
        <ns0:f>+K598/M598</ns0:f>
        <ns0:v/>
      </ns0:c>
      <ns0:c r="L599" s="1">
        <ns0:f>+L598/M598</ns0:f>
        <ns0:v/>
      </ns0:c>
      <ns0:c r="O599" s="1">
        <ns0:f>+O598/Q598</ns0:f>
        <ns0:v/>
      </ns0:c>
      <ns0:c r="P599" s="1">
        <ns0:f>+P598/Q598</ns0:f>
        <ns0:v/>
      </ns0:c>
    </ns0:row>
    <ns0:row r="600" ht="26.25" customHeight="1">
      <ns0:c r="D600" s="1" t="inlineStr">
        <ns0:is>
          <ns0:t>Time Forming 11h ~ 14h</ns0:t>
        </ns0:is>
      </ns0:c>
      <ns0:c r="E600" s="1" t="n">
        <ns0:v>135</ns0:v>
      </ns0:c>
      <ns0:c r="F600" s="1">
        <ns0:f>+E600-Q600</ns0:f>
        <ns0:v/>
      </ns0:c>
      <ns0:c r="G600" s="1" t="n">
        <ns0:v>0</ns0:v>
      </ns0:c>
      <ns0:c r="H600" s="1" t="n">
        <ns0:v>0</ns0:v>
      </ns0:c>
      <ns0:c r="I600" s="1" t="n">
        <ns0:v>0</ns0:v>
      </ns0:c>
      <ns0:c r="J600" s="1" t="n">
        <ns0:v>0</ns0:v>
      </ns0:c>
      <ns0:c r="K600" s="1" t="n">
        <ns0:v>2</ns0:v>
      </ns0:c>
      <ns0:c r="L600" s="1" t="n">
        <ns0:v>6</ns0:v>
      </ns0:c>
      <ns0:c r="M600" s="1">
        <ns0:f>SUM(G600:L600)</ns0:f>
        <ns0:v/>
      </ns0:c>
      <ns0:c r="N600" s="1">
        <ns0:f>M600/E600</ns0:f>
        <ns0:v/>
      </ns0:c>
      <ns0:c r="O600" s="1" t="n">
        <ns0:v>2</ns0:v>
      </ns0:c>
      <ns0:c r="P600" s="1" t="n">
        <ns0:v>2</ns0:v>
      </ns0:c>
      <ns0:c r="Q600" s="1">
        <ns0:f>+P600+O600+J600+I600+H600+G600</ns0:f>
        <ns0:v/>
      </ns0:c>
      <ns0:c r="R600" s="1">
        <ns0:f>+Q600/E600</ns0:f>
        <ns0:v/>
      </ns0:c>
      <ns0:c r="S600" s="1" t="inlineStr">
        <ns0:is>
          <ns0:t xml:space="preserve"> VP+CD bonding line 0.05</ns0:t>
        </ns0:is>
      </ns0:c>
    </ns0:row>
    <ns0:row r="601" ht="26.25" customHeight="1">
      <ns0:c r="G601" s="1">
        <ns0:f>+G600/M600</ns0:f>
        <ns0:v/>
      </ns0:c>
      <ns0:c r="H601" s="1">
        <ns0:f>+H600/M600</ns0:f>
        <ns0:v/>
      </ns0:c>
      <ns0:c r="I601" s="1">
        <ns0:f>+I600/M600</ns0:f>
        <ns0:v/>
      </ns0:c>
      <ns0:c r="J601" s="1">
        <ns0:f>+J600/M600</ns0:f>
        <ns0:v/>
      </ns0:c>
      <ns0:c r="K601" s="1">
        <ns0:f>+K600/M600</ns0:f>
        <ns0:v/>
      </ns0:c>
      <ns0:c r="L601" s="1">
        <ns0:f>+L600/M600</ns0:f>
        <ns0:v/>
      </ns0:c>
      <ns0:c r="O601" s="1">
        <ns0:f>+O600/Q600</ns0:f>
        <ns0:v/>
      </ns0:c>
      <ns0:c r="P601" s="1">
        <ns0:f>+P600/Q600</ns0:f>
        <ns0:v/>
      </ns0:c>
    </ns0:row>
    <ns0:row r="602" ht="26.25" customHeight="1">
      <ns0:c r="D602" s="1" t="inlineStr">
        <ns0:is>
          <ns0:t>Time Forming 14h ~ 19h</ns0:t>
        </ns0:is>
      </ns0:c>
      <ns0:c r="E602" s="1" t="n">
        <ns0:v>573</ns0:v>
      </ns0:c>
      <ns0:c r="F602" s="1">
        <ns0:f>+E602-Q602</ns0:f>
        <ns0:v/>
      </ns0:c>
      <ns0:c r="G602" s="1" t="n">
        <ns0:v>1</ns0:v>
      </ns0:c>
      <ns0:c r="H602" s="1" t="n">
        <ns0:v>0</ns0:v>
      </ns0:c>
      <ns0:c r="I602" s="1" t="n">
        <ns0:v>0</ns0:v>
      </ns0:c>
      <ns0:c r="J602" s="1" t="n">
        <ns0:v>0</ns0:v>
      </ns0:c>
      <ns0:c r="K602" s="1" t="n">
        <ns0:v>1</ns0:v>
      </ns0:c>
      <ns0:c r="L602" s="1" t="n">
        <ns0:v>27</ns0:v>
      </ns0:c>
      <ns0:c r="M602" s="1">
        <ns0:f>SUM(G602:L602)</ns0:f>
        <ns0:v/>
      </ns0:c>
      <ns0:c r="N602" s="1">
        <ns0:f>M602/E602</ns0:f>
        <ns0:v/>
      </ns0:c>
      <ns0:c r="O602" s="1" t="n">
        <ns0:v>1</ns0:v>
      </ns0:c>
      <ns0:c r="P602" s="1" t="n">
        <ns0:v>16</ns0:v>
      </ns0:c>
      <ns0:c r="Q602" s="1">
        <ns0:f>+P602+O602+J602+I602+H602+G602</ns0:f>
        <ns0:v/>
      </ns0:c>
      <ns0:c r="R602" s="1">
        <ns0:f>+Q602/E602</ns0:f>
        <ns0:v/>
      </ns0:c>
      <ns0:c r="S602" s="1" t="inlineStr">
        <ns0:is>
          <ns0:t xml:space="preserve"> VP+CD bonding line 0.05</ns0:t>
        </ns0:is>
      </ns0:c>
    </ns0:row>
    <ns0:row r="603" ht="26.25" customHeight="1">
      <ns0:c r="G603" s="1">
        <ns0:f>+G602/M602</ns0:f>
        <ns0:v/>
      </ns0:c>
      <ns0:c r="H603" s="1">
        <ns0:f>+H602/M602</ns0:f>
        <ns0:v/>
      </ns0:c>
      <ns0:c r="I603" s="1">
        <ns0:f>+I602/M602</ns0:f>
        <ns0:v/>
      </ns0:c>
      <ns0:c r="J603" s="1">
        <ns0:f>+J602/M602</ns0:f>
        <ns0:v/>
      </ns0:c>
      <ns0:c r="K603" s="1">
        <ns0:f>+K602/M602</ns0:f>
        <ns0:v/>
      </ns0:c>
      <ns0:c r="L603" s="1">
        <ns0:f>+L602/M602</ns0:f>
        <ns0:v/>
      </ns0:c>
      <ns0:c r="O603" s="1">
        <ns0:f>+O602/Q602</ns0:f>
        <ns0:v/>
      </ns0:c>
      <ns0:c r="P603" s="1">
        <ns0:f>+P602/Q602</ns0:f>
        <ns0:v/>
      </ns0:c>
    </ns0:row>
    <ns0:row r="604" ht="26.25" customHeight="1">
      <ns0:c r="C604" s="1" t="inlineStr">
        <ns0:is>
          <ns0:t xml:space="preserve">Total </ns0:t>
        </ns0:is>
      </ns0:c>
      <ns0:c r="E604" s="1">
        <ns0:f>+E598+E600+E602</ns0:f>
        <ns0:v/>
      </ns0:c>
      <ns0:c r="F604" s="1">
        <ns0:f>+E604-Q604</ns0:f>
        <ns0:v/>
      </ns0:c>
      <ns0:c r="G604" s="1">
        <ns0:f>+G598+G600+G602</ns0:f>
        <ns0:v/>
      </ns0:c>
      <ns0:c r="H604" s="1">
        <ns0:f>+H598+H600+H602</ns0:f>
        <ns0:v/>
      </ns0:c>
      <ns0:c r="I604" s="1">
        <ns0:f>+I598+I600+I602</ns0:f>
        <ns0:v/>
      </ns0:c>
      <ns0:c r="J604" s="1">
        <ns0:f>+J598+J600+J602</ns0:f>
        <ns0:v/>
      </ns0:c>
      <ns0:c r="K604" s="1">
        <ns0:f>+K598+K600+K602</ns0:f>
        <ns0:v/>
      </ns0:c>
      <ns0:c r="L604" s="1">
        <ns0:f>+L598+L600+L602</ns0:f>
        <ns0:v/>
      </ns0:c>
      <ns0:c r="M604" s="1">
        <ns0:f>SUM(G604:L604)</ns0:f>
        <ns0:v/>
      </ns0:c>
      <ns0:c r="N604" s="1">
        <ns0:f>M604/E604</ns0:f>
        <ns0:v/>
      </ns0:c>
      <ns0:c r="O604" s="1">
        <ns0:f>+O598+O600+O602</ns0:f>
        <ns0:v/>
      </ns0:c>
      <ns0:c r="P604" s="1">
        <ns0:f>+P598+P600+P602</ns0:f>
        <ns0:v/>
      </ns0:c>
      <ns0:c r="Q604" s="1">
        <ns0:f>+P604+O604+J604+I604+H604+G604</ns0:f>
        <ns0:v/>
      </ns0:c>
      <ns0:c r="R604" s="1">
        <ns0:f>+Q604/E604</ns0:f>
        <ns0:v/>
      </ns0:c>
      <ns0:c r="S604" s="1" t="inlineStr">
        <ns0:is>
          <ns0:t xml:space="preserve"> VP+CD bonding line 0.05</ns0:t>
        </ns0:is>
      </ns0:c>
    </ns0:row>
    <ns0:row r="605" ht="26.25" customHeight="1">
      <ns0:c r="G605" s="1">
        <ns0:f>+G604/M604</ns0:f>
        <ns0:v/>
      </ns0:c>
      <ns0:c r="H605" s="1">
        <ns0:f>+H604/M604</ns0:f>
        <ns0:v/>
      </ns0:c>
      <ns0:c r="I605" s="1">
        <ns0:f>+I604/M604</ns0:f>
        <ns0:v/>
      </ns0:c>
      <ns0:c r="J605" s="1">
        <ns0:f>+J604/M604</ns0:f>
        <ns0:v/>
      </ns0:c>
      <ns0:c r="K605" s="1">
        <ns0:f>+K604/M604</ns0:f>
        <ns0:v/>
      </ns0:c>
      <ns0:c r="L605" s="1">
        <ns0:f>+L604/M604</ns0:f>
        <ns0:v/>
      </ns0:c>
      <ns0:c r="O605" s="1">
        <ns0:f>+O604/Q604</ns0:f>
        <ns0:v/>
      </ns0:c>
      <ns0:c r="P605" s="1">
        <ns0:f>+P604/Q604</ns0:f>
        <ns0:v/>
      </ns0:c>
    </ns0:row>
    <ns0:row r="606" ht="26.25" customHeight="1">
      <ns0:c r="B606" s="2" t="n">
        <ns0:v>45514</ns0:v>
      </ns0:c>
      <ns0:c r="C606" s="1" t="inlineStr">
        <ns0:is>
          <ns0:t>VP</ns0:t>
        </ns0:is>
      </ns0:c>
      <ns0:c r="D606" s="1" t="inlineStr">
        <ns0:is>
          <ns0:t>Cutting Offset</ns0:t>
        </ns0:is>
      </ns0:c>
      <ns0:c r="E606" s="1" t="n">
        <ns0:v>136</ns0:v>
      </ns0:c>
      <ns0:c r="F606" s="1">
        <ns0:f>+E606-M606</ns0:f>
        <ns0:v/>
      </ns0:c>
      <ns0:c r="G606" s="1" t="n">
        <ns0:v>1</ns0:v>
      </ns0:c>
      <ns0:c r="H606" s="1" t="n">
        <ns0:v>0</ns0:v>
      </ns0:c>
      <ns0:c r="I606" s="1" t="n">
        <ns0:v>0</ns0:v>
      </ns0:c>
      <ns0:c r="J606" s="1" t="n">
        <ns0:v>0</ns0:v>
      </ns0:c>
      <ns0:c r="K606" s="1" t="n">
        <ns0:v>6</ns0:v>
      </ns0:c>
      <ns0:c r="L606" s="1" t="n">
        <ns0:v>9</ns0:v>
      </ns0:c>
      <ns0:c r="M606" s="1">
        <ns0:f>SUM(G606:L606)</ns0:f>
        <ns0:v/>
      </ns0:c>
      <ns0:c r="N606" s="1">
        <ns0:f>M606/E606</ns0:f>
        <ns0:v/>
      </ns0:c>
      <ns0:c r="O606" s="1" t="n">
        <ns0:v>7</ns0:v>
      </ns0:c>
      <ns0:c r="P606" s="1" t="n">
        <ns0:v>2</ns0:v>
      </ns0:c>
      <ns0:c r="Q606" s="1">
        <ns0:f>+P606+O606+J606+I606+H606+G606</ns0:f>
        <ns0:v/>
      </ns0:c>
      <ns0:c r="R606" s="1">
        <ns0:f>+Q606/E606</ns0:f>
        <ns0:v/>
      </ns0:c>
    </ns0:row>
    <ns0:row r="607" ht="26.25" customHeight="1">
      <ns0:c r="G607" s="1">
        <ns0:f>+G606/M606</ns0:f>
        <ns0:v/>
      </ns0:c>
      <ns0:c r="H607" s="1">
        <ns0:f>+H606/M606</ns0:f>
        <ns0:v/>
      </ns0:c>
      <ns0:c r="I607" s="1">
        <ns0:f>+I606/M606</ns0:f>
        <ns0:v/>
      </ns0:c>
      <ns0:c r="J607" s="1">
        <ns0:f>+J606/M606</ns0:f>
        <ns0:v/>
      </ns0:c>
      <ns0:c r="K607" s="1">
        <ns0:f>+K606/M606</ns0:f>
        <ns0:v/>
      </ns0:c>
      <ns0:c r="L607" s="1">
        <ns0:f>+L606/M606</ns0:f>
        <ns0:v/>
      </ns0:c>
      <ns0:c r="O607" s="1">
        <ns0:f>+O606/Q606</ns0:f>
        <ns0:v/>
      </ns0:c>
      <ns0:c r="P607" s="1">
        <ns0:f>+P606/Q606</ns0:f>
        <ns0:v/>
      </ns0:c>
    </ns0:row>
    <ns0:row r="608" ht="26.25" customHeight="1">
      <ns0:c r="D608" s="1" t="inlineStr">
        <ns0:is>
          <ns0:t>Cutting OK</ns0:t>
        </ns0:is>
      </ns0:c>
      <ns0:c r="E608" s="1" t="n">
        <ns0:v>143</ns0:v>
      </ns0:c>
      <ns0:c r="F608" s="1">
        <ns0:f>+E608-M608</ns0:f>
        <ns0:v/>
      </ns0:c>
      <ns0:c r="G608" s="1" t="n">
        <ns0:v>0</ns0:v>
      </ns0:c>
      <ns0:c r="H608" s="1" t="n">
        <ns0:v>0</ns0:v>
      </ns0:c>
      <ns0:c r="I608" s="1" t="n">
        <ns0:v>0</ns0:v>
      </ns0:c>
      <ns0:c r="J608" s="1" t="n">
        <ns0:v>0</ns0:v>
      </ns0:c>
      <ns0:c r="K608" s="1" t="n">
        <ns0:v>2</ns0:v>
      </ns0:c>
      <ns0:c r="L608" s="1" t="n">
        <ns0:v>5</ns0:v>
      </ns0:c>
      <ns0:c r="M608" s="1">
        <ns0:f>SUM(G608:L608)</ns0:f>
        <ns0:v/>
      </ns0:c>
      <ns0:c r="N608" s="1">
        <ns0:f>M608/E608</ns0:f>
        <ns0:v/>
      </ns0:c>
      <ns0:c r="O608" s="1" t="n">
        <ns0:v>2</ns0:v>
      </ns0:c>
      <ns0:c r="P608" s="1" t="n">
        <ns0:v>1</ns0:v>
      </ns0:c>
      <ns0:c r="Q608" s="1">
        <ns0:f>+P608+O608+J608+I608+H608+G608</ns0:f>
        <ns0:v/>
      </ns0:c>
      <ns0:c r="R608" s="1">
        <ns0:f>+Q608/E608</ns0:f>
        <ns0:v/>
      </ns0:c>
    </ns0:row>
    <ns0:row r="609" ht="26.25" customHeight="1">
      <ns0:c r="G609" s="1">
        <ns0:f>+G608/M608</ns0:f>
        <ns0:v/>
      </ns0:c>
      <ns0:c r="H609" s="1">
        <ns0:f>+H608/M608</ns0:f>
        <ns0:v/>
      </ns0:c>
      <ns0:c r="I609" s="1">
        <ns0:f>+I608/M608</ns0:f>
        <ns0:v/>
      </ns0:c>
      <ns0:c r="J609" s="1">
        <ns0:f>+J608/M608</ns0:f>
        <ns0:v/>
      </ns0:c>
      <ns0:c r="K609" s="1">
        <ns0:f>+K608/M608</ns0:f>
        <ns0:v/>
      </ns0:c>
      <ns0:c r="L609" s="1">
        <ns0:f>+L608/M608</ns0:f>
        <ns0:v/>
      </ns0:c>
      <ns0:c r="O609" s="1">
        <ns0:f>+O608/Q608</ns0:f>
        <ns0:v/>
      </ns0:c>
      <ns0:c r="P609" s="1">
        <ns0:f>+P608/Q608</ns0:f>
        <ns0:v/>
      </ns0:c>
    </ns0:row>
    <ns0:row r="610" ht="26.25" customHeight="1">
      <ns0:c r="C610" s="1" t="inlineStr">
        <ns0:is>
          <ns0:t>Normal</ns0:t>
        </ns0:is>
      </ns0:c>
      <ns0:c r="E610" s="1" t="n">
        <ns0:v>342</ns0:v>
      </ns0:c>
      <ns0:c r="F610" s="1">
        <ns0:f>+E610-M610</ns0:f>
        <ns0:v/>
      </ns0:c>
      <ns0:c r="G610" s="1" t="n">
        <ns0:v>0</ns0:v>
      </ns0:c>
      <ns0:c r="H610" s="1" t="n">
        <ns0:v>0</ns0:v>
      </ns0:c>
      <ns0:c r="I610" s="1" t="n">
        <ns0:v>0</ns0:v>
      </ns0:c>
      <ns0:c r="J610" s="1" t="n">
        <ns0:v>0</ns0:v>
      </ns0:c>
      <ns0:c r="K610" s="1" t="n">
        <ns0:v>3</ns0:v>
      </ns0:c>
      <ns0:c r="L610" s="1" t="n">
        <ns0:v>28</ns0:v>
      </ns0:c>
      <ns0:c r="M610" s="1">
        <ns0:f>SUM(G610:L610)</ns0:f>
        <ns0:v/>
      </ns0:c>
      <ns0:c r="N610" s="1">
        <ns0:f>M610/E610</ns0:f>
        <ns0:v/>
      </ns0:c>
      <ns0:c r="O610" s="1" t="n">
        <ns0:v>2</ns0:v>
      </ns0:c>
      <ns0:c r="P610" s="1" t="n">
        <ns0:v>10</ns0:v>
      </ns0:c>
      <ns0:c r="Q610" s="1">
        <ns0:f>+P610+O610+J610+I610+H610+G610</ns0:f>
        <ns0:v/>
      </ns0:c>
      <ns0:c r="R610" s="1">
        <ns0:f>+Q610/E610</ns0:f>
        <ns0:v/>
      </ns0:c>
    </ns0:row>
    <ns0:row r="611" ht="26.25" customHeight="1">
      <ns0:c r="G611" s="1">
        <ns0:f>+G610/M610</ns0:f>
        <ns0:v/>
      </ns0:c>
      <ns0:c r="H611" s="1">
        <ns0:f>+H610/M610</ns0:f>
        <ns0:v/>
      </ns0:c>
      <ns0:c r="I611" s="1">
        <ns0:f>+I610/M610</ns0:f>
        <ns0:v/>
      </ns0:c>
      <ns0:c r="J611" s="1">
        <ns0:f>+J610/M610</ns0:f>
        <ns0:v/>
      </ns0:c>
      <ns0:c r="K611" s="1">
        <ns0:f>+K610/M610</ns0:f>
        <ns0:v/>
      </ns0:c>
      <ns0:c r="L611" s="1">
        <ns0:f>+L610/M610</ns0:f>
        <ns0:v/>
      </ns0:c>
      <ns0:c r="O611" s="1">
        <ns0:f>+O610/Q610</ns0:f>
        <ns0:v/>
      </ns0:c>
      <ns0:c r="P611" s="1">
        <ns0:f>+P610/Q610</ns0:f>
        <ns0:v/>
      </ns0:c>
    </ns0:row>
    <ns0:row r="612" ht="26.25" customHeight="1">
      <ns0:c r="B612" s="2" t="n">
        <ns0:v>45516</ns0:v>
      </ns0:c>
      <ns0:c r="C612" s="1" t="inlineStr">
        <ns0:is>
          <ns0:t>VP</ns0:t>
        </ns0:is>
      </ns0:c>
      <ns0:c r="D612" s="1" t="inlineStr">
        <ns0:is>
          <ns0:t>VP separate position mold #1</ns0:t>
        </ns0:is>
      </ns0:c>
      <ns0:c r="E612" s="1" t="n">
        <ns0:v>331</ns0:v>
      </ns0:c>
      <ns0:c r="F612" s="1">
        <ns0:f>+E612-M612</ns0:f>
        <ns0:v/>
      </ns0:c>
      <ns0:c r="G612" s="1" t="n">
        <ns0:v>0</ns0:v>
      </ns0:c>
      <ns0:c r="H612" s="1" t="n">
        <ns0:v>4</ns0:v>
      </ns0:c>
      <ns0:c r="I612" s="1" t="n">
        <ns0:v>2</ns0:v>
      </ns0:c>
      <ns0:c r="J612" s="1" t="n">
        <ns0:v>0</ns0:v>
      </ns0:c>
      <ns0:c r="K612" s="1" t="n">
        <ns0:v>2</ns0:v>
      </ns0:c>
      <ns0:c r="L612" s="1" t="n">
        <ns0:v>18</ns0:v>
      </ns0:c>
      <ns0:c r="M612" s="1">
        <ns0:f>SUM(G612:L612)</ns0:f>
        <ns0:v/>
      </ns0:c>
      <ns0:c r="N612" s="1">
        <ns0:f>M612/E612</ns0:f>
        <ns0:v/>
      </ns0:c>
      <ns0:c r="O612" s="1" t="n">
        <ns0:v>3</ns0:v>
      </ns0:c>
      <ns0:c r="P612" s="1" t="n">
        <ns0:v>12</ns0:v>
      </ns0:c>
      <ns0:c r="Q612" s="1">
        <ns0:f>+P612+O612+J612+I612+H612+G612</ns0:f>
        <ns0:v/>
      </ns0:c>
      <ns0:c r="R612" s="1">
        <ns0:f>+Q612/E612</ns0:f>
        <ns0:v/>
      </ns0:c>
    </ns0:row>
    <ns0:row r="613" ht="26.25" customHeight="1">
      <ns0:c r="G613" s="1">
        <ns0:f>+G612/M612</ns0:f>
        <ns0:v/>
      </ns0:c>
      <ns0:c r="H613" s="1">
        <ns0:f>+H612/M612</ns0:f>
        <ns0:v/>
      </ns0:c>
      <ns0:c r="I613" s="1">
        <ns0:f>+I612/M612</ns0:f>
        <ns0:v/>
      </ns0:c>
      <ns0:c r="J613" s="1">
        <ns0:f>+J612/M612</ns0:f>
        <ns0:v/>
      </ns0:c>
      <ns0:c r="K613" s="1">
        <ns0:f>+K612/M612</ns0:f>
        <ns0:v/>
      </ns0:c>
      <ns0:c r="L613" s="1">
        <ns0:f>+L612/M612</ns0:f>
        <ns0:v/>
      </ns0:c>
      <ns0:c r="O613" s="1">
        <ns0:f>+O612/Q612</ns0:f>
        <ns0:v/>
      </ns0:c>
      <ns0:c r="P613" s="1">
        <ns0:f>+P612/Q612</ns0:f>
        <ns0:v/>
      </ns0:c>
    </ns0:row>
    <ns0:row r="614" ht="26.25" customHeight="1">
      <ns0:c r="D614" s="1" t="inlineStr">
        <ns0:is>
          <ns0:t>VP separate position mold #2</ns0:t>
        </ns0:is>
      </ns0:c>
      <ns0:c r="E614" s="1" t="n">
        <ns0:v>87</ns0:v>
      </ns0:c>
      <ns0:c r="F614" s="1">
        <ns0:f>+E614-M614</ns0:f>
        <ns0:v/>
      </ns0:c>
      <ns0:c r="G614" s="1" t="n">
        <ns0:v>0</ns0:v>
      </ns0:c>
      <ns0:c r="H614" s="1" t="n">
        <ns0:v>1</ns0:v>
      </ns0:c>
      <ns0:c r="I614" s="1" t="n">
        <ns0:v>0</ns0:v>
      </ns0:c>
      <ns0:c r="J614" s="1" t="n">
        <ns0:v>0</ns0:v>
      </ns0:c>
      <ns0:c r="K614" s="1" t="n">
        <ns0:v>0</ns0:v>
      </ns0:c>
      <ns0:c r="L614" s="1" t="n">
        <ns0:v>8</ns0:v>
      </ns0:c>
      <ns0:c r="M614" s="1">
        <ns0:f>SUM(G614:L614)</ns0:f>
        <ns0:v/>
      </ns0:c>
      <ns0:c r="N614" s="1">
        <ns0:f>M614/E614</ns0:f>
        <ns0:v/>
      </ns0:c>
      <ns0:c r="O614" s="1" t="n">
        <ns0:v>0</ns0:v>
      </ns0:c>
      <ns0:c r="P614" s="1" t="n">
        <ns0:v>4</ns0:v>
      </ns0:c>
      <ns0:c r="Q614" s="1">
        <ns0:f>+P614+O614+J614+I614+H614+G614</ns0:f>
        <ns0:v/>
      </ns0:c>
      <ns0:c r="R614" s="1">
        <ns0:f>+Q614/E614</ns0:f>
        <ns0:v/>
      </ns0:c>
    </ns0:row>
    <ns0:row r="615" ht="26.25" customHeight="1">
      <ns0:c r="G615" s="1">
        <ns0:f>+G614/M614</ns0:f>
        <ns0:v/>
      </ns0:c>
      <ns0:c r="H615" s="1">
        <ns0:f>+H614/M614</ns0:f>
        <ns0:v/>
      </ns0:c>
      <ns0:c r="I615" s="1">
        <ns0:f>+I614/M614</ns0:f>
        <ns0:v/>
      </ns0:c>
      <ns0:c r="J615" s="1">
        <ns0:f>+J614/M614</ns0:f>
        <ns0:v/>
      </ns0:c>
      <ns0:c r="K615" s="1">
        <ns0:f>+K614/M614</ns0:f>
        <ns0:v/>
      </ns0:c>
      <ns0:c r="L615" s="1">
        <ns0:f>+L614/M614</ns0:f>
        <ns0:v/>
      </ns0:c>
      <ns0:c r="O615" s="1">
        <ns0:f>+O614/Q614</ns0:f>
        <ns0:v/>
      </ns0:c>
      <ns0:c r="P615" s="1">
        <ns0:f>+P614/Q614</ns0:f>
        <ns0:v/>
      </ns0:c>
    </ns0:row>
    <ns0:row r="616" ht="26.25" customHeight="1">
      <ns0:c r="D616" s="1" t="inlineStr">
        <ns0:is>
          <ns0:t>VP separate position mold #3</ns0:t>
        </ns0:is>
      </ns0:c>
      <ns0:c r="E616" s="1" t="n">
        <ns0:v>85</ns0:v>
      </ns0:c>
      <ns0:c r="F616" s="1">
        <ns0:f>+E616-M616</ns0:f>
        <ns0:v/>
      </ns0:c>
      <ns0:c r="G616" s="1" t="n">
        <ns0:v>0</ns0:v>
      </ns0:c>
      <ns0:c r="H616" s="1" t="n">
        <ns0:v>0</ns0:v>
      </ns0:c>
      <ns0:c r="I616" s="1" t="n">
        <ns0:v>0</ns0:v>
      </ns0:c>
      <ns0:c r="J616" s="1" t="n">
        <ns0:v>0</ns0:v>
      </ns0:c>
      <ns0:c r="K616" s="1" t="n">
        <ns0:v>1</ns0:v>
      </ns0:c>
      <ns0:c r="L616" s="1" t="n">
        <ns0:v>3</ns0:v>
      </ns0:c>
      <ns0:c r="M616" s="1">
        <ns0:f>SUM(G616:L616)</ns0:f>
        <ns0:v/>
      </ns0:c>
      <ns0:c r="N616" s="1">
        <ns0:f>M616/E616</ns0:f>
        <ns0:v/>
      </ns0:c>
      <ns0:c r="O616" s="1" t="n">
        <ns0:v>1</ns0:v>
      </ns0:c>
      <ns0:c r="P616" s="1" t="n">
        <ns0:v>0</ns0:v>
      </ns0:c>
      <ns0:c r="Q616" s="1">
        <ns0:f>+P616+O616+J616+I616+H616+G616</ns0:f>
        <ns0:v/>
      </ns0:c>
      <ns0:c r="R616" s="1">
        <ns0:f>+Q616/E616</ns0:f>
        <ns0:v/>
      </ns0:c>
    </ns0:row>
    <ns0:row r="617" ht="26.25" customHeight="1">
      <ns0:c r="G617" s="1">
        <ns0:f>+G616/M616</ns0:f>
        <ns0:v/>
      </ns0:c>
      <ns0:c r="H617" s="1">
        <ns0:f>+H616/M616</ns0:f>
        <ns0:v/>
      </ns0:c>
      <ns0:c r="I617" s="1">
        <ns0:f>+I616/M616</ns0:f>
        <ns0:v/>
      </ns0:c>
      <ns0:c r="J617" s="1">
        <ns0:f>+J616/M616</ns0:f>
        <ns0:v/>
      </ns0:c>
      <ns0:c r="K617" s="1">
        <ns0:f>+K616/M616</ns0:f>
        <ns0:v/>
      </ns0:c>
      <ns0:c r="L617" s="1">
        <ns0:f>+L616/M616</ns0:f>
        <ns0:v/>
      </ns0:c>
      <ns0:c r="O617" s="1">
        <ns0:f>+O616/Q616</ns0:f>
        <ns0:v/>
      </ns0:c>
      <ns0:c r="P617" s="1">
        <ns0:f>+P616/Q616</ns0:f>
        <ns0:v/>
      </ns0:c>
    </ns0:row>
    <ns0:row r="618" ht="26.25" customHeight="1">
      <ns0:c r="C618" s="1" t="inlineStr">
        <ns0:is>
          <ns0:t>Normal</ns0:t>
        </ns0:is>
      </ns0:c>
      <ns0:c r="E618" s="1" t="n">
        <ns0:v>799</ns0:v>
      </ns0:c>
      <ns0:c r="F618" s="1">
        <ns0:f>+E618-M618</ns0:f>
        <ns0:v/>
      </ns0:c>
      <ns0:c r="G618" s="1" t="n">
        <ns0:v>1</ns0:v>
      </ns0:c>
      <ns0:c r="H618" s="1" t="n">
        <ns0:v>5</ns0:v>
      </ns0:c>
      <ns0:c r="I618" s="1" t="n">
        <ns0:v>0</ns0:v>
      </ns0:c>
      <ns0:c r="J618" s="1" t="n">
        <ns0:v>0</ns0:v>
      </ns0:c>
      <ns0:c r="K618" s="1" t="n">
        <ns0:v>9</ns0:v>
      </ns0:c>
      <ns0:c r="L618" s="1" t="n">
        <ns0:v>34</ns0:v>
      </ns0:c>
      <ns0:c r="M618" s="1">
        <ns0:f>SUM(G618:L618)</ns0:f>
        <ns0:v/>
      </ns0:c>
      <ns0:c r="N618" s="1">
        <ns0:f>M618/E618</ns0:f>
        <ns0:v/>
      </ns0:c>
      <ns0:c r="O618" s="1" t="n">
        <ns0:v>7</ns0:v>
      </ns0:c>
      <ns0:c r="P618" s="1" t="n">
        <ns0:v>20</ns0:v>
      </ns0:c>
      <ns0:c r="Q618" s="1">
        <ns0:f>+P618+O618+J618+I618+H618+G618</ns0:f>
        <ns0:v/>
      </ns0:c>
      <ns0:c r="R618" s="1">
        <ns0:f>+Q618/E618</ns0:f>
        <ns0:v/>
      </ns0:c>
    </ns0:row>
    <ns0:row r="619" ht="26.25" customHeight="1">
      <ns0:c r="G619" s="1">
        <ns0:f>+G618/M618</ns0:f>
        <ns0:v/>
      </ns0:c>
      <ns0:c r="H619" s="1">
        <ns0:f>+H618/M618</ns0:f>
        <ns0:v/>
      </ns0:c>
      <ns0:c r="I619" s="1">
        <ns0:f>+I618/M618</ns0:f>
        <ns0:v/>
      </ns0:c>
      <ns0:c r="J619" s="1">
        <ns0:f>+J618/M618</ns0:f>
        <ns0:v/>
      </ns0:c>
      <ns0:c r="K619" s="1">
        <ns0:f>+K618/M618</ns0:f>
        <ns0:v/>
      </ns0:c>
      <ns0:c r="L619" s="1">
        <ns0:f>+L618/M618</ns0:f>
        <ns0:v/>
      </ns0:c>
      <ns0:c r="O619" s="1">
        <ns0:f>+O618/Q618</ns0:f>
        <ns0:v/>
      </ns0:c>
      <ns0:c r="P619" s="1">
        <ns0:f>+P618/Q618</ns0:f>
        <ns0:v/>
      </ns0:c>
    </ns0:row>
    <ns0:row r="620" ht="26.25" customHeight="1">
      <ns0:c r="B620" s="2" t="n">
        <ns0:v>45517</ns0:v>
      </ns0:c>
      <ns0:c r="C620" s="1" t="inlineStr">
        <ns0:is>
          <ns0:t>VP</ns0:t>
        </ns0:is>
      </ns0:c>
      <ns0:c r="D620" s="1" t="inlineStr">
        <ns0:is>
          <ns0:t>VP TYPE 1 ( Forming morning )</ns0:t>
        </ns0:is>
      </ns0:c>
      <ns0:c r="E620" s="1" t="n">
        <ns0:v>49</ns0:v>
      </ns0:c>
      <ns0:c r="F620" s="1">
        <ns0:f>+E620-M620</ns0:f>
        <ns0:v/>
      </ns0:c>
      <ns0:c r="G620" s="1" t="n">
        <ns0:v>0</ns0:v>
      </ns0:c>
      <ns0:c r="H620" s="1" t="n">
        <ns0:v>0</ns0:v>
      </ns0:c>
      <ns0:c r="I620" s="1" t="n">
        <ns0:v>0</ns0:v>
      </ns0:c>
      <ns0:c r="J620" s="1" t="n">
        <ns0:v>0</ns0:v>
      </ns0:c>
      <ns0:c r="K620" s="1" t="n">
        <ns0:v>1</ns0:v>
      </ns0:c>
      <ns0:c r="L620" s="1" t="n">
        <ns0:v>1</ns0:v>
      </ns0:c>
      <ns0:c r="M620" s="1">
        <ns0:f>SUM(G620:L620)</ns0:f>
        <ns0:v/>
      </ns0:c>
      <ns0:c r="N620" s="1">
        <ns0:f>M620/E620</ns0:f>
        <ns0:v/>
      </ns0:c>
      <ns0:c r="O620" s="1" t="n">
        <ns0:v>1</ns0:v>
      </ns0:c>
      <ns0:c r="P620" s="1" t="n">
        <ns0:v>1</ns0:v>
      </ns0:c>
      <ns0:c r="Q620" s="1">
        <ns0:f>+P620+O620+J620+I620+H620+G620</ns0:f>
        <ns0:v/>
      </ns0:c>
      <ns0:c r="R620" s="1">
        <ns0:f>+Q620/E620</ns0:f>
        <ns0:v/>
      </ns0:c>
    </ns0:row>
    <ns0:row r="621" ht="26.25" customHeight="1">
      <ns0:c r="G621" s="1">
        <ns0:f>+G620/M620</ns0:f>
        <ns0:v/>
      </ns0:c>
      <ns0:c r="H621" s="1">
        <ns0:f>+H620/M620</ns0:f>
        <ns0:v/>
      </ns0:c>
      <ns0:c r="I621" s="1">
        <ns0:f>+I620/M620</ns0:f>
        <ns0:v/>
      </ns0:c>
      <ns0:c r="J621" s="1">
        <ns0:f>+J620/M620</ns0:f>
        <ns0:v/>
      </ns0:c>
      <ns0:c r="K621" s="1">
        <ns0:f>+K620/M620</ns0:f>
        <ns0:v/>
      </ns0:c>
      <ns0:c r="L621" s="1">
        <ns0:f>+L620/M620</ns0:f>
        <ns0:v/>
      </ns0:c>
      <ns0:c r="O621" s="1">
        <ns0:f>+O620/Q620</ns0:f>
        <ns0:v/>
      </ns0:c>
      <ns0:c r="P621" s="1">
        <ns0:f>+P620/Q620</ns0:f>
        <ns0:v/>
      </ns0:c>
    </ns0:row>
    <ns0:row r="622" ht="26.25" customHeight="1">
      <ns0:c r="D622" s="1" t="inlineStr">
        <ns0:is>
          <ns0:t>VP TYPE 2  ( Forming 12h35' )</ns0:t>
        </ns0:is>
      </ns0:c>
      <ns0:c r="E622" s="1" t="n">
        <ns0:v>50</ns0:v>
      </ns0:c>
      <ns0:c r="F622" s="1">
        <ns0:f>+E622-M622</ns0:f>
        <ns0:v/>
      </ns0:c>
      <ns0:c r="G622" s="1" t="n">
        <ns0:v>1</ns0:v>
      </ns0:c>
      <ns0:c r="H622" s="1" t="n">
        <ns0:v>0</ns0:v>
      </ns0:c>
      <ns0:c r="I622" s="1" t="n">
        <ns0:v>0</ns0:v>
      </ns0:c>
      <ns0:c r="J622" s="1" t="n">
        <ns0:v>0</ns0:v>
      </ns0:c>
      <ns0:c r="K622" s="1" t="n">
        <ns0:v>2</ns0:v>
      </ns0:c>
      <ns0:c r="L622" s="1" t="n">
        <ns0:v>0</ns0:v>
      </ns0:c>
      <ns0:c r="M622" s="1">
        <ns0:f>SUM(G622:L622)</ns0:f>
        <ns0:v/>
      </ns0:c>
      <ns0:c r="N622" s="1">
        <ns0:f>M622/E622</ns0:f>
        <ns0:v/>
      </ns0:c>
      <ns0:c r="O622" s="1" t="n">
        <ns0:v>2</ns0:v>
      </ns0:c>
      <ns0:c r="P622" s="1" t="n">
        <ns0:v>0</ns0:v>
      </ns0:c>
      <ns0:c r="Q622" s="1">
        <ns0:f>+P622+O622+J622+I622+H622+G622</ns0:f>
        <ns0:v/>
      </ns0:c>
      <ns0:c r="R622" s="1">
        <ns0:f>+Q622/E622</ns0:f>
        <ns0:v/>
      </ns0:c>
    </ns0:row>
    <ns0:row r="623" ht="26.25" customHeight="1">
      <ns0:c r="G623" s="1">
        <ns0:f>+G622/M622</ns0:f>
        <ns0:v/>
      </ns0:c>
      <ns0:c r="H623" s="1">
        <ns0:f>+H622/M622</ns0:f>
        <ns0:v/>
      </ns0:c>
      <ns0:c r="I623" s="1">
        <ns0:f>+I622/M622</ns0:f>
        <ns0:v/>
      </ns0:c>
      <ns0:c r="J623" s="1">
        <ns0:f>+J622/M622</ns0:f>
        <ns0:v/>
      </ns0:c>
      <ns0:c r="K623" s="1">
        <ns0:f>+K622/M622</ns0:f>
        <ns0:v/>
      </ns0:c>
      <ns0:c r="L623" s="1">
        <ns0:f>+L622/M622</ns0:f>
        <ns0:v/>
      </ns0:c>
      <ns0:c r="O623" s="1">
        <ns0:f>+O622/Q622</ns0:f>
        <ns0:v/>
      </ns0:c>
      <ns0:c r="P623" s="1">
        <ns0:f>+P622/Q622</ns0:f>
        <ns0:v/>
      </ns0:c>
    </ns0:row>
    <ns0:row r="624" ht="26.25" customHeight="1">
      <ns0:c r="D624" s="1" t="inlineStr">
        <ns0:is>
          <ns0:t>VP TYPE 3  ( Forming Early afternoon )</ns0:t>
        </ns0:is>
      </ns0:c>
      <ns0:c r="E624" s="1" t="n">
        <ns0:v>50</ns0:v>
      </ns0:c>
      <ns0:c r="F624" s="1">
        <ns0:f>+E624-M624</ns0:f>
        <ns0:v/>
      </ns0:c>
      <ns0:c r="G624" s="1" t="n">
        <ns0:v>0</ns0:v>
      </ns0:c>
      <ns0:c r="H624" s="1" t="n">
        <ns0:v>0</ns0:v>
      </ns0:c>
      <ns0:c r="I624" s="1" t="n">
        <ns0:v>0</ns0:v>
      </ns0:c>
      <ns0:c r="J624" s="1" t="n">
        <ns0:v>0</ns0:v>
      </ns0:c>
      <ns0:c r="K624" s="1" t="n">
        <ns0:v>3</ns0:v>
      </ns0:c>
      <ns0:c r="L624" s="1" t="n">
        <ns0:v>2</ns0:v>
      </ns0:c>
      <ns0:c r="M624" s="1">
        <ns0:f>SUM(G624:L624)</ns0:f>
        <ns0:v/>
      </ns0:c>
      <ns0:c r="N624" s="1">
        <ns0:f>M624/E624</ns0:f>
        <ns0:v/>
      </ns0:c>
      <ns0:c r="O624" s="1" t="n">
        <ns0:v>3</ns0:v>
      </ns0:c>
      <ns0:c r="P624" s="1" t="n">
        <ns0:v>1</ns0:v>
      </ns0:c>
      <ns0:c r="Q624" s="1">
        <ns0:f>+P624+O624+J624+I624+H624+G624</ns0:f>
        <ns0:v/>
      </ns0:c>
      <ns0:c r="R624" s="1">
        <ns0:f>+Q624/E624</ns0:f>
        <ns0:v/>
      </ns0:c>
    </ns0:row>
    <ns0:row r="625" ht="26.25" customHeight="1">
      <ns0:c r="G625" s="1">
        <ns0:f>+G624/M624</ns0:f>
        <ns0:v/>
      </ns0:c>
      <ns0:c r="H625" s="1">
        <ns0:f>+H624/M624</ns0:f>
        <ns0:v/>
      </ns0:c>
      <ns0:c r="I625" s="1">
        <ns0:f>+I624/M624</ns0:f>
        <ns0:v/>
      </ns0:c>
      <ns0:c r="J625" s="1">
        <ns0:f>+J624/M624</ns0:f>
        <ns0:v/>
      </ns0:c>
      <ns0:c r="K625" s="1">
        <ns0:f>+K624/M624</ns0:f>
        <ns0:v/>
      </ns0:c>
      <ns0:c r="L625" s="1">
        <ns0:f>+L624/M624</ns0:f>
        <ns0:v/>
      </ns0:c>
      <ns0:c r="O625" s="1">
        <ns0:f>+O624/Q624</ns0:f>
        <ns0:v/>
      </ns0:c>
      <ns0:c r="P625" s="1">
        <ns0:f>+P624/Q624</ns0:f>
        <ns0:v/>
      </ns0:c>
    </ns0:row>
    <ns0:row r="626" ht="26.25" customHeight="1">
      <ns0:c r="D626" s="1" t="inlineStr">
        <ns0:is>
          <ns0:t>VP TYPE 4 ( Forming finish afternoon working 5pm)</ns0:t>
        </ns0:is>
      </ns0:c>
      <ns0:c r="E626" s="1" t="n">
        <ns0:v>49</ns0:v>
      </ns0:c>
      <ns0:c r="F626" s="1">
        <ns0:f>+E626-M626</ns0:f>
        <ns0:v/>
      </ns0:c>
      <ns0:c r="G626" s="1" t="n">
        <ns0:v>0</ns0:v>
      </ns0:c>
      <ns0:c r="H626" s="1" t="n">
        <ns0:v>0</ns0:v>
      </ns0:c>
      <ns0:c r="I626" s="1" t="n">
        <ns0:v>0</ns0:v>
      </ns0:c>
      <ns0:c r="J626" s="1" t="n">
        <ns0:v>0</ns0:v>
      </ns0:c>
      <ns0:c r="K626" s="1" t="n">
        <ns0:v>1</ns0:v>
      </ns0:c>
      <ns0:c r="L626" s="1" t="n">
        <ns0:v>0</ns0:v>
      </ns0:c>
      <ns0:c r="M626" s="1">
        <ns0:f>SUM(G626:L626)</ns0:f>
        <ns0:v/>
      </ns0:c>
      <ns0:c r="N626" s="1">
        <ns0:f>M626/E626</ns0:f>
        <ns0:v/>
      </ns0:c>
      <ns0:c r="O626" s="1" t="n">
        <ns0:v>0</ns0:v>
      </ns0:c>
      <ns0:c r="P626" s="1" t="n">
        <ns0:v>0</ns0:v>
      </ns0:c>
      <ns0:c r="Q626" s="1">
        <ns0:f>+P626+O626+J626+I626+H626+G626</ns0:f>
        <ns0:v/>
      </ns0:c>
      <ns0:c r="R626" s="1">
        <ns0:f>+Q626/E626</ns0:f>
        <ns0:v/>
      </ns0:c>
    </ns0:row>
    <ns0:row r="627" ht="26.25" customHeight="1">
      <ns0:c r="G627" s="1">
        <ns0:f>+G626/M626</ns0:f>
        <ns0:v/>
      </ns0:c>
      <ns0:c r="H627" s="1">
        <ns0:f>+H626/M626</ns0:f>
        <ns0:v/>
      </ns0:c>
      <ns0:c r="I627" s="1">
        <ns0:f>+I626/M626</ns0:f>
        <ns0:v/>
      </ns0:c>
      <ns0:c r="J627" s="1">
        <ns0:f>+J626/M626</ns0:f>
        <ns0:v/>
      </ns0:c>
      <ns0:c r="K627" s="1">
        <ns0:f>+K626/M626</ns0:f>
        <ns0:v/>
      </ns0:c>
      <ns0:c r="L627" s="1">
        <ns0:f>+L626/M626</ns0:f>
        <ns0:v/>
      </ns0:c>
      <ns0:c r="O627" s="1">
        <ns0:f>+O626/Q626</ns0:f>
        <ns0:v/>
      </ns0:c>
      <ns0:c r="P627" s="1">
        <ns0:f>+P626/Q626</ns0:f>
        <ns0:v/>
      </ns0:c>
    </ns0:row>
    <ns0:row r="628" ht="26.25" customHeight="1">
      <ns0:c r="D628" s="1" t="inlineStr">
        <ns0:is>
          <ns0:t>VP TYPE 5 Normal ( Forming 10Am and 3pm )</ns0:t>
        </ns0:is>
      </ns0:c>
      <ns0:c r="E628" s="1" t="n">
        <ns0:v>50</ns0:v>
      </ns0:c>
      <ns0:c r="F628" s="1">
        <ns0:f>+E628-M628</ns0:f>
        <ns0:v/>
      </ns0:c>
      <ns0:c r="G628" s="1" t="n">
        <ns0:v>0</ns0:v>
      </ns0:c>
      <ns0:c r="H628" s="1" t="n">
        <ns0:v>0</ns0:v>
      </ns0:c>
      <ns0:c r="I628" s="1" t="n">
        <ns0:v>1</ns0:v>
      </ns0:c>
      <ns0:c r="J628" s="1" t="n">
        <ns0:v>0</ns0:v>
      </ns0:c>
      <ns0:c r="K628" s="1" t="n">
        <ns0:v>5</ns0:v>
      </ns0:c>
      <ns0:c r="L628" s="1" t="n">
        <ns0:v>0</ns0:v>
      </ns0:c>
      <ns0:c r="M628" s="1">
        <ns0:f>SUM(G628:L628)</ns0:f>
        <ns0:v/>
      </ns0:c>
      <ns0:c r="N628" s="1">
        <ns0:f>M628/E628</ns0:f>
        <ns0:v/>
      </ns0:c>
      <ns0:c r="O628" s="1" t="n">
        <ns0:v>2</ns0:v>
      </ns0:c>
      <ns0:c r="P628" s="1" t="n">
        <ns0:v>0</ns0:v>
      </ns0:c>
      <ns0:c r="Q628" s="1">
        <ns0:f>+P628+O628+J628+I628+H628+G628</ns0:f>
        <ns0:v/>
      </ns0:c>
      <ns0:c r="R628" s="1">
        <ns0:f>+Q628/E628</ns0:f>
        <ns0:v/>
      </ns0:c>
    </ns0:row>
    <ns0:row r="629" ht="26.25" customHeight="1">
      <ns0:c r="G629" s="1">
        <ns0:f>+G628/M628</ns0:f>
        <ns0:v/>
      </ns0:c>
      <ns0:c r="H629" s="1">
        <ns0:f>+H628/M628</ns0:f>
        <ns0:v/>
      </ns0:c>
      <ns0:c r="I629" s="1">
        <ns0:f>+I628/M628</ns0:f>
        <ns0:v/>
      </ns0:c>
      <ns0:c r="J629" s="1">
        <ns0:f>+J628/M628</ns0:f>
        <ns0:v/>
      </ns0:c>
      <ns0:c r="K629" s="1">
        <ns0:f>+K628/M628</ns0:f>
        <ns0:v/>
      </ns0:c>
      <ns0:c r="L629" s="1">
        <ns0:f>+L628/M628</ns0:f>
        <ns0:v/>
      </ns0:c>
      <ns0:c r="O629" s="1">
        <ns0:f>+O628/Q628</ns0:f>
        <ns0:v/>
      </ns0:c>
      <ns0:c r="P629" s="1">
        <ns0:f>+P628/Q628</ns0:f>
        <ns0:v/>
      </ns0:c>
    </ns0:row>
    <ns0:row r="630" ht="26.25" customHeight="1">
      <ns0:c r="B630" s="2" t="n">
        <ns0:v>45520</ns0:v>
      </ns0:c>
      <ns0:c r="C630" s="1" t="inlineStr">
        <ns0:is>
          <ns0:t>VP</ns0:t>
        </ns0:is>
      </ns0:c>
      <ns0:c r="D630" s="1" t="inlineStr">
        <ns0:is>
          <ns0:t>VP separate position mold #3</ns0:t>
        </ns0:is>
      </ns0:c>
      <ns0:c r="E630" s="1" t="n">
        <ns0:v>476</ns0:v>
      </ns0:c>
      <ns0:c r="F630" s="1">
        <ns0:f>+E630-M630</ns0:f>
        <ns0:v/>
      </ns0:c>
      <ns0:c r="G630" s="1" t="n">
        <ns0:v>0</ns0:v>
      </ns0:c>
      <ns0:c r="H630" s="1" t="n">
        <ns0:v>0</ns0:v>
      </ns0:c>
      <ns0:c r="I630" s="1" t="n">
        <ns0:v>0</ns0:v>
      </ns0:c>
      <ns0:c r="J630" s="1" t="n">
        <ns0:v>0</ns0:v>
      </ns0:c>
      <ns0:c r="K630" s="1" t="n">
        <ns0:v>5</ns0:v>
      </ns0:c>
      <ns0:c r="L630" s="1" t="n">
        <ns0:v>12</ns0:v>
      </ns0:c>
      <ns0:c r="M630" s="1">
        <ns0:f>SUM(G630:L630)</ns0:f>
        <ns0:v/>
      </ns0:c>
      <ns0:c r="N630" s="1">
        <ns0:f>M630/E630</ns0:f>
        <ns0:v/>
      </ns0:c>
      <ns0:c r="O630" s="1" t="n">
        <ns0:v>2</ns0:v>
      </ns0:c>
      <ns0:c r="P630" s="1" t="n">
        <ns0:v>9</ns0:v>
      </ns0:c>
      <ns0:c r="Q630" s="1">
        <ns0:f>+P630+O630+J630+I630+H630+G630</ns0:f>
        <ns0:v/>
      </ns0:c>
      <ns0:c r="R630" s="1">
        <ns0:f>+Q630/E630</ns0:f>
        <ns0:v/>
      </ns0:c>
    </ns0:row>
    <ns0:row r="631" ht="26.25" customHeight="1">
      <ns0:c r="G631" s="1">
        <ns0:f>+G630/M630</ns0:f>
        <ns0:v/>
      </ns0:c>
      <ns0:c r="H631" s="1">
        <ns0:f>+H630/M630</ns0:f>
        <ns0:v/>
      </ns0:c>
      <ns0:c r="I631" s="1">
        <ns0:f>+I630/M630</ns0:f>
        <ns0:v/>
      </ns0:c>
      <ns0:c r="J631" s="1">
        <ns0:f>+J630/M630</ns0:f>
        <ns0:v/>
      </ns0:c>
      <ns0:c r="K631" s="1">
        <ns0:f>+K630/M630</ns0:f>
        <ns0:v/>
      </ns0:c>
      <ns0:c r="L631" s="1">
        <ns0:f>+L630/M630</ns0:f>
        <ns0:v/>
      </ns0:c>
      <ns0:c r="O631" s="1">
        <ns0:f>+O630/Q630</ns0:f>
        <ns0:v/>
      </ns0:c>
      <ns0:c r="P631" s="1">
        <ns0:f>+P630/Q630</ns0:f>
        <ns0:v/>
      </ns0:c>
    </ns0:row>
    <ns0:row r="632" ht="26.25" customHeight="1">
      <ns0:c r="C632" s="1" t="inlineStr">
        <ns0:is>
          <ns0:t>Normal</ns0:t>
        </ns0:is>
      </ns0:c>
      <ns0:c r="E632" s="1" t="n">
        <ns0:v>936</ns0:v>
      </ns0:c>
      <ns0:c r="F632" s="1">
        <ns0:f>+E632-M632</ns0:f>
        <ns0:v/>
      </ns0:c>
      <ns0:c r="G632" s="1" t="n">
        <ns0:v>1</ns0:v>
      </ns0:c>
      <ns0:c r="H632" s="1" t="n">
        <ns0:v>1</ns0:v>
      </ns0:c>
      <ns0:c r="I632" s="1" t="n">
        <ns0:v>4</ns0:v>
      </ns0:c>
      <ns0:c r="J632" s="1" t="n">
        <ns0:v>0</ns0:v>
      </ns0:c>
      <ns0:c r="K632" s="1" t="n">
        <ns0:v>16</ns0:v>
      </ns0:c>
      <ns0:c r="L632" s="1" t="n">
        <ns0:v>26</ns0:v>
      </ns0:c>
      <ns0:c r="M632" s="1">
        <ns0:f>SUM(G632:L632)</ns0:f>
        <ns0:v/>
      </ns0:c>
      <ns0:c r="N632" s="1">
        <ns0:f>M632/E632</ns0:f>
        <ns0:v/>
      </ns0:c>
      <ns0:c r="O632" s="1" t="n">
        <ns0:v>10</ns0:v>
      </ns0:c>
      <ns0:c r="P632" s="1" t="n">
        <ns0:v>18</ns0:v>
      </ns0:c>
      <ns0:c r="Q632" s="1">
        <ns0:f>+P632+O632+J632+I632+H632+G632</ns0:f>
        <ns0:v/>
      </ns0:c>
      <ns0:c r="R632" s="1">
        <ns0:f>+Q632/E632</ns0:f>
        <ns0:v/>
      </ns0:c>
    </ns0:row>
    <ns0:row r="633" ht="26.25" customHeight="1">
      <ns0:c r="G633" s="1">
        <ns0:f>+G632/M632</ns0:f>
        <ns0:v/>
      </ns0:c>
      <ns0:c r="H633" s="1">
        <ns0:f>+H632/M632</ns0:f>
        <ns0:v/>
      </ns0:c>
      <ns0:c r="I633" s="1">
        <ns0:f>+I632/M632</ns0:f>
        <ns0:v/>
      </ns0:c>
      <ns0:c r="J633" s="1">
        <ns0:f>+J632/M632</ns0:f>
        <ns0:v/>
      </ns0:c>
      <ns0:c r="K633" s="1">
        <ns0:f>+K632/M632</ns0:f>
        <ns0:v/>
      </ns0:c>
      <ns0:c r="L633" s="1">
        <ns0:f>+L632/M632</ns0:f>
        <ns0:v/>
      </ns0:c>
      <ns0:c r="O633" s="1">
        <ns0:f>+O632/Q632</ns0:f>
        <ns0:v/>
      </ns0:c>
      <ns0:c r="P633" s="1">
        <ns0:f>+P632/Q632</ns0:f>
        <ns0:v/>
      </ns0:c>
    </ns0:row>
    <ns0:row r="634" ht="26.25" customHeight="1">
      <ns0:c r="B634" s="2" t="n">
        <ns0:v>45527</ns0:v>
      </ns0:c>
      <ns0:c r="C634" s="1" t="inlineStr">
        <ns0:is>
          <ns0:t>UV LED Coil + SP</ns0:t>
        </ns0:is>
      </ns0:c>
      <ns0:c r="D634" s="1" t="inlineStr">
        <ns0:is>
          <ns0:t>Down UV Led press ( 1 turn )</ns0:t>
        </ns0:is>
      </ns0:c>
      <ns0:c r="E634" s="1" t="n">
        <ns0:v>200</ns0:v>
      </ns0:c>
      <ns0:c r="F634" s="1">
        <ns0:f>+E634-M634</ns0:f>
        <ns0:v/>
      </ns0:c>
      <ns0:c r="G634" s="1" t="n">
        <ns0:v>1</ns0:v>
      </ns0:c>
      <ns0:c r="H634" s="1" t="n">
        <ns0:v>0</ns0:v>
      </ns0:c>
      <ns0:c r="I634" s="1" t="n">
        <ns0:v>0</ns0:v>
      </ns0:c>
      <ns0:c r="J634" s="1" t="n">
        <ns0:v>0</ns0:v>
      </ns0:c>
      <ns0:c r="K634" s="1" t="n">
        <ns0:v>1</ns0:v>
      </ns0:c>
      <ns0:c r="L634" s="1" t="n">
        <ns0:v>7</ns0:v>
      </ns0:c>
      <ns0:c r="M634" s="1">
        <ns0:f>SUM(G634:L634)</ns0:f>
        <ns0:v/>
      </ns0:c>
      <ns0:c r="N634" s="1">
        <ns0:f>M634/E634</ns0:f>
        <ns0:v/>
      </ns0:c>
      <ns0:c r="O634" s="1" t="n">
        <ns0:v>1</ns0:v>
      </ns0:c>
      <ns0:c r="P634" s="1" t="n">
        <ns0:v>5</ns0:v>
      </ns0:c>
      <ns0:c r="Q634" s="1">
        <ns0:f>+P634+O634+J634+I634+H634+G634</ns0:f>
        <ns0:v/>
      </ns0:c>
      <ns0:c r="R634" s="1">
        <ns0:f>+Q634/E634</ns0:f>
        <ns0:v/>
      </ns0:c>
    </ns0:row>
    <ns0:row r="635" ht="26.25" customHeight="1">
      <ns0:c r="G635" s="1">
        <ns0:f>+G634/M634</ns0:f>
        <ns0:v/>
      </ns0:c>
      <ns0:c r="H635" s="1">
        <ns0:f>+H634/M634</ns0:f>
        <ns0:v/>
      </ns0:c>
      <ns0:c r="I635" s="1">
        <ns0:f>+I634/M634</ns0:f>
        <ns0:v/>
      </ns0:c>
      <ns0:c r="J635" s="1">
        <ns0:f>+J634/M634</ns0:f>
        <ns0:v/>
      </ns0:c>
      <ns0:c r="K635" s="1">
        <ns0:f>+K634/M634</ns0:f>
        <ns0:v/>
      </ns0:c>
      <ns0:c r="L635" s="1">
        <ns0:f>+L634/M634</ns0:f>
        <ns0:v/>
      </ns0:c>
      <ns0:c r="O635" s="1">
        <ns0:f>+O634/Q634</ns0:f>
        <ns0:v/>
      </ns0:c>
      <ns0:c r="P635" s="1">
        <ns0:f>+P634/Q634</ns0:f>
        <ns0:v/>
      </ns0:c>
    </ns0:row>
    <ns0:row r="636" ht="26.25" customHeight="1">
      <ns0:c r="C636" s="1" t="inlineStr">
        <ns0:is>
          <ns0:t>Normal</ns0:t>
        </ns0:is>
      </ns0:c>
      <ns0:c r="E636" s="1" t="n">
        <ns0:v>250</ns0:v>
      </ns0:c>
      <ns0:c r="F636" s="1">
        <ns0:f>+E636-M636</ns0:f>
        <ns0:v/>
      </ns0:c>
      <ns0:c r="G636" s="1" t="n">
        <ns0:v>0</ns0:v>
      </ns0:c>
      <ns0:c r="H636" s="1" t="n">
        <ns0:v>0</ns0:v>
      </ns0:c>
      <ns0:c r="I636" s="1" t="n">
        <ns0:v>0</ns0:v>
      </ns0:c>
      <ns0:c r="J636" s="1" t="n">
        <ns0:v>0</ns0:v>
      </ns0:c>
      <ns0:c r="K636" s="1" t="n">
        <ns0:v>1</ns0:v>
      </ns0:c>
      <ns0:c r="L636" s="1" t="n">
        <ns0:v>36</ns0:v>
      </ns0:c>
      <ns0:c r="M636" s="1">
        <ns0:f>SUM(G636:L636)</ns0:f>
        <ns0:v/>
      </ns0:c>
      <ns0:c r="N636" s="1">
        <ns0:f>M636/E636</ns0:f>
        <ns0:v/>
      </ns0:c>
      <ns0:c r="O636" s="1" t="n">
        <ns0:v>1</ns0:v>
      </ns0:c>
      <ns0:c r="P636" s="1" t="n">
        <ns0:v>13</ns0:v>
      </ns0:c>
      <ns0:c r="Q636" s="1">
        <ns0:f>+P636+O636+J636+I636+H636+G636</ns0:f>
        <ns0:v/>
      </ns0:c>
      <ns0:c r="R636" s="1">
        <ns0:f>+Q636/E636</ns0:f>
        <ns0:v/>
      </ns0:c>
    </ns0:row>
    <ns0:row r="637" ht="26.25" customHeight="1">
      <ns0:c r="G637" s="1">
        <ns0:f>+G636/M636</ns0:f>
        <ns0:v/>
      </ns0:c>
      <ns0:c r="H637" s="1">
        <ns0:f>+H636/M636</ns0:f>
        <ns0:v/>
      </ns0:c>
      <ns0:c r="I637" s="1">
        <ns0:f>+I636/M636</ns0:f>
        <ns0:v/>
      </ns0:c>
      <ns0:c r="J637" s="1">
        <ns0:f>+J636/M636</ns0:f>
        <ns0:v/>
      </ns0:c>
      <ns0:c r="K637" s="1">
        <ns0:f>+K636/M636</ns0:f>
        <ns0:v/>
      </ns0:c>
      <ns0:c r="L637" s="1">
        <ns0:f>+L636/M636</ns0:f>
        <ns0:v/>
      </ns0:c>
      <ns0:c r="O637" s="1">
        <ns0:f>+O636/Q636</ns0:f>
        <ns0:v/>
      </ns0:c>
      <ns0:c r="P637" s="1">
        <ns0:f>+P636/Q636</ns0:f>
        <ns0:v/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M61"/>
  <ns0:sheetViews>
    <ns0:sheetView workbookViewId="0">
      <ns0:selection activeCell="A1" sqref="A1"/>
    </ns0:sheetView>
  </ns0:sheetViews>
  <ns0:sheetFormatPr baseColWidth="8" defaultRowHeight="15"/>
  <ns0:cols>
    <ns0:col width="21.14285714285714" customWidth="1" min="1" max="1"/>
    <ns0:col width="15.42857142857143" customWidth="1" min="2" max="2"/>
    <ns0:col width="61.14285714285715" customWidth="1" min="3" max="3"/>
    <ns0:col width="61.14285714285715" customWidth="1" min="4" max="4"/>
    <ns0:col width="22.71428571428572" customWidth="1" min="5" max="5"/>
    <ns0:col width="22.71428571428572" customWidth="1" min="6" max="6"/>
    <ns0:col width="19.85714285714286" customWidth="1" min="7" max="7"/>
    <ns0:col width="19.85714285714286" customWidth="1" min="8" max="8"/>
    <ns0:col width="26.85714285714286" customWidth="1" min="9" max="9"/>
    <ns0:col width="31" customWidth="1" min="10" max="10"/>
    <ns0:col width="17.57142857142857" customWidth="1" min="11" max="11"/>
    <ns0:col width="17.57142857142857" customWidth="1" min="12" max="12"/>
    <ns0:col width="22.28571428571428" customWidth="1" min="13" max="13"/>
    <ns0:col width="26.71428571428572" customWidth="1" min="14" max="14"/>
    <ns0:col width="18.28571428571428" customWidth="1" min="15" max="15"/>
    <ns0:col width="18.28571428571428" customWidth="1" min="16" max="16"/>
    <ns0:col width="18.28571428571428" customWidth="1" min="17" max="17"/>
    <ns0:col width="26.85714285714286" customWidth="1" min="18" max="18"/>
    <ns0:col width="25.71428571428572" customWidth="1" min="19" max="19"/>
    <ns0:col width="25.71428571428572" customWidth="1" min="20" max="20"/>
    <ns0:col width="25.71428571428572" customWidth="1" min="21" max="21"/>
    <ns0:col width="31.42857142857143" customWidth="1" min="22" max="22"/>
  </ns0:cols>
  <ns0:sheetData>
    <ns0:row r="1" ht="16.5" customHeight="1"/>
    <ns0:row r="2" ht="40.6875" customHeight="1">
      <ns0:c r="A2" s="3" t="inlineStr">
        <ns0:is>
          <ns0:t>TITLE</ns0:t>
        </ns0:is>
      </ns0:c>
      <ns0:c r="B2" s="4" t="n"/>
      <ns0:c r="C2" s="5" t="inlineStr">
        <ns0:is>
          <ns0:t>REPORT CHECKING AND TEST REDUCE HEIGHT DIMENSION COIL  OF MODEL BRS-201506</ns0:t>
        </ns0:is>
      </ns0:c>
      <ns0:c r="D2" s="6" t="n"/>
      <ns0:c r="E2" s="6" t="n"/>
      <ns0:c r="F2" s="6" t="n"/>
      <ns0:c r="G2" s="6" t="n"/>
      <ns0:c r="H2" s="6" t="n"/>
      <ns0:c r="I2" s="6" t="n"/>
      <ns0:c r="J2" s="6" t="n"/>
      <ns0:c r="K2" s="6" t="n"/>
      <ns0:c r="L2" s="6" t="n"/>
      <ns0:c r="M2" s="6" t="n"/>
      <ns0:c r="N2" s="6" t="n"/>
      <ns0:c r="O2" s="7" t="n"/>
      <ns0:c r="P2" s="7" t="n"/>
      <ns0:c r="Q2" s="7" t="n"/>
      <ns0:c r="R2" s="7" t="n"/>
      <ns0:c r="S2" s="7" t="n"/>
      <ns0:c r="T2" s="7" t="n"/>
      <ns0:c r="U2" s="8" t="inlineStr">
        <ns0:is>
          <ns0:t>Dept</ns0:t>
        </ns0:is>
      </ns0:c>
      <ns0:c r="V2" s="9" t="inlineStr">
        <ns0:is>
          <ns0:t>ME</ns0:t>
        </ns0:is>
      </ns0:c>
    </ns0:row>
    <ns0:row r="3" ht="40.6875" customHeight="1">
      <ns0:c r="A3" s="10" t="n"/>
      <ns0:c r="B3" s="11" t="n"/>
      <ns0:c r="C3" s="12" t="n"/>
      <ns0:c r="O3" s="13" t="n"/>
      <ns0:c r="P3" s="13" t="n"/>
      <ns0:c r="Q3" s="13" t="n"/>
      <ns0:c r="R3" s="13" t="n"/>
      <ns0:c r="S3" s="13" t="n"/>
      <ns0:c r="T3" s="13" t="n"/>
      <ns0:c r="U3" s="14" t="inlineStr">
        <ns0:is>
          <ns0:t>Date</ns0:t>
        </ns0:is>
      </ns0:c>
      <ns0:c r="V3" s="15" t="n">
        <ns0:v>45457</ns0:v>
      </ns0:c>
    </ns0:row>
    <ns0:row r="4" ht="40.6875" customHeight="1">
      <ns0:c r="A4" s="16" t="n"/>
      <ns0:c r="B4" s="17" t="n"/>
      <ns0:c r="C4" s="18" t="n"/>
      <ns0:c r="D4" s="19" t="n"/>
      <ns0:c r="E4" s="19" t="n"/>
      <ns0:c r="F4" s="19" t="n"/>
      <ns0:c r="G4" s="19" t="n"/>
      <ns0:c r="H4" s="19" t="n"/>
      <ns0:c r="I4" s="19" t="n"/>
      <ns0:c r="J4" s="19" t="n"/>
      <ns0:c r="K4" s="19" t="n"/>
      <ns0:c r="L4" s="19" t="n"/>
      <ns0:c r="M4" s="19" t="n"/>
      <ns0:c r="N4" s="19" t="n"/>
      <ns0:c r="O4" s="20" t="n"/>
      <ns0:c r="P4" s="20" t="n"/>
      <ns0:c r="Q4" s="20" t="n"/>
      <ns0:c r="R4" s="20" t="n"/>
      <ns0:c r="S4" s="20" t="n"/>
      <ns0:c r="T4" s="20" t="n"/>
      <ns0:c r="U4" s="14" t="inlineStr">
        <ns0:is>
          <ns0:t>Marker</ns0:t>
        </ns0:is>
      </ns0:c>
      <ns0:c r="V4" s="21" t="inlineStr">
        <ns0:is>
          <ns0:t>Thao</ns0:t>
        </ns0:is>
      </ns0:c>
    </ns0:row>
    <ns0:row r="5" ht="40.6875" customHeight="1">
      <ns0:c r="A5" s="22" t="inlineStr">
        <ns0:is>
          <ns0:t>I. Purpose.</ns0:t>
        </ns0:is>
      </ns0:c>
      <ns0:c r="B5" s="23" t="n"/>
      <ns0:c r="C5" s="23" t="n"/>
      <ns0:c r="D5" s="23" t="n"/>
      <ns0:c r="E5" s="23" t="n"/>
      <ns0:c r="F5" s="23" t="n"/>
      <ns0:c r="G5" s="23" t="n"/>
      <ns0:c r="H5" s="23" t="n"/>
      <ns0:c r="I5" s="23" t="n"/>
      <ns0:c r="J5" s="23" t="n"/>
      <ns0:c r="K5" s="23" t="n"/>
      <ns0:c r="L5" s="23" t="n"/>
      <ns0:c r="M5" s="23" t="n"/>
      <ns0:c r="N5" s="23" t="n"/>
      <ns0:c r="O5" s="23" t="n"/>
      <ns0:c r="P5" s="23" t="n"/>
      <ns0:c r="Q5" s="23" t="n"/>
      <ns0:c r="R5" s="23" t="n"/>
      <ns0:c r="S5" s="23" t="n"/>
      <ns0:c r="T5" s="23" t="n"/>
      <ns0:c r="U5" s="23" t="n"/>
      <ns0:c r="V5" s="24" t="n"/>
    </ns0:row>
    <ns0:row r="6" ht="40.6875" customHeight="1">
      <ns0:c r="A6" s="25" t="inlineStr">
        <ns0:is>
          <ns0:t xml:space="preserve"> - Find reason NG Function</ns0:t>
        </ns0:is>
      </ns0:c>
      <ns0:c r="B6" s="26" t="n"/>
      <ns0:c r="C6" s="26" t="n"/>
      <ns0:c r="D6" s="26" t="n"/>
      <ns0:c r="E6" s="26" t="n"/>
      <ns0:c r="F6" s="26" t="n"/>
      <ns0:c r="G6" s="26" t="n"/>
      <ns0:c r="H6" s="26" t="n"/>
      <ns0:c r="I6" s="26" t="n"/>
      <ns0:c r="J6" s="26" t="n"/>
      <ns0:c r="K6" s="26" t="n"/>
      <ns0:c r="L6" s="26" t="n"/>
      <ns0:c r="M6" s="26" t="n"/>
      <ns0:c r="N6" s="26" t="n"/>
      <ns0:c r="O6" s="26" t="n"/>
      <ns0:c r="P6" s="26" t="n"/>
      <ns0:c r="Q6" s="26" t="n"/>
      <ns0:c r="R6" s="26" t="n"/>
      <ns0:c r="S6" s="26" t="n"/>
      <ns0:c r="T6" s="26" t="n"/>
      <ns0:c r="U6" s="26" t="n"/>
      <ns0:c r="V6" s="27" t="n"/>
    </ns0:row>
    <ns0:row r="7" ht="40.6875" customHeight="1">
      <ns0:c r="A7" s="22" t="inlineStr">
        <ns0:is>
          <ns0:t>II. Content.</ns0:t>
        </ns0:is>
      </ns0:c>
      <ns0:c r="B7" s="23" t="n"/>
      <ns0:c r="C7" s="23" t="n"/>
      <ns0:c r="D7" s="23" t="n"/>
      <ns0:c r="E7" s="23" t="n"/>
      <ns0:c r="F7" s="23" t="n"/>
      <ns0:c r="G7" s="23" t="n"/>
      <ns0:c r="H7" s="23" t="n"/>
      <ns0:c r="I7" s="23" t="n"/>
      <ns0:c r="J7" s="23" t="n"/>
      <ns0:c r="K7" s="23" t="n"/>
      <ns0:c r="L7" s="23" t="n"/>
      <ns0:c r="M7" s="23" t="n"/>
      <ns0:c r="N7" s="23" t="n"/>
      <ns0:c r="O7" s="23" t="n"/>
      <ns0:c r="P7" s="23" t="n"/>
      <ns0:c r="Q7" s="23" t="n"/>
      <ns0:c r="R7" s="23" t="n"/>
      <ns0:c r="S7" s="23" t="n"/>
      <ns0:c r="T7" s="23" t="n"/>
      <ns0:c r="U7" s="23" t="n"/>
      <ns0:c r="V7" s="24" t="n"/>
      <ns0:c r="Z7" s="28" t="n"/>
      <ns0:c r="AA7" s="28" t="n"/>
      <ns0:c r="AB7" s="28" t="n"/>
      <ns0:c r="AC7" s="28" t="n"/>
      <ns0:c r="AD7" s="28" t="n"/>
      <ns0:c r="AE7" s="28" t="n"/>
      <ns0:c r="AF7" s="28" t="n"/>
      <ns0:c r="AG7" s="28" t="n"/>
      <ns0:c r="AH7" s="28" t="n"/>
      <ns0:c r="AI7" s="28" t="n"/>
      <ns0:c r="AJ7" s="28" t="n"/>
      <ns0:c r="AK7" s="28" t="n"/>
      <ns0:c r="AL7" s="28" t="n"/>
      <ns0:c r="AM7" s="28" t="n"/>
      <ns0:c r="AN7" s="28" t="n"/>
      <ns0:c r="AO7" s="28" t="n"/>
      <ns0:c r="AP7" s="28" t="n"/>
      <ns0:c r="AQ7" s="28" t="n"/>
      <ns0:c r="AR7" s="28" t="n"/>
      <ns0:c r="AS7" s="28" t="n"/>
      <ns0:c r="AT7" s="28" t="n"/>
      <ns0:c r="AU7" s="28" t="n"/>
      <ns0:c r="AV7" s="28" t="n"/>
      <ns0:c r="AW7" s="28" t="n"/>
      <ns0:c r="AX7" s="28" t="n"/>
      <ns0:c r="AY7" s="28" t="n"/>
      <ns0:c r="AZ7" s="28" t="n"/>
      <ns0:c r="BA7" s="28" t="n"/>
      <ns0:c r="BB7" s="28" t="n"/>
      <ns0:c r="BC7" s="28" t="n"/>
      <ns0:c r="BD7" s="28" t="n"/>
      <ns0:c r="BE7" s="28" t="n"/>
      <ns0:c r="BF7" s="28" t="n"/>
      <ns0:c r="BG7" s="28" t="n"/>
      <ns0:c r="BH7" s="28" t="n"/>
      <ns0:c r="BI7" s="28" t="n"/>
      <ns0:c r="BJ7" s="28" t="n"/>
      <ns0:c r="BK7" s="28" t="n"/>
      <ns0:c r="BL7" s="28" t="n"/>
      <ns0:c r="BM7" s="28" t="n"/>
    </ns0:row>
    <ns0:row r="8" ht="40.6875" customHeight="1">
      <ns0:c r="A8" s="29" t="n"/>
      <ns0:c r="B8" s="30" t="n"/>
      <ns0:c r="C8" s="30" t="n"/>
      <ns0:c r="D8" s="30" t="n"/>
      <ns0:c r="E8" s="31" t="n"/>
      <ns0:c r="F8" s="31" t="n"/>
      <ns0:c r="G8" s="31" t="n"/>
      <ns0:c r="H8" s="31" t="n"/>
      <ns0:c r="I8" s="31" t="n"/>
      <ns0:c r="J8" s="31" t="n"/>
      <ns0:c r="K8" s="31" t="n"/>
      <ns0:c r="L8" s="31" t="n"/>
      <ns0:c r="M8" s="31" t="n"/>
      <ns0:c r="N8" s="31" t="n"/>
      <ns0:c r="O8" s="31" t="n"/>
      <ns0:c r="P8" s="31" t="n"/>
      <ns0:c r="Q8" s="31" t="n"/>
      <ns0:c r="R8" s="31" t="n"/>
      <ns0:c r="S8" s="31" t="n"/>
      <ns0:c r="T8" s="31" t="n"/>
      <ns0:c r="U8" s="31" t="n"/>
      <ns0:c r="V8" s="32" t="n"/>
      <ns0:c r="Z8" s="28" t="n"/>
      <ns0:c r="AA8" s="28" t="n"/>
      <ns0:c r="AB8" s="28" t="n"/>
      <ns0:c r="AC8" s="28" t="n"/>
      <ns0:c r="AD8" s="28" t="n"/>
      <ns0:c r="AE8" s="28" t="n"/>
      <ns0:c r="AF8" s="28" t="n"/>
      <ns0:c r="AG8" s="28" t="n"/>
      <ns0:c r="AH8" s="28" t="n"/>
      <ns0:c r="AI8" s="28" t="n"/>
      <ns0:c r="AJ8" s="28" t="n"/>
      <ns0:c r="AK8" s="28" t="n"/>
      <ns0:c r="AL8" s="28" t="n"/>
      <ns0:c r="AM8" s="28" t="n"/>
      <ns0:c r="AN8" s="28" t="n"/>
      <ns0:c r="AO8" s="28" t="n"/>
      <ns0:c r="AP8" s="28" t="n"/>
      <ns0:c r="AQ8" s="28" t="n"/>
      <ns0:c r="AR8" s="28" t="n"/>
      <ns0:c r="AS8" s="28" t="n"/>
      <ns0:c r="AT8" s="28" t="n"/>
      <ns0:c r="AU8" s="28" t="n"/>
      <ns0:c r="AV8" s="28" t="n"/>
      <ns0:c r="AW8" s="28" t="n"/>
      <ns0:c r="AX8" s="28" t="n"/>
      <ns0:c r="AY8" s="28" t="n"/>
      <ns0:c r="AZ8" s="28" t="n"/>
      <ns0:c r="BA8" s="28" t="n"/>
      <ns0:c r="BB8" s="28" t="n"/>
      <ns0:c r="BC8" s="28" t="n"/>
      <ns0:c r="BD8" s="28" t="n"/>
      <ns0:c r="BE8" s="28" t="n"/>
      <ns0:c r="BF8" s="28" t="n"/>
      <ns0:c r="BG8" s="28" t="n"/>
      <ns0:c r="BH8" s="28" t="n"/>
      <ns0:c r="BI8" s="28" t="n"/>
      <ns0:c r="BJ8" s="28" t="n"/>
      <ns0:c r="BK8" s="28" t="n"/>
      <ns0:c r="BL8" s="28" t="n"/>
      <ns0:c r="BM8" s="28" t="n"/>
    </ns0:row>
    <ns0:row r="9" ht="40.6875" customHeight="1">
      <ns0:c r="A9" s="29" t="n"/>
      <ns0:c r="B9" s="30" t="n"/>
      <ns0:c r="C9" s="30" t="n"/>
      <ns0:c r="D9" s="30" t="n"/>
      <ns0:c r="E9" s="31" t="n"/>
      <ns0:c r="F9" s="31" t="n"/>
      <ns0:c r="G9" s="31" t="n"/>
      <ns0:c r="H9" s="31" t="n"/>
      <ns0:c r="I9" s="31" t="n"/>
      <ns0:c r="J9" s="31" t="n"/>
      <ns0:c r="K9" s="31" t="n"/>
      <ns0:c r="L9" s="31" t="n"/>
      <ns0:c r="M9" s="31" t="n"/>
      <ns0:c r="N9" s="31" t="n"/>
      <ns0:c r="O9" s="31" t="n"/>
      <ns0:c r="P9" s="31" t="n"/>
      <ns0:c r="Q9" s="31" t="n"/>
      <ns0:c r="R9" s="31" t="n"/>
      <ns0:c r="S9" s="31" t="n"/>
      <ns0:c r="T9" s="31" t="n"/>
      <ns0:c r="U9" s="31" t="n"/>
      <ns0:c r="V9" s="32" t="n"/>
      <ns0:c r="Z9" s="28" t="n"/>
      <ns0:c r="AA9" s="28" t="n"/>
      <ns0:c r="AB9" s="28" t="n"/>
      <ns0:c r="AC9" s="28" t="n"/>
      <ns0:c r="AD9" s="28" t="n"/>
      <ns0:c r="AE9" s="28" t="n"/>
      <ns0:c r="AF9" s="28" t="n"/>
      <ns0:c r="AG9" s="28" t="n"/>
      <ns0:c r="AH9" s="28" t="n"/>
      <ns0:c r="AI9" s="28" t="n"/>
      <ns0:c r="AJ9" s="28" t="n"/>
      <ns0:c r="AK9" s="28" t="n"/>
      <ns0:c r="AL9" s="28" t="n"/>
      <ns0:c r="AM9" s="28" t="n"/>
      <ns0:c r="AN9" s="28" t="n"/>
      <ns0:c r="AO9" s="28" t="n"/>
      <ns0:c r="AP9" s="28" t="n"/>
      <ns0:c r="AQ9" s="28" t="n"/>
      <ns0:c r="AR9" s="28" t="n"/>
      <ns0:c r="AS9" s="28" t="n"/>
      <ns0:c r="AT9" s="28" t="n"/>
      <ns0:c r="AU9" s="28" t="n"/>
      <ns0:c r="AV9" s="28" t="n"/>
      <ns0:c r="AW9" s="28" t="n"/>
      <ns0:c r="AX9" s="28" t="n"/>
      <ns0:c r="AY9" s="28" t="n"/>
      <ns0:c r="AZ9" s="28" t="n"/>
      <ns0:c r="BA9" s="28" t="n"/>
      <ns0:c r="BB9" s="28" t="n"/>
      <ns0:c r="BC9" s="28" t="n"/>
      <ns0:c r="BD9" s="28" t="n"/>
      <ns0:c r="BE9" s="28" t="n"/>
      <ns0:c r="BF9" s="28" t="n"/>
      <ns0:c r="BG9" s="28" t="n"/>
      <ns0:c r="BH9" s="28" t="n"/>
      <ns0:c r="BI9" s="28" t="n"/>
      <ns0:c r="BJ9" s="28" t="n"/>
      <ns0:c r="BK9" s="28" t="n"/>
      <ns0:c r="BL9" s="28" t="n"/>
      <ns0:c r="BM9" s="28" t="n"/>
    </ns0:row>
    <ns0:row r="10" ht="40.6875" customHeight="1">
      <ns0:c r="A10" s="29" t="n"/>
      <ns0:c r="B10" s="30" t="n"/>
      <ns0:c r="C10" s="30" t="n"/>
      <ns0:c r="D10" s="30" t="n"/>
      <ns0:c r="E10" s="31" t="n"/>
      <ns0:c r="F10" s="31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1" t="n"/>
      <ns0:c r="T10" s="31" t="n"/>
      <ns0:c r="U10" s="31" t="n"/>
      <ns0:c r="V10" s="32" t="n"/>
      <ns0:c r="Z10" s="28" t="n"/>
      <ns0:c r="AA10" s="28" t="n"/>
      <ns0:c r="AB10" s="28" t="n"/>
      <ns0:c r="AC10" s="28" t="n"/>
      <ns0:c r="AD10" s="28" t="n"/>
      <ns0:c r="AE10" s="28" t="n"/>
      <ns0:c r="AF10" s="28" t="n"/>
      <ns0:c r="AG10" s="28" t="n"/>
      <ns0:c r="AH10" s="28" t="n"/>
      <ns0:c r="AI10" s="28" t="n"/>
      <ns0:c r="AJ10" s="28" t="n"/>
      <ns0:c r="AK10" s="28" t="n"/>
      <ns0:c r="AL10" s="28" t="n"/>
      <ns0:c r="AM10" s="28" t="n"/>
      <ns0:c r="AN10" s="28" t="n"/>
      <ns0:c r="AO10" s="28" t="n"/>
      <ns0:c r="AP10" s="28" t="n"/>
      <ns0:c r="AQ10" s="28" t="n"/>
      <ns0:c r="AR10" s="28" t="n"/>
      <ns0:c r="AS10" s="28" t="n"/>
      <ns0:c r="AT10" s="28" t="n"/>
      <ns0:c r="AU10" s="28" t="n"/>
      <ns0:c r="AV10" s="28" t="n"/>
      <ns0:c r="AW10" s="28" t="n"/>
      <ns0:c r="AX10" s="28" t="n"/>
      <ns0:c r="AY10" s="28" t="n"/>
      <ns0:c r="AZ10" s="28" t="n"/>
      <ns0:c r="BA10" s="28" t="n"/>
      <ns0:c r="BB10" s="28" t="n"/>
      <ns0:c r="BC10" s="28" t="n"/>
      <ns0:c r="BD10" s="28" t="n"/>
      <ns0:c r="BE10" s="28" t="n"/>
      <ns0:c r="BF10" s="28" t="n"/>
      <ns0:c r="BG10" s="28" t="n"/>
      <ns0:c r="BH10" s="28" t="n"/>
      <ns0:c r="BI10" s="28" t="n"/>
      <ns0:c r="BJ10" s="28" t="n"/>
      <ns0:c r="BK10" s="28" t="n"/>
      <ns0:c r="BL10" s="28" t="n"/>
      <ns0:c r="BM10" s="28" t="n"/>
    </ns0:row>
    <ns0:row r="11" ht="40.6875" customHeight="1">
      <ns0:c r="A11" s="29" t="n"/>
      <ns0:c r="B11" s="30" t="n"/>
      <ns0:c r="C11" s="30" t="n"/>
      <ns0:c r="D11" s="30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2" t="n"/>
      <ns0:c r="Z11" s="28" t="n"/>
      <ns0:c r="AA11" s="28" t="n"/>
      <ns0:c r="AB11" s="28" t="n"/>
      <ns0:c r="AC11" s="28" t="n"/>
      <ns0:c r="AD11" s="28" t="n"/>
      <ns0:c r="AE11" s="28" t="n"/>
      <ns0:c r="AF11" s="28" t="n"/>
      <ns0:c r="AG11" s="28" t="n"/>
      <ns0:c r="AH11" s="28" t="n"/>
      <ns0:c r="AI11" s="28" t="n"/>
      <ns0:c r="AJ11" s="28" t="n"/>
      <ns0:c r="AK11" s="28" t="n"/>
      <ns0:c r="AL11" s="28" t="n"/>
      <ns0:c r="AM11" s="28" t="n"/>
      <ns0:c r="AN11" s="28" t="n"/>
      <ns0:c r="AO11" s="28" t="n"/>
      <ns0:c r="AP11" s="28" t="n"/>
      <ns0:c r="AQ11" s="28" t="n"/>
      <ns0:c r="AR11" s="28" t="n"/>
      <ns0:c r="AS11" s="28" t="n"/>
      <ns0:c r="AT11" s="28" t="n"/>
      <ns0:c r="AU11" s="28" t="n"/>
      <ns0:c r="AV11" s="28" t="n"/>
      <ns0:c r="AW11" s="28" t="n"/>
      <ns0:c r="AX11" s="28" t="n"/>
      <ns0:c r="AY11" s="28" t="n"/>
      <ns0:c r="AZ11" s="28" t="n"/>
      <ns0:c r="BA11" s="28" t="n"/>
      <ns0:c r="BB11" s="28" t="n"/>
      <ns0:c r="BC11" s="28" t="n"/>
      <ns0:c r="BD11" s="28" t="n"/>
      <ns0:c r="BE11" s="28" t="n"/>
      <ns0:c r="BF11" s="28" t="n"/>
      <ns0:c r="BG11" s="28" t="n"/>
      <ns0:c r="BH11" s="28" t="n"/>
      <ns0:c r="BI11" s="28" t="n"/>
      <ns0:c r="BJ11" s="28" t="n"/>
      <ns0:c r="BK11" s="28" t="n"/>
      <ns0:c r="BL11" s="28" t="n"/>
      <ns0:c r="BM11" s="28" t="n"/>
    </ns0:row>
    <ns0:row r="12" ht="40.6875" customHeight="1">
      <ns0:c r="A12" s="29" t="n"/>
      <ns0:c r="B12" s="30" t="n"/>
      <ns0:c r="C12" s="30" t="n"/>
      <ns0:c r="D12" s="30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2" t="n"/>
      <ns0:c r="Z12" s="28" t="n"/>
      <ns0:c r="AA12" s="28" t="n"/>
      <ns0:c r="AB12" s="28" t="n"/>
      <ns0:c r="AC12" s="28" t="n"/>
      <ns0:c r="AD12" s="28" t="n"/>
      <ns0:c r="AE12" s="28" t="n"/>
      <ns0:c r="AF12" s="28" t="n"/>
      <ns0:c r="AG12" s="28" t="n"/>
      <ns0:c r="AH12" s="28" t="n"/>
      <ns0:c r="AI12" s="28" t="n"/>
      <ns0:c r="AJ12" s="28" t="n"/>
      <ns0:c r="AK12" s="28" t="n"/>
      <ns0:c r="AL12" s="28" t="n"/>
      <ns0:c r="AM12" s="28" t="n"/>
      <ns0:c r="AN12" s="28" t="n"/>
      <ns0:c r="AO12" s="28" t="n"/>
      <ns0:c r="AP12" s="28" t="n"/>
      <ns0:c r="AQ12" s="28" t="n"/>
      <ns0:c r="AR12" s="28" t="n"/>
      <ns0:c r="AS12" s="28" t="n"/>
      <ns0:c r="AT12" s="28" t="n"/>
      <ns0:c r="AU12" s="28" t="n"/>
      <ns0:c r="AV12" s="28" t="n"/>
      <ns0:c r="AW12" s="28" t="n"/>
      <ns0:c r="AX12" s="28" t="n"/>
      <ns0:c r="AY12" s="28" t="n"/>
      <ns0:c r="AZ12" s="28" t="n"/>
      <ns0:c r="BA12" s="28" t="n"/>
      <ns0:c r="BB12" s="28" t="n"/>
      <ns0:c r="BC12" s="28" t="n"/>
      <ns0:c r="BD12" s="28" t="n"/>
      <ns0:c r="BE12" s="28" t="n"/>
      <ns0:c r="BF12" s="28" t="n"/>
      <ns0:c r="BG12" s="28" t="n"/>
      <ns0:c r="BH12" s="28" t="n"/>
      <ns0:c r="BI12" s="28" t="n"/>
      <ns0:c r="BJ12" s="28" t="n"/>
      <ns0:c r="BK12" s="28" t="n"/>
      <ns0:c r="BL12" s="28" t="n"/>
      <ns0:c r="BM12" s="28" t="n"/>
    </ns0:row>
    <ns0:row r="13" ht="40.6875" customHeight="1">
      <ns0:c r="A13" s="29" t="n"/>
      <ns0:c r="B13" s="30" t="n"/>
      <ns0:c r="C13" s="30" t="n"/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2" t="n"/>
      <ns0:c r="Z13" s="28" t="n"/>
      <ns0:c r="AA13" s="28" t="n"/>
      <ns0:c r="AB13" s="28" t="n"/>
      <ns0:c r="AC13" s="28" t="n"/>
      <ns0:c r="AD13" s="28" t="n"/>
      <ns0:c r="AE13" s="28" t="n"/>
      <ns0:c r="AF13" s="28" t="n"/>
      <ns0:c r="AG13" s="28" t="n"/>
      <ns0:c r="AH13" s="28" t="n"/>
      <ns0:c r="AI13" s="28" t="n"/>
      <ns0:c r="AJ13" s="28" t="n"/>
      <ns0:c r="AK13" s="28" t="n"/>
      <ns0:c r="AL13" s="28" t="n"/>
      <ns0:c r="AM13" s="28" t="n"/>
      <ns0:c r="AN13" s="28" t="n"/>
      <ns0:c r="AO13" s="28" t="n"/>
      <ns0:c r="AP13" s="28" t="n"/>
      <ns0:c r="AQ13" s="28" t="n"/>
      <ns0:c r="AR13" s="28" t="n"/>
      <ns0:c r="AS13" s="28" t="n"/>
      <ns0:c r="AT13" s="28" t="n"/>
      <ns0:c r="AU13" s="28" t="n"/>
      <ns0:c r="AV13" s="28" t="n"/>
      <ns0:c r="AW13" s="28" t="n"/>
      <ns0:c r="AX13" s="28" t="n"/>
      <ns0:c r="AY13" s="28" t="n"/>
      <ns0:c r="AZ13" s="28" t="n"/>
      <ns0:c r="BA13" s="28" t="n"/>
      <ns0:c r="BB13" s="28" t="n"/>
      <ns0:c r="BC13" s="28" t="n"/>
      <ns0:c r="BD13" s="28" t="n"/>
      <ns0:c r="BE13" s="28" t="n"/>
      <ns0:c r="BF13" s="28" t="n"/>
      <ns0:c r="BG13" s="28" t="n"/>
      <ns0:c r="BH13" s="28" t="n"/>
      <ns0:c r="BI13" s="28" t="n"/>
      <ns0:c r="BJ13" s="28" t="n"/>
      <ns0:c r="BK13" s="28" t="n"/>
      <ns0:c r="BL13" s="28" t="n"/>
      <ns0:c r="BM13" s="28" t="n"/>
    </ns0:row>
    <ns0:row r="14" ht="40.6875" customHeight="1">
      <ns0:c r="A14" s="33" t="inlineStr">
        <ns0:is>
          <ns0:t xml:space="preserve">3.Result </ns0:t>
        </ns0:is>
      </ns0:c>
      <ns0:c r="B14" s="34" t="n"/>
      <ns0:c r="C14" s="34" t="n"/>
      <ns0:c r="D14" s="34" t="n"/>
      <ns0:c r="E14" s="34" t="n"/>
      <ns0:c r="F14" s="34" t="n"/>
      <ns0:c r="G14" s="34" t="n"/>
      <ns0:c r="H14" s="34" t="n"/>
      <ns0:c r="I14" s="34" t="n"/>
      <ns0:c r="J14" s="34" t="n"/>
      <ns0:c r="K14" s="34" t="n"/>
      <ns0:c r="L14" s="34" t="n"/>
      <ns0:c r="M14" s="34" t="n"/>
      <ns0:c r="N14" s="34" t="n"/>
      <ns0:c r="O14" s="34" t="n"/>
      <ns0:c r="P14" s="34" t="n"/>
      <ns0:c r="Q14" s="34" t="n"/>
      <ns0:c r="R14" s="34" t="n"/>
      <ns0:c r="S14" s="34" t="n"/>
      <ns0:c r="T14" s="34" t="n"/>
      <ns0:c r="U14" s="34" t="n"/>
      <ns0:c r="V14" s="35" t="n"/>
      <ns0:c r="W14" s="28" t="n"/>
      <ns0:c r="X14" s="28" t="n"/>
      <ns0:c r="Y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  <ns0:c r="AX14" s="28" t="n"/>
      <ns0:c r="AY14" s="28" t="n"/>
      <ns0:c r="AZ14" s="28" t="n"/>
      <ns0:c r="BA14" s="28" t="n"/>
      <ns0:c r="BB14" s="28" t="n"/>
      <ns0:c r="BC14" s="28" t="n"/>
      <ns0:c r="BD14" s="28" t="n"/>
      <ns0:c r="BE14" s="28" t="n"/>
      <ns0:c r="BF14" s="28" t="n"/>
      <ns0:c r="BG14" s="28" t="n"/>
      <ns0:c r="BH14" s="28" t="n"/>
      <ns0:c r="BI14" s="28" t="n"/>
      <ns0:c r="BJ14" s="28" t="n"/>
      <ns0:c r="BK14" s="28" t="n"/>
      <ns0:c r="BL14" s="28" t="n"/>
      <ns0:c r="BM14" s="28" t="n"/>
    </ns0:row>
    <ns0:row r="15" ht="48" customHeight="1">
      <ns0:c r="A15" s="36" t="n"/>
      <ns0:c r="B15" s="37" t="inlineStr">
        <ns0:is>
          <ns0:t>RESULT CHECKING FUNCTION OF MODEL BRS-2015</ns0:t>
        </ns0:is>
      </ns0:c>
      <ns0:c r="C15" s="37" t="n"/>
      <ns0:c r="D15" s="38" t="n"/>
      <ns0:c r="E15" s="39" t="n"/>
      <ns0:c r="F15" s="40" t="n"/>
      <ns0:c r="G15" s="40" t="n"/>
      <ns0:c r="H15" s="40" t="n"/>
      <ns0:c r="I15" s="40" t="n"/>
      <ns0:c r="J15" s="40" t="n"/>
      <ns0:c r="K15" s="40" t="n"/>
      <ns0:c r="L15" s="40" t="n"/>
      <ns0:c r="M15" s="41" t="n"/>
      <ns0:c r="N15" s="39" t="n"/>
      <ns0:c r="O15" s="39" t="n"/>
      <ns0:c r="P15" s="39" t="n"/>
      <ns0:c r="Q15" s="39" t="n"/>
      <ns0:c r="R15" s="39" t="n"/>
      <ns0:c r="S15" s="39" t="n"/>
      <ns0:c r="T15" s="39" t="n"/>
      <ns0:c r="U15" s="42" t="n"/>
      <ns0:c r="V15" s="43" t="n"/>
      <ns0:c r="W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  <ns0:c r="BH15" s="28" t="n"/>
      <ns0:c r="BI15" s="28" t="n"/>
      <ns0:c r="BJ15" s="28" t="n"/>
      <ns0:c r="BK15" s="28" t="n"/>
      <ns0:c r="BL15" s="28" t="n"/>
      <ns0:c r="BM15" s="28" t="n"/>
    </ns0:row>
    <ns0:row r="16" ht="48" customHeight="1">
      <ns0:c r="A16" s="36" t="n"/>
      <ns0:c r="B16" s="44" t="inlineStr">
        <ns0:is>
          <ns0:t>Date</ns0:t>
        </ns0:is>
      </ns0:c>
      <ns0:c r="C16" s="44" t="inlineStr">
        <ns0:is>
          <ns0:t>Type</ns0:t>
        </ns0:is>
      </ns0:c>
      <ns0:c r="D16" s="45" t="n"/>
      <ns0:c r="E16" s="46" t="inlineStr">
        <ns0:is>
          <ns0:t xml:space="preserve">Input </ns0:t>
        </ns0:is>
      </ns0:c>
      <ns0:c r="F16" s="44" t="inlineStr">
        <ns0:is>
          <ns0:t xml:space="preserve">OK </ns0:t>
        </ns0:is>
      </ns0:c>
      <ns0:c r="G16" s="44" t="inlineStr">
        <ns0:is>
          <ns0:t xml:space="preserve">Sigma </ns0:t>
        </ns0:is>
      </ns0:c>
      <ns0:c r="H16" s="23" t="n"/>
      <ns0:c r="I16" s="23" t="n"/>
      <ns0:c r="J16" s="47" t="n"/>
      <ns0:c r="K16" s="44" t="inlineStr">
        <ns0:is>
          <ns0:t xml:space="preserve">Hearing </ns0:t>
        </ns0:is>
      </ns0:c>
      <ns0:c r="L16" s="47" t="n"/>
      <ns0:c r="M16" s="44" t="inlineStr">
        <ns0:is>
          <ns0:t>Total NG</ns0:t>
        </ns0:is>
      </ns0:c>
      <ns0:c r="N16" s="44" t="inlineStr">
        <ns0:is>
          <ns0:t>Total NG rate</ns0:t>
        </ns0:is>
      </ns0:c>
      <ns0:c r="O16" s="44" t="inlineStr">
        <ns0:is>
          <ns0:t>Recheck Hearing</ns0:t>
        </ns0:is>
      </ns0:c>
      <ns0:c r="P16" s="47" t="n"/>
      <ns0:c r="Q16" s="44" t="inlineStr">
        <ns0:is>
          <ns0:t>Total NG</ns0:t>
        </ns0:is>
      </ns0:c>
      <ns0:c r="R16" s="44" t="inlineStr">
        <ns0:is>
          <ns0:t>Total NG rate</ns0:t>
        </ns0:is>
      </ns0:c>
      <ns0:c r="S16" s="39" t="n"/>
      <ns0:c r="T16" s="39" t="n"/>
      <ns0:c r="U16" s="42" t="n"/>
      <ns0:c r="V16" s="43" t="n"/>
      <ns0:c r="W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  <ns0:c r="BI16" s="28" t="n"/>
      <ns0:c r="BJ16" s="28" t="n"/>
      <ns0:c r="BK16" s="28" t="n"/>
      <ns0:c r="BL16" s="28" t="n"/>
      <ns0:c r="BM16" s="28" t="n"/>
    </ns0:row>
    <ns0:row r="17" ht="48" customHeight="1">
      <ns0:c r="A17" s="36" t="n"/>
      <ns0:c r="B17" s="48" t="n"/>
      <ns0:c r="C17" s="18" t="n"/>
      <ns0:c r="D17" s="17" t="n"/>
      <ns0:c r="E17" s="48" t="n"/>
      <ns0:c r="F17" s="48" t="n"/>
      <ns0:c r="G17" s="44" t="inlineStr">
        <ns0:is>
          <ns0:t xml:space="preserve">SPL </ns0:t>
        </ns0:is>
      </ns0:c>
      <ns0:c r="H17" s="44" t="inlineStr">
        <ns0:is>
          <ns0:t xml:space="preserve">THD </ns0:t>
        </ns0:is>
      </ns0:c>
      <ns0:c r="I17" s="44" t="inlineStr">
        <ns0:is>
          <ns0:t xml:space="preserve">SPL+THD </ns0:t>
        </ns0:is>
      </ns0:c>
      <ns0:c r="J17" s="44" t="inlineStr">
        <ns0:is>
          <ns0:t>SPL+THD+F0</ns0:t>
        </ns0:is>
      </ns0:c>
      <ns0:c r="K17" s="44" t="inlineStr">
        <ns0:is>
          <ns0:t xml:space="preserve">Noise </ns0:t>
        </ns0:is>
      </ns0:c>
      <ns0:c r="L17" s="44" t="inlineStr">
        <ns0:is>
          <ns0:t xml:space="preserve">Touch </ns0:t>
        </ns0:is>
      </ns0:c>
      <ns0:c r="M17" s="48" t="n"/>
      <ns0:c r="N17" s="48" t="n"/>
      <ns0:c r="O17" s="44" t="inlineStr">
        <ns0:is>
          <ns0:t xml:space="preserve">Noise </ns0:t>
        </ns0:is>
      </ns0:c>
      <ns0:c r="P17" s="44" t="inlineStr">
        <ns0:is>
          <ns0:t xml:space="preserve">Touch </ns0:t>
        </ns0:is>
      </ns0:c>
      <ns0:c r="Q17" s="48" t="n"/>
      <ns0:c r="R17" s="48" t="n"/>
      <ns0:c r="S17" s="39" t="n"/>
      <ns0:c r="T17" s="39" t="n"/>
      <ns0:c r="U17" s="42" t="n"/>
      <ns0:c r="V17" s="43" t="n"/>
      <ns0:c r="W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  <ns0:c r="BI17" s="28" t="n"/>
      <ns0:c r="BJ17" s="28" t="n"/>
      <ns0:c r="BK17" s="28" t="n"/>
      <ns0:c r="BL17" s="28" t="n"/>
      <ns0:c r="BM17" s="28" t="n"/>
    </ns0:row>
    <ns0:row r="18">
      <ns0:c r="A18" s="49" t="n"/>
      <ns0:c r="B18" s="50" t="n">
        <ns0:v>45489</ns0:v>
      </ns0:c>
      <ns0:c r="C18" s="51" t="inlineStr">
        <ns0:is>
          <ns0:t>VP</ns0:t>
        </ns0:is>
      </ns0:c>
      <ns0:c r="D18" s="52" t="inlineStr">
        <ns0:is>
          <ns0:t>VP CÓ VÂN</ns0:t>
        </ns0:is>
      </ns0:c>
      <ns0:c r="E18" s="53" t="n">
        <ns0:v>95</ns0:v>
      </ns0:c>
      <ns0:c r="F18" s="54" t="n">
        <ns0:v>77</ns0:v>
      </ns0:c>
      <ns0:c r="G18" s="54" t="n">
        <ns0:v>0</ns0:v>
      </ns0:c>
      <ns0:c r="H18" s="54" t="n">
        <ns0:v>0</ns0:v>
      </ns0:c>
      <ns0:c r="I18" s="54" t="n">
        <ns0:v>0</ns0:v>
      </ns0:c>
      <ns0:c r="J18" s="54" t="n">
        <ns0:v>0</ns0:v>
      </ns0:c>
      <ns0:c r="K18" s="54" t="n">
        <ns0:v>1</ns0:v>
      </ns0:c>
      <ns0:c r="L18" s="54" t="n">
        <ns0:v>17</ns0:v>
      </ns0:c>
      <ns0:c r="M18" s="54" t="n">
        <ns0:v>18</ns0:v>
      </ns0:c>
      <ns0:c r="N18" s="55" t="n">
        <ns0:v>0.1894736842105263</ns0:v>
      </ns0:c>
      <ns0:c r="O18" s="54" t="n">
        <ns0:v>1</ns0:v>
      </ns0:c>
      <ns0:c r="P18" s="54" t="n">
        <ns0:v>14</ns0:v>
      </ns0:c>
      <ns0:c r="Q18" s="54" t="n">
        <ns0:v>15</ns0:v>
      </ns0:c>
      <ns0:c r="R18" s="55" t="n">
        <ns0:v>0.1578947368421053</ns0:v>
      </ns0:c>
      <ns0:c r="S18" s="56" t="n"/>
      <ns0:c r="T18" s="56" t="n"/>
      <ns0:c r="U18" s="56" t="n"/>
      <ns0:c r="V18" s="57" t="n"/>
    </ns0:row>
    <ns0:row r="19">
      <ns0:c r="A19" s="49" t="n"/>
      <ns0:c r="B19" s="58" t="n"/>
      <ns0:c r="C19" s="58" t="n"/>
      <ns0:c r="D19" s="48" t="n"/>
      <ns0:c r="E19" s="48" t="n"/>
      <ns0:c r="F19" s="48" t="n"/>
      <ns0:c r="G19" s="59" t="n">
        <ns0:v>0</ns0:v>
      </ns0:c>
      <ns0:c r="H19" s="59" t="n">
        <ns0:v>0</ns0:v>
      </ns0:c>
      <ns0:c r="I19" s="59" t="n">
        <ns0:v>0</ns0:v>
      </ns0:c>
      <ns0:c r="J19" s="59" t="n">
        <ns0:v>0</ns0:v>
      </ns0:c>
      <ns0:c r="K19" s="59" t="n">
        <ns0:v>0.05555555555555555</ns0:v>
      </ns0:c>
      <ns0:c r="L19" s="59" t="n">
        <ns0:v>0.9444444444444444</ns0:v>
      </ns0:c>
      <ns0:c r="M19" s="48" t="n"/>
      <ns0:c r="N19" s="48" t="n"/>
      <ns0:c r="O19" s="59" t="n">
        <ns0:v>0.06666666666666667</ns0:v>
      </ns0:c>
      <ns0:c r="P19" s="59" t="n">
        <ns0:v>0.9333333333333333</ns0:v>
      </ns0:c>
      <ns0:c r="Q19" s="48" t="n"/>
      <ns0:c r="R19" s="48" t="n"/>
      <ns0:c r="S19" s="56" t="n"/>
      <ns0:c r="T19" s="56" t="n"/>
      <ns0:c r="U19" s="56" t="n"/>
      <ns0:c r="V19" s="57" t="n"/>
    </ns0:row>
    <ns0:row r="20">
      <ns0:c r="A20" s="49" t="n"/>
      <ns0:c r="B20" s="58" t="n"/>
      <ns0:c r="C20" s="58" t="n"/>
      <ns0:c r="D20" s="52" t="inlineStr">
        <ns0:is>
          <ns0:t>VP KHÔNG CÓ VÂN</ns0:t>
        </ns0:is>
      </ns0:c>
      <ns0:c r="E20" s="53" t="n">
        <ns0:v>50</ns0:v>
      </ns0:c>
      <ns0:c r="F20" s="54" t="n">
        <ns0:v>42</ns0:v>
      </ns0:c>
      <ns0:c r="G20" s="54" t="n">
        <ns0:v>0</ns0:v>
      </ns0:c>
      <ns0:c r="H20" s="54" t="n">
        <ns0:v>0</ns0:v>
      </ns0:c>
      <ns0:c r="I20" s="54" t="n">
        <ns0:v>0</ns0:v>
      </ns0:c>
      <ns0:c r="J20" s="54" t="n">
        <ns0:v>0</ns0:v>
      </ns0:c>
      <ns0:c r="K20" s="54" t="n">
        <ns0:v>8</ns0:v>
      </ns0:c>
      <ns0:c r="L20" s="54" t="n">
        <ns0:v>0</ns0:v>
      </ns0:c>
      <ns0:c r="M20" s="54" t="n">
        <ns0:v>8</ns0:v>
      </ns0:c>
      <ns0:c r="N20" s="55" t="n">
        <ns0:v>0.16</ns0:v>
      </ns0:c>
      <ns0:c r="O20" s="54" t="n">
        <ns0:v>0</ns0:v>
      </ns0:c>
      <ns0:c r="P20" s="54" t="n">
        <ns0:v>4</ns0:v>
      </ns0:c>
      <ns0:c r="Q20" s="54" t="n">
        <ns0:v>4</ns0:v>
      </ns0:c>
      <ns0:c r="R20" s="55" t="n">
        <ns0:v>0.08</ns0:v>
      </ns0:c>
      <ns0:c r="S20" s="56" t="n"/>
      <ns0:c r="T20" s="56" t="n"/>
      <ns0:c r="U20" s="56" t="n"/>
      <ns0:c r="V20" s="57" t="n"/>
    </ns0:row>
    <ns0:row r="21">
      <ns0:c r="A21" s="49" t="n"/>
      <ns0:c r="B21" s="58" t="n"/>
      <ns0:c r="C21" s="58" t="n"/>
      <ns0:c r="D21" s="48" t="n"/>
      <ns0:c r="E21" s="48" t="n"/>
      <ns0:c r="F21" s="48" t="n"/>
      <ns0:c r="G21" s="59" t="n">
        <ns0:v>0</ns0:v>
      </ns0:c>
      <ns0:c r="H21" s="59" t="n">
        <ns0:v>0</ns0:v>
      </ns0:c>
      <ns0:c r="I21" s="59" t="n">
        <ns0:v>0</ns0:v>
      </ns0:c>
      <ns0:c r="J21" s="59" t="n">
        <ns0:v>0</ns0:v>
      </ns0:c>
      <ns0:c r="K21" s="59" t="n">
        <ns0:v>1</ns0:v>
      </ns0:c>
      <ns0:c r="L21" s="59" t="n">
        <ns0:v>0</ns0:v>
      </ns0:c>
      <ns0:c r="M21" s="48" t="n"/>
      <ns0:c r="N21" s="48" t="n"/>
      <ns0:c r="O21" s="59" t="n">
        <ns0:v>0</ns0:v>
      </ns0:c>
      <ns0:c r="P21" s="59" t="n">
        <ns0:v>1</ns0:v>
      </ns0:c>
      <ns0:c r="Q21" s="48" t="n"/>
      <ns0:c r="R21" s="48" t="n"/>
      <ns0:c r="S21" s="56" t="n"/>
      <ns0:c r="T21" s="56" t="n"/>
      <ns0:c r="U21" s="56" t="n"/>
      <ns0:c r="V21" s="57" t="n"/>
    </ns0:row>
    <ns0:row r="22">
      <ns0:c r="A22" s="49" t="n"/>
      <ns0:c r="B22" s="58" t="n"/>
      <ns0:c r="C22" s="52" t="inlineStr">
        <ns0:is>
          <ns0:t>Normal</ns0:t>
        </ns0:is>
      </ns0:c>
      <ns0:c r="D22" s="45" t="n"/>
      <ns0:c r="E22" s="53" t="n">
        <ns0:v>560</ns0:v>
      </ns0:c>
      <ns0:c r="F22" s="54" t="n">
        <ns0:v>444</ns0:v>
      </ns0:c>
      <ns0:c r="G22" s="54" t="n">
        <ns0:v>0</ns0:v>
      </ns0:c>
      <ns0:c r="H22" s="54" t="n">
        <ns0:v>2</ns0:v>
      </ns0:c>
      <ns0:c r="I22" s="54" t="n">
        <ns0:v>2</ns0:v>
      </ns0:c>
      <ns0:c r="J22" s="54" t="n">
        <ns0:v>0</ns0:v>
      </ns0:c>
      <ns0:c r="K22" s="54" t="n">
        <ns0:v>6</ns0:v>
      </ns0:c>
      <ns0:c r="L22" s="54" t="n">
        <ns0:v>106</ns0:v>
      </ns0:c>
      <ns0:c r="M22" s="54" t="n">
        <ns0:v>116</ns0:v>
      </ns0:c>
      <ns0:c r="N22" s="55" t="n">
        <ns0:v>0.2071428571428572</ns0:v>
      </ns0:c>
      <ns0:c r="O22" s="54" t="n">
        <ns0:v>6</ns0:v>
      </ns0:c>
      <ns0:c r="P22" s="54" t="n">
        <ns0:v>81</ns0:v>
      </ns0:c>
      <ns0:c r="Q22" s="54" t="n">
        <ns0:v>91</ns0:v>
      </ns0:c>
      <ns0:c r="R22" s="55" t="n">
        <ns0:v>0.1625</ns0:v>
      </ns0:c>
      <ns0:c r="S22" s="56" t="n"/>
      <ns0:c r="T22" s="56" t="n"/>
      <ns0:c r="U22" s="56" t="n"/>
      <ns0:c r="V22" s="57" t="n"/>
    </ns0:row>
    <ns0:row r="23">
      <ns0:c r="A23" s="49" t="n"/>
      <ns0:c r="B23" s="48" t="n"/>
      <ns0:c r="C23" s="18" t="n"/>
      <ns0:c r="D23" s="17" t="n"/>
      <ns0:c r="E23" s="48" t="n"/>
      <ns0:c r="F23" s="48" t="n"/>
      <ns0:c r="G23" s="59" t="n">
        <ns0:v>0</ns0:v>
      </ns0:c>
      <ns0:c r="H23" s="59" t="n">
        <ns0:v>0.01724137931034483</ns0:v>
      </ns0:c>
      <ns0:c r="I23" s="59" t="n">
        <ns0:v>0.01724137931034483</ns0:v>
      </ns0:c>
      <ns0:c r="J23" s="59" t="n">
        <ns0:v>0</ns0:v>
      </ns0:c>
      <ns0:c r="K23" s="59" t="n">
        <ns0:v>0.05172413793103448</ns0:v>
      </ns0:c>
      <ns0:c r="L23" s="59" t="n">
        <ns0:v>0.9137931034482759</ns0:v>
      </ns0:c>
      <ns0:c r="M23" s="48" t="n"/>
      <ns0:c r="N23" s="48" t="n"/>
      <ns0:c r="O23" s="59" t="n">
        <ns0:v>0.06593406593406594</ns0:v>
      </ns0:c>
      <ns0:c r="P23" s="59" t="n">
        <ns0:v>0.8901098901098901</ns0:v>
      </ns0:c>
      <ns0:c r="Q23" s="48" t="n"/>
      <ns0:c r="R23" s="48" t="n"/>
      <ns0:c r="S23" s="56" t="n"/>
      <ns0:c r="T23" s="56" t="n"/>
      <ns0:c r="U23" s="56" t="n"/>
      <ns0:c r="V23" s="57" t="n"/>
    </ns0:row>
    <ns0:row r="24">
      <ns0:c r="A24" s="49" t="n"/>
      <ns0:c r="B24" s="56" t="n"/>
      <ns0:c r="C24" s="56" t="n"/>
      <ns0:c r="D24" s="56" t="n"/>
      <ns0:c r="E24" s="56" t="n"/>
      <ns0:c r="F24" s="56" t="n"/>
      <ns0:c r="G24" s="56" t="n"/>
      <ns0:c r="H24" s="56" t="n"/>
      <ns0:c r="I24" s="56" t="n"/>
      <ns0:c r="J24" s="56" t="n"/>
      <ns0:c r="K24" s="56" t="n"/>
      <ns0:c r="L24" s="56" t="n"/>
      <ns0:c r="M24" s="56" t="n"/>
      <ns0:c r="N24" s="56" t="n"/>
      <ns0:c r="O24" s="56" t="n"/>
      <ns0:c r="P24" s="56" t="n"/>
      <ns0:c r="Q24" s="56" t="n"/>
      <ns0:c r="R24" s="56" t="n"/>
      <ns0:c r="S24" s="56" t="n"/>
      <ns0:c r="T24" s="56" t="n"/>
      <ns0:c r="U24" s="56" t="n"/>
      <ns0:c r="V24" s="57" t="n"/>
    </ns0:row>
    <ns0:row r="25">
      <ns0:c r="A25" s="49" t="n"/>
      <ns0:c r="B25" s="56" t="n"/>
      <ns0:c r="C25" s="56" t="n"/>
      <ns0:c r="D25" s="56" t="n"/>
      <ns0:c r="E25" s="56" t="n"/>
      <ns0:c r="F25" s="56" t="n"/>
      <ns0:c r="G25" s="56" t="n"/>
      <ns0:c r="H25" s="56" t="n"/>
      <ns0:c r="I25" s="56" t="n"/>
      <ns0:c r="J25" s="56" t="n"/>
      <ns0:c r="K25" s="56" t="n"/>
      <ns0:c r="L25" s="56" t="n"/>
      <ns0:c r="M25" s="56" t="n"/>
      <ns0:c r="N25" s="56" t="n"/>
      <ns0:c r="O25" s="56" t="n"/>
      <ns0:c r="P25" s="56" t="n"/>
      <ns0:c r="Q25" s="56" t="n"/>
      <ns0:c r="R25" s="56" t="n"/>
      <ns0:c r="S25" s="56" t="n"/>
      <ns0:c r="T25" s="56" t="n"/>
      <ns0:c r="U25" s="56" t="n"/>
      <ns0:c r="V25" s="57" t="n"/>
    </ns0:row>
    <ns0:row r="26">
      <ns0:c r="A26" s="49" t="n"/>
      <ns0:c r="B26" s="56" t="n"/>
      <ns0:c r="C26" s="56" t="n"/>
      <ns0:c r="D26" s="56" t="n"/>
      <ns0:c r="E26" s="56" t="n"/>
      <ns0:c r="F26" s="56" t="n"/>
      <ns0:c r="G26" s="56" t="n"/>
      <ns0:c r="H26" s="56" t="n"/>
      <ns0:c r="I26" s="56" t="n"/>
      <ns0:c r="J26" s="56" t="n"/>
      <ns0:c r="K26" s="56" t="n"/>
      <ns0:c r="L26" s="56" t="n"/>
      <ns0:c r="M26" s="56" t="n"/>
      <ns0:c r="N26" s="56" t="n"/>
      <ns0:c r="O26" s="56" t="n"/>
      <ns0:c r="P26" s="56" t="n"/>
      <ns0:c r="Q26" s="56" t="n"/>
      <ns0:c r="R26" s="56" t="n"/>
      <ns0:c r="S26" s="56" t="n"/>
      <ns0:c r="T26" s="56" t="n"/>
      <ns0:c r="U26" s="56" t="n"/>
      <ns0:c r="V26" s="57" t="n"/>
    </ns0:row>
    <ns0:row r="27">
      <ns0:c r="A27" s="49" t="n"/>
      <ns0:c r="B27" s="56" t="n"/>
      <ns0:c r="C27" s="56" t="n"/>
      <ns0:c r="D27" s="56" t="n"/>
      <ns0:c r="E27" s="56" t="n"/>
      <ns0:c r="F27" s="56" t="n"/>
      <ns0:c r="G27" s="56" t="n"/>
      <ns0:c r="H27" s="56" t="n"/>
      <ns0:c r="I27" s="56" t="n"/>
      <ns0:c r="J27" s="56" t="n"/>
      <ns0:c r="K27" s="56" t="n"/>
      <ns0:c r="L27" s="56" t="n"/>
      <ns0:c r="M27" s="56" t="n"/>
      <ns0:c r="N27" s="56" t="n"/>
      <ns0:c r="O27" s="56" t="n"/>
      <ns0:c r="P27" s="56" t="n"/>
      <ns0:c r="Q27" s="56" t="n"/>
      <ns0:c r="R27" s="56" t="n"/>
      <ns0:c r="S27" s="56" t="n"/>
      <ns0:c r="T27" s="56" t="n"/>
      <ns0:c r="U27" s="56" t="n"/>
      <ns0:c r="V27" s="57" t="n"/>
    </ns0:row>
    <ns0:row r="28">
      <ns0:c r="A28" s="49" t="n"/>
      <ns0:c r="B28" s="56" t="n"/>
      <ns0:c r="C28" s="56" t="n"/>
      <ns0:c r="D28" s="56" t="n"/>
      <ns0:c r="E28" s="56" t="n"/>
      <ns0:c r="F28" s="56" t="n"/>
      <ns0:c r="G28" s="56" t="n"/>
      <ns0:c r="H28" s="56" t="n"/>
      <ns0:c r="I28" s="56" t="n"/>
      <ns0:c r="J28" s="56" t="n"/>
      <ns0:c r="K28" s="56" t="n"/>
      <ns0:c r="L28" s="56" t="n"/>
      <ns0:c r="M28" s="56" t="n"/>
      <ns0:c r="N28" s="56" t="n"/>
      <ns0:c r="O28" s="56" t="n"/>
      <ns0:c r="P28" s="56" t="n"/>
      <ns0:c r="Q28" s="56" t="n"/>
      <ns0:c r="R28" s="56" t="n"/>
      <ns0:c r="S28" s="56" t="n"/>
      <ns0:c r="T28" s="56" t="n"/>
      <ns0:c r="U28" s="56" t="n"/>
      <ns0:c r="V28" s="57" t="n"/>
    </ns0:row>
    <ns0:row r="29">
      <ns0:c r="A29" s="49" t="n"/>
      <ns0:c r="B29" s="56" t="n"/>
      <ns0:c r="C29" s="56" t="n"/>
      <ns0:c r="D29" s="56" t="n"/>
      <ns0:c r="E29" s="56" t="n"/>
      <ns0:c r="F29" s="56" t="n"/>
      <ns0:c r="G29" s="56" t="n"/>
      <ns0:c r="H29" s="56" t="n"/>
      <ns0:c r="I29" s="56" t="n"/>
      <ns0:c r="J29" s="56" t="n"/>
      <ns0:c r="K29" s="56" t="n"/>
      <ns0:c r="L29" s="56" t="n"/>
      <ns0:c r="M29" s="56" t="n"/>
      <ns0:c r="N29" s="56" t="n"/>
      <ns0:c r="O29" s="56" t="n"/>
      <ns0:c r="P29" s="56" t="n"/>
      <ns0:c r="Q29" s="56" t="n"/>
      <ns0:c r="R29" s="56" t="n"/>
      <ns0:c r="S29" s="56" t="n"/>
      <ns0:c r="T29" s="56" t="n"/>
      <ns0:c r="U29" s="56" t="n"/>
      <ns0:c r="V29" s="57" t="n"/>
    </ns0:row>
    <ns0:row r="30">
      <ns0:c r="A30" s="49" t="n"/>
      <ns0:c r="B30" s="56" t="n"/>
      <ns0:c r="C30" s="56" t="n"/>
      <ns0:c r="D30" s="56" t="n"/>
      <ns0:c r="E30" s="56" t="n"/>
      <ns0:c r="F30" s="56" t="n"/>
      <ns0:c r="G30" s="56" t="n"/>
      <ns0:c r="H30" s="56" t="n"/>
      <ns0:c r="I30" s="56" t="n"/>
      <ns0:c r="J30" s="56" t="n"/>
      <ns0:c r="K30" s="56" t="n"/>
      <ns0:c r="L30" s="56" t="n"/>
      <ns0:c r="M30" s="56" t="n"/>
      <ns0:c r="N30" s="56" t="n"/>
      <ns0:c r="O30" s="56" t="n"/>
      <ns0:c r="P30" s="56" t="n"/>
      <ns0:c r="Q30" s="56" t="n"/>
      <ns0:c r="R30" s="56" t="n"/>
      <ns0:c r="S30" s="56" t="n"/>
      <ns0:c r="T30" s="56" t="n"/>
      <ns0:c r="U30" s="56" t="n"/>
      <ns0:c r="V30" s="57" t="n"/>
    </ns0:row>
    <ns0:row r="31">
      <ns0:c r="A31" s="49" t="n"/>
      <ns0:c r="B31" s="56" t="n"/>
      <ns0:c r="C31" s="56" t="n"/>
      <ns0:c r="D31" s="56" t="n"/>
      <ns0:c r="E31" s="56" t="n"/>
      <ns0:c r="F31" s="56" t="n"/>
      <ns0:c r="G31" s="56" t="n"/>
      <ns0:c r="H31" s="56" t="n"/>
      <ns0:c r="I31" s="56" t="n"/>
      <ns0:c r="J31" s="56" t="n"/>
      <ns0:c r="K31" s="56" t="n"/>
      <ns0:c r="L31" s="56" t="n"/>
      <ns0:c r="M31" s="56" t="n"/>
      <ns0:c r="N31" s="56" t="n"/>
      <ns0:c r="O31" s="56" t="n"/>
      <ns0:c r="P31" s="56" t="n"/>
      <ns0:c r="Q31" s="56" t="n"/>
      <ns0:c r="R31" s="56" t="n"/>
      <ns0:c r="S31" s="56" t="n"/>
      <ns0:c r="T31" s="56" t="n"/>
      <ns0:c r="U31" s="56" t="n"/>
      <ns0:c r="V31" s="57" t="n"/>
    </ns0:row>
    <ns0:row r="32">
      <ns0:c r="A32" s="49" t="n"/>
      <ns0:c r="B32" s="56" t="n"/>
      <ns0:c r="C32" s="56" t="n"/>
      <ns0:c r="D32" s="56" t="n"/>
      <ns0:c r="E32" s="56" t="n"/>
      <ns0:c r="F32" s="56" t="n"/>
      <ns0:c r="G32" s="56" t="n"/>
      <ns0:c r="H32" s="56" t="n"/>
      <ns0:c r="I32" s="56" t="n"/>
      <ns0:c r="J32" s="56" t="n"/>
      <ns0:c r="K32" s="56" t="n"/>
      <ns0:c r="L32" s="56" t="n"/>
      <ns0:c r="M32" s="56" t="n"/>
      <ns0:c r="N32" s="56" t="n"/>
      <ns0:c r="O32" s="56" t="n"/>
      <ns0:c r="P32" s="56" t="n"/>
      <ns0:c r="Q32" s="56" t="n"/>
      <ns0:c r="R32" s="56" t="n"/>
      <ns0:c r="S32" s="56" t="n"/>
      <ns0:c r="T32" s="56" t="n"/>
      <ns0:c r="U32" s="56" t="n"/>
      <ns0:c r="V32" s="57" t="n"/>
    </ns0:row>
    <ns0:row r="33">
      <ns0:c r="A33" s="49" t="n"/>
      <ns0:c r="B33" s="56" t="n"/>
      <ns0:c r="C33" s="56" t="n"/>
      <ns0:c r="D33" s="56" t="n"/>
      <ns0:c r="E33" s="56" t="n"/>
      <ns0:c r="F33" s="56" t="n"/>
      <ns0:c r="G33" s="56" t="n"/>
      <ns0:c r="H33" s="56" t="n"/>
      <ns0:c r="I33" s="56" t="n"/>
      <ns0:c r="J33" s="56" t="n"/>
      <ns0:c r="K33" s="56" t="n"/>
      <ns0:c r="L33" s="56" t="n"/>
      <ns0:c r="M33" s="56" t="n"/>
      <ns0:c r="N33" s="56" t="n"/>
      <ns0:c r="O33" s="56" t="n"/>
      <ns0:c r="P33" s="56" t="n"/>
      <ns0:c r="Q33" s="56" t="n"/>
      <ns0:c r="R33" s="56" t="n"/>
      <ns0:c r="S33" s="56" t="n"/>
      <ns0:c r="T33" s="56" t="n"/>
      <ns0:c r="U33" s="56" t="n"/>
      <ns0:c r="V33" s="57" t="n"/>
    </ns0:row>
    <ns0:row r="34">
      <ns0:c r="A34" s="49" t="n"/>
      <ns0:c r="B34" s="56" t="n"/>
      <ns0:c r="C34" s="56" t="n"/>
      <ns0:c r="D34" s="56" t="n"/>
      <ns0:c r="E34" s="56" t="n"/>
      <ns0:c r="F34" s="56" t="n"/>
      <ns0:c r="G34" s="56" t="n"/>
      <ns0:c r="H34" s="56" t="n"/>
      <ns0:c r="I34" s="56" t="n"/>
      <ns0:c r="J34" s="56" t="n"/>
      <ns0:c r="K34" s="56" t="n"/>
      <ns0:c r="L34" s="56" t="n"/>
      <ns0:c r="M34" s="56" t="n"/>
      <ns0:c r="N34" s="56" t="n"/>
      <ns0:c r="O34" s="56" t="n"/>
      <ns0:c r="P34" s="56" t="n"/>
      <ns0:c r="Q34" s="56" t="n"/>
      <ns0:c r="R34" s="56" t="n"/>
      <ns0:c r="S34" s="56" t="n"/>
      <ns0:c r="T34" s="56" t="n"/>
      <ns0:c r="U34" s="56" t="n"/>
      <ns0:c r="V34" s="57" t="n"/>
    </ns0:row>
    <ns0:row r="35">
      <ns0:c r="A35" s="49" t="n"/>
      <ns0:c r="B35" s="56" t="n"/>
      <ns0:c r="C35" s="56" t="n"/>
      <ns0:c r="D35" s="56" t="n"/>
      <ns0:c r="E35" s="56" t="n"/>
      <ns0:c r="F35" s="56" t="n"/>
      <ns0:c r="G35" s="56" t="n"/>
      <ns0:c r="H35" s="56" t="n"/>
      <ns0:c r="I35" s="56" t="n"/>
      <ns0:c r="J35" s="56" t="n"/>
      <ns0:c r="K35" s="56" t="n"/>
      <ns0:c r="L35" s="56" t="n"/>
      <ns0:c r="M35" s="56" t="n"/>
      <ns0:c r="N35" s="56" t="n"/>
      <ns0:c r="O35" s="56" t="n"/>
      <ns0:c r="P35" s="56" t="n"/>
      <ns0:c r="Q35" s="56" t="n"/>
      <ns0:c r="R35" s="56" t="n"/>
      <ns0:c r="S35" s="56" t="n"/>
      <ns0:c r="T35" s="56" t="n"/>
      <ns0:c r="U35" s="56" t="n"/>
      <ns0:c r="V35" s="57" t="n"/>
    </ns0:row>
    <ns0:row r="36">
      <ns0:c r="A36" s="49" t="n"/>
      <ns0:c r="B36" s="37" t="inlineStr">
        <ns0:is>
          <ns0:t>RESULT CHECKING FUNCTION OF MODEL BRS-2015</ns0:t>
        </ns0:is>
      </ns0:c>
      <ns0:c r="C36" s="56" t="n"/>
      <ns0:c r="D36" s="56" t="n"/>
      <ns0:c r="E36" s="56" t="n"/>
      <ns0:c r="F36" s="56" t="n"/>
      <ns0:c r="G36" s="56" t="n"/>
      <ns0:c r="H36" s="56" t="n"/>
      <ns0:c r="I36" s="56" t="n"/>
      <ns0:c r="J36" s="56" t="n"/>
      <ns0:c r="K36" s="56" t="n"/>
      <ns0:c r="L36" s="56" t="n"/>
      <ns0:c r="M36" s="56" t="n"/>
      <ns0:c r="N36" s="56" t="n"/>
      <ns0:c r="O36" s="56" t="n"/>
      <ns0:c r="P36" s="56" t="n"/>
      <ns0:c r="Q36" s="56" t="n"/>
      <ns0:c r="R36" s="56" t="n"/>
      <ns0:c r="S36" s="56" t="n"/>
      <ns0:c r="T36" s="56" t="n"/>
      <ns0:c r="U36" s="56" t="n"/>
      <ns0:c r="V36" s="57" t="n"/>
    </ns0:row>
    <ns0:row r="37">
      <ns0:c r="A37" s="49" t="n"/>
      <ns0:c r="B37" s="44" t="inlineStr">
        <ns0:is>
          <ns0:t>Date</ns0:t>
        </ns0:is>
      </ns0:c>
      <ns0:c r="C37" s="44" t="inlineStr">
        <ns0:is>
          <ns0:t>Type</ns0:t>
        </ns0:is>
      </ns0:c>
      <ns0:c r="D37" s="45" t="n"/>
      <ns0:c r="E37" s="46" t="inlineStr">
        <ns0:is>
          <ns0:t xml:space="preserve">Input </ns0:t>
        </ns0:is>
      </ns0:c>
      <ns0:c r="F37" s="44" t="inlineStr">
        <ns0:is>
          <ns0:t xml:space="preserve">OK </ns0:t>
        </ns0:is>
      </ns0:c>
      <ns0:c r="G37" s="44" t="inlineStr">
        <ns0:is>
          <ns0:t xml:space="preserve">Sigma </ns0:t>
        </ns0:is>
      </ns0:c>
      <ns0:c r="H37" s="23" t="n"/>
      <ns0:c r="I37" s="23" t="n"/>
      <ns0:c r="J37" s="47" t="n"/>
      <ns0:c r="K37" s="44" t="inlineStr">
        <ns0:is>
          <ns0:t xml:space="preserve">Hearing </ns0:t>
        </ns0:is>
      </ns0:c>
      <ns0:c r="L37" s="47" t="n"/>
      <ns0:c r="M37" s="44" t="inlineStr">
        <ns0:is>
          <ns0:t>Total NG</ns0:t>
        </ns0:is>
      </ns0:c>
      <ns0:c r="N37" s="44" t="inlineStr">
        <ns0:is>
          <ns0:t>Total NG rate</ns0:t>
        </ns0:is>
      </ns0:c>
      <ns0:c r="O37" s="44" t="inlineStr">
        <ns0:is>
          <ns0:t>Recheck Hearing</ns0:t>
        </ns0:is>
      </ns0:c>
      <ns0:c r="P37" s="47" t="n"/>
      <ns0:c r="Q37" s="44" t="inlineStr">
        <ns0:is>
          <ns0:t>Total NG</ns0:t>
        </ns0:is>
      </ns0:c>
      <ns0:c r="R37" s="44" t="inlineStr">
        <ns0:is>
          <ns0:t>Total NG rate</ns0:t>
        </ns0:is>
      </ns0:c>
      <ns0:c r="S37" s="56" t="n"/>
      <ns0:c r="T37" s="56" t="n"/>
      <ns0:c r="U37" s="56" t="n"/>
      <ns0:c r="V37" s="57" t="n"/>
    </ns0:row>
    <ns0:row r="38">
      <ns0:c r="A38" s="49" t="n"/>
      <ns0:c r="B38" s="48" t="n"/>
      <ns0:c r="C38" s="18" t="n"/>
      <ns0:c r="D38" s="17" t="n"/>
      <ns0:c r="E38" s="48" t="n"/>
      <ns0:c r="F38" s="48" t="n"/>
      <ns0:c r="G38" s="44" t="inlineStr">
        <ns0:is>
          <ns0:t xml:space="preserve">SPL </ns0:t>
        </ns0:is>
      </ns0:c>
      <ns0:c r="H38" s="44" t="inlineStr">
        <ns0:is>
          <ns0:t xml:space="preserve">THD </ns0:t>
        </ns0:is>
      </ns0:c>
      <ns0:c r="I38" s="44" t="inlineStr">
        <ns0:is>
          <ns0:t xml:space="preserve">SPL+THD </ns0:t>
        </ns0:is>
      </ns0:c>
      <ns0:c r="J38" s="44" t="inlineStr">
        <ns0:is>
          <ns0:t>SPL+THD+F0</ns0:t>
        </ns0:is>
      </ns0:c>
      <ns0:c r="K38" s="44" t="inlineStr">
        <ns0:is>
          <ns0:t xml:space="preserve">Noise </ns0:t>
        </ns0:is>
      </ns0:c>
      <ns0:c r="L38" s="44" t="inlineStr">
        <ns0:is>
          <ns0:t xml:space="preserve">Touch </ns0:t>
        </ns0:is>
      </ns0:c>
      <ns0:c r="M38" s="48" t="n"/>
      <ns0:c r="N38" s="48" t="n"/>
      <ns0:c r="O38" s="44" t="inlineStr">
        <ns0:is>
          <ns0:t xml:space="preserve">Noise </ns0:t>
        </ns0:is>
      </ns0:c>
      <ns0:c r="P38" s="44" t="inlineStr">
        <ns0:is>
          <ns0:t xml:space="preserve">Touch </ns0:t>
        </ns0:is>
      </ns0:c>
      <ns0:c r="Q38" s="48" t="n"/>
      <ns0:c r="R38" s="48" t="n"/>
      <ns0:c r="S38" s="56" t="n"/>
      <ns0:c r="T38" s="56" t="n"/>
      <ns0:c r="U38" s="56" t="n"/>
      <ns0:c r="V38" s="57" t="n"/>
    </ns0:row>
    <ns0:row r="39">
      <ns0:c r="A39" s="49" t="n"/>
      <ns0:c r="B39" s="50" t="n">
        <ns0:v>45514</ns0:v>
      </ns0:c>
      <ns0:c r="C39" s="51" t="inlineStr">
        <ns0:is>
          <ns0:t>VP</ns0:t>
        </ns0:is>
      </ns0:c>
      <ns0:c r="D39" s="60" t="inlineStr">
        <ns0:is>
          <ns0:t>Cutting Offset</ns0:t>
        </ns0:is>
      </ns0:c>
      <ns0:c r="E39" s="61" t="n">
        <ns0:v>136</ns0:v>
      </ns0:c>
      <ns0:c r="F39" s="62" t="n">
        <ns0:v>120</ns0:v>
      </ns0:c>
      <ns0:c r="G39" s="62" t="n">
        <ns0:v>1</ns0:v>
      </ns0:c>
      <ns0:c r="H39" s="62" t="n">
        <ns0:v>0</ns0:v>
      </ns0:c>
      <ns0:c r="I39" s="62" t="n">
        <ns0:v>0</ns0:v>
      </ns0:c>
      <ns0:c r="J39" s="62" t="n">
        <ns0:v>0</ns0:v>
      </ns0:c>
      <ns0:c r="K39" s="62" t="n">
        <ns0:v>6</ns0:v>
      </ns0:c>
      <ns0:c r="L39" s="62" t="n">
        <ns0:v>9</ns0:v>
      </ns0:c>
      <ns0:c r="M39" s="62" t="n">
        <ns0:v>16</ns0:v>
      </ns0:c>
      <ns0:c r="N39" s="63" t="n">
        <ns0:v>0.1176470588235294</ns0:v>
      </ns0:c>
      <ns0:c r="O39" s="62" t="n">
        <ns0:v>7</ns0:v>
      </ns0:c>
      <ns0:c r="P39" s="62" t="n">
        <ns0:v>2</ns0:v>
      </ns0:c>
      <ns0:c r="Q39" s="62" t="n">
        <ns0:v>10</ns0:v>
      </ns0:c>
      <ns0:c r="R39" s="63" t="n">
        <ns0:v>0.07352941176470588</ns0:v>
      </ns0:c>
      <ns0:c r="S39" s="56" t="n"/>
      <ns0:c r="T39" s="56" t="n"/>
      <ns0:c r="U39" s="56" t="n"/>
      <ns0:c r="V39" s="57" t="n"/>
    </ns0:row>
    <ns0:row r="40">
      <ns0:c r="A40" s="49" t="n"/>
      <ns0:c r="B40" s="58" t="n"/>
      <ns0:c r="C40" s="58" t="n"/>
      <ns0:c r="D40" s="48" t="n"/>
      <ns0:c r="E40" s="48" t="n"/>
      <ns0:c r="F40" s="48" t="n"/>
      <ns0:c r="G40" s="64" t="n">
        <ns0:v>0.0625</ns0:v>
      </ns0:c>
      <ns0:c r="H40" s="64" t="n">
        <ns0:v>0</ns0:v>
      </ns0:c>
      <ns0:c r="I40" s="64" t="n">
        <ns0:v>0</ns0:v>
      </ns0:c>
      <ns0:c r="J40" s="64" t="n">
        <ns0:v>0</ns0:v>
      </ns0:c>
      <ns0:c r="K40" s="64" t="n">
        <ns0:v>0.375</ns0:v>
      </ns0:c>
      <ns0:c r="L40" s="64" t="n">
        <ns0:v>0.5625</ns0:v>
      </ns0:c>
      <ns0:c r="M40" s="48" t="n"/>
      <ns0:c r="N40" s="48" t="n"/>
      <ns0:c r="O40" s="64" t="n">
        <ns0:v>0.7</ns0:v>
      </ns0:c>
      <ns0:c r="P40" s="64" t="n">
        <ns0:v>0.2</ns0:v>
      </ns0:c>
      <ns0:c r="Q40" s="48" t="n"/>
      <ns0:c r="R40" s="48" t="n"/>
      <ns0:c r="S40" s="56" t="n"/>
      <ns0:c r="T40" s="56" t="n"/>
      <ns0:c r="U40" s="56" t="n"/>
      <ns0:c r="V40" s="57" t="n"/>
    </ns0:row>
    <ns0:row r="41">
      <ns0:c r="A41" s="49" t="n"/>
      <ns0:c r="B41" s="58" t="n"/>
      <ns0:c r="C41" s="58" t="n"/>
      <ns0:c r="D41" s="52" t="inlineStr">
        <ns0:is>
          <ns0:t>Cutting OK</ns0:t>
        </ns0:is>
      </ns0:c>
      <ns0:c r="E41" s="53" t="n">
        <ns0:v>143</ns0:v>
      </ns0:c>
      <ns0:c r="F41" s="54" t="n">
        <ns0:v>136</ns0:v>
      </ns0:c>
      <ns0:c r="G41" s="54" t="n">
        <ns0:v>0</ns0:v>
      </ns0:c>
      <ns0:c r="H41" s="54" t="n">
        <ns0:v>0</ns0:v>
      </ns0:c>
      <ns0:c r="I41" s="54" t="n">
        <ns0:v>0</ns0:v>
      </ns0:c>
      <ns0:c r="J41" s="54" t="n">
        <ns0:v>0</ns0:v>
      </ns0:c>
      <ns0:c r="K41" s="54" t="n">
        <ns0:v>2</ns0:v>
      </ns0:c>
      <ns0:c r="L41" s="54" t="n">
        <ns0:v>5</ns0:v>
      </ns0:c>
      <ns0:c r="M41" s="54" t="n">
        <ns0:v>7</ns0:v>
      </ns0:c>
      <ns0:c r="N41" s="55" t="n">
        <ns0:v>0.04895104895104895</ns0:v>
      </ns0:c>
      <ns0:c r="O41" s="54" t="n">
        <ns0:v>2</ns0:v>
      </ns0:c>
      <ns0:c r="P41" s="54" t="n">
        <ns0:v>1</ns0:v>
      </ns0:c>
      <ns0:c r="Q41" s="54" t="n">
        <ns0:v>3</ns0:v>
      </ns0:c>
      <ns0:c r="R41" s="55" t="n">
        <ns0:v>0.02097902097902098</ns0:v>
      </ns0:c>
      <ns0:c r="S41" s="56" t="n"/>
      <ns0:c r="T41" s="56" t="n"/>
      <ns0:c r="U41" s="56" t="n"/>
      <ns0:c r="V41" s="57" t="n"/>
    </ns0:row>
    <ns0:row r="42">
      <ns0:c r="A42" s="49" t="n"/>
      <ns0:c r="B42" s="58" t="n"/>
      <ns0:c r="C42" s="58" t="n"/>
      <ns0:c r="D42" s="48" t="n"/>
      <ns0:c r="E42" s="48" t="n"/>
      <ns0:c r="F42" s="48" t="n"/>
      <ns0:c r="G42" s="59" t="n">
        <ns0:v>0</ns0:v>
      </ns0:c>
      <ns0:c r="H42" s="59" t="n">
        <ns0:v>0</ns0:v>
      </ns0:c>
      <ns0:c r="I42" s="59" t="n">
        <ns0:v>0</ns0:v>
      </ns0:c>
      <ns0:c r="J42" s="59" t="n">
        <ns0:v>0</ns0:v>
      </ns0:c>
      <ns0:c r="K42" s="59" t="n">
        <ns0:v>0.2857142857142857</ns0:v>
      </ns0:c>
      <ns0:c r="L42" s="59" t="n">
        <ns0:v>0.7142857142857143</ns0:v>
      </ns0:c>
      <ns0:c r="M42" s="48" t="n"/>
      <ns0:c r="N42" s="48" t="n"/>
      <ns0:c r="O42" s="59" t="n">
        <ns0:v>0.6666666666666666</ns0:v>
      </ns0:c>
      <ns0:c r="P42" s="59" t="n">
        <ns0:v>0.3333333333333333</ns0:v>
      </ns0:c>
      <ns0:c r="Q42" s="48" t="n"/>
      <ns0:c r="R42" s="48" t="n"/>
      <ns0:c r="S42" s="56" t="n"/>
      <ns0:c r="T42" s="56" t="n"/>
      <ns0:c r="U42" s="56" t="n"/>
      <ns0:c r="V42" s="57" t="n"/>
    </ns0:row>
    <ns0:row r="43">
      <ns0:c r="A43" s="49" t="n"/>
      <ns0:c r="B43" s="58" t="n"/>
      <ns0:c r="C43" s="52" t="inlineStr">
        <ns0:is>
          <ns0:t>Normal</ns0:t>
        </ns0:is>
      </ns0:c>
      <ns0:c r="D43" s="45" t="n"/>
      <ns0:c r="E43" s="53" t="n">
        <ns0:v>342</ns0:v>
      </ns0:c>
      <ns0:c r="F43" s="54" t="n">
        <ns0:v>311</ns0:v>
      </ns0:c>
      <ns0:c r="G43" s="54" t="n">
        <ns0:v>0</ns0:v>
      </ns0:c>
      <ns0:c r="H43" s="54" t="n">
        <ns0:v>0</ns0:v>
      </ns0:c>
      <ns0:c r="I43" s="54" t="n">
        <ns0:v>0</ns0:v>
      </ns0:c>
      <ns0:c r="J43" s="54" t="n">
        <ns0:v>0</ns0:v>
      </ns0:c>
      <ns0:c r="K43" s="54" t="n">
        <ns0:v>3</ns0:v>
      </ns0:c>
      <ns0:c r="L43" s="54" t="n">
        <ns0:v>28</ns0:v>
      </ns0:c>
      <ns0:c r="M43" s="54" t="n">
        <ns0:v>31</ns0:v>
      </ns0:c>
      <ns0:c r="N43" s="55" t="n">
        <ns0:v>0.09064327485380116</ns0:v>
      </ns0:c>
      <ns0:c r="O43" s="54" t="n">
        <ns0:v>2</ns0:v>
      </ns0:c>
      <ns0:c r="P43" s="54" t="n">
        <ns0:v>10</ns0:v>
      </ns0:c>
      <ns0:c r="Q43" s="54" t="n">
        <ns0:v>12</ns0:v>
      </ns0:c>
      <ns0:c r="R43" s="55" t="n">
        <ns0:v>0.03508771929824561</ns0:v>
      </ns0:c>
      <ns0:c r="S43" s="56" t="n"/>
      <ns0:c r="T43" s="56" t="n"/>
      <ns0:c r="U43" s="56" t="n"/>
      <ns0:c r="V43" s="57" t="n"/>
    </ns0:row>
    <ns0:row r="44">
      <ns0:c r="A44" s="49" t="n"/>
      <ns0:c r="B44" s="48" t="n"/>
      <ns0:c r="C44" s="18" t="n"/>
      <ns0:c r="D44" s="17" t="n"/>
      <ns0:c r="E44" s="48" t="n"/>
      <ns0:c r="F44" s="48" t="n"/>
      <ns0:c r="G44" s="59" t="n">
        <ns0:v>0</ns0:v>
      </ns0:c>
      <ns0:c r="H44" s="59" t="n">
        <ns0:v>0</ns0:v>
      </ns0:c>
      <ns0:c r="I44" s="59" t="n">
        <ns0:v>0</ns0:v>
      </ns0:c>
      <ns0:c r="J44" s="59" t="n">
        <ns0:v>0</ns0:v>
      </ns0:c>
      <ns0:c r="K44" s="59" t="n">
        <ns0:v>0.09677419354838709</ns0:v>
      </ns0:c>
      <ns0:c r="L44" s="59" t="n">
        <ns0:v>0.9032258064516129</ns0:v>
      </ns0:c>
      <ns0:c r="M44" s="48" t="n"/>
      <ns0:c r="N44" s="48" t="n"/>
      <ns0:c r="O44" s="59" t="n">
        <ns0:v>0.1666666666666667</ns0:v>
      </ns0:c>
      <ns0:c r="P44" s="59" t="n">
        <ns0:v>0.8333333333333334</ns0:v>
      </ns0:c>
      <ns0:c r="Q44" s="48" t="n"/>
      <ns0:c r="R44" s="48" t="n"/>
      <ns0:c r="S44" s="56" t="n"/>
      <ns0:c r="T44" s="56" t="n"/>
      <ns0:c r="U44" s="56" t="n"/>
      <ns0:c r="V44" s="57" t="n"/>
    </ns0:row>
    <ns0:row r="45">
      <ns0:c r="A45" s="49" t="n"/>
      <ns0:c r="B45" s="56" t="n"/>
      <ns0:c r="C45" s="56" t="n"/>
      <ns0:c r="D45" s="56" t="n"/>
      <ns0:c r="E45" s="56" t="n"/>
      <ns0:c r="F45" s="56" t="n"/>
      <ns0:c r="G45" s="56" t="n"/>
      <ns0:c r="H45" s="56" t="n"/>
      <ns0:c r="I45" s="56" t="n"/>
      <ns0:c r="J45" s="56" t="n"/>
      <ns0:c r="K45" s="56" t="n"/>
      <ns0:c r="L45" s="56" t="n"/>
      <ns0:c r="M45" s="56" t="n"/>
      <ns0:c r="N45" s="56" t="n"/>
      <ns0:c r="O45" s="56" t="n"/>
      <ns0:c r="P45" s="56" t="n"/>
      <ns0:c r="Q45" s="56" t="n"/>
      <ns0:c r="R45" s="56" t="n"/>
      <ns0:c r="S45" s="56" t="n"/>
      <ns0:c r="T45" s="56" t="n"/>
      <ns0:c r="U45" s="56" t="n"/>
      <ns0:c r="V45" s="57" t="n"/>
    </ns0:row>
    <ns0:row r="46">
      <ns0:c r="A46" s="49" t="n"/>
      <ns0:c r="B46" s="56" t="n"/>
      <ns0:c r="C46" s="56" t="n"/>
      <ns0:c r="D46" s="56" t="n"/>
      <ns0:c r="E46" s="56" t="n"/>
      <ns0:c r="F46" s="56" t="n"/>
      <ns0:c r="G46" s="56" t="n"/>
      <ns0:c r="H46" s="56" t="n"/>
      <ns0:c r="I46" s="56" t="n"/>
      <ns0:c r="J46" s="56" t="n"/>
      <ns0:c r="K46" s="56" t="n"/>
      <ns0:c r="L46" s="56" t="n"/>
      <ns0:c r="M46" s="56" t="n"/>
      <ns0:c r="N46" s="56" t="n"/>
      <ns0:c r="O46" s="56" t="n"/>
      <ns0:c r="P46" s="56" t="n"/>
      <ns0:c r="Q46" s="56" t="n"/>
      <ns0:c r="R46" s="56" t="n"/>
      <ns0:c r="S46" s="56" t="n"/>
      <ns0:c r="T46" s="56" t="n"/>
      <ns0:c r="U46" s="56" t="n"/>
      <ns0:c r="V46" s="57" t="n"/>
    </ns0:row>
    <ns0:row r="47">
      <ns0:c r="A47" s="49" t="n"/>
      <ns0:c r="B47" s="56" t="n"/>
      <ns0:c r="C47" s="56" t="n"/>
      <ns0:c r="D47" s="56" t="n"/>
      <ns0:c r="E47" s="56" t="n"/>
      <ns0:c r="F47" s="56" t="n"/>
      <ns0:c r="G47" s="56" t="n"/>
      <ns0:c r="H47" s="56" t="n"/>
      <ns0:c r="I47" s="56" t="n"/>
      <ns0:c r="J47" s="56" t="n"/>
      <ns0:c r="K47" s="56" t="n"/>
      <ns0:c r="L47" s="56" t="n"/>
      <ns0:c r="M47" s="56" t="n"/>
      <ns0:c r="N47" s="56" t="n"/>
      <ns0:c r="O47" s="56" t="n"/>
      <ns0:c r="P47" s="56" t="n"/>
      <ns0:c r="Q47" s="56" t="n"/>
      <ns0:c r="R47" s="56" t="n"/>
      <ns0:c r="S47" s="56" t="n"/>
      <ns0:c r="T47" s="56" t="n"/>
      <ns0:c r="U47" s="56" t="n"/>
      <ns0:c r="V47" s="57" t="n"/>
    </ns0:row>
    <ns0:row r="48">
      <ns0:c r="A48" s="49" t="n"/>
      <ns0:c r="B48" s="56" t="n"/>
      <ns0:c r="C48" s="56" t="n"/>
      <ns0:c r="D48" s="56" t="n"/>
      <ns0:c r="E48" s="56" t="n"/>
      <ns0:c r="F48" s="56" t="n"/>
      <ns0:c r="G48" s="56" t="n"/>
      <ns0:c r="H48" s="56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56" t="n"/>
      <ns0:c r="Q48" s="56" t="n"/>
      <ns0:c r="R48" s="56" t="n"/>
      <ns0:c r="S48" s="56" t="n"/>
      <ns0:c r="T48" s="56" t="n"/>
      <ns0:c r="U48" s="56" t="n"/>
      <ns0:c r="V48" s="57" t="n"/>
    </ns0:row>
    <ns0:row r="49">
      <ns0:c r="A49" s="49" t="n"/>
      <ns0:c r="B49" s="56" t="n"/>
      <ns0:c r="C49" s="56" t="n"/>
      <ns0:c r="D49" s="56" t="n"/>
      <ns0:c r="E49" s="56" t="n"/>
      <ns0:c r="F49" s="56" t="n"/>
      <ns0:c r="G49" s="56" t="n"/>
      <ns0:c r="H49" s="56" t="n"/>
      <ns0:c r="I49" s="56" t="n"/>
      <ns0:c r="J49" s="56" t="n"/>
      <ns0:c r="K49" s="56" t="n"/>
      <ns0:c r="L49" s="56" t="n"/>
      <ns0:c r="M49" s="56" t="n"/>
      <ns0:c r="N49" s="56" t="n"/>
      <ns0:c r="O49" s="56" t="n"/>
      <ns0:c r="P49" s="56" t="n"/>
      <ns0:c r="Q49" s="56" t="n"/>
      <ns0:c r="R49" s="56" t="n"/>
      <ns0:c r="S49" s="56" t="n"/>
      <ns0:c r="T49" s="56" t="n"/>
      <ns0:c r="U49" s="56" t="n"/>
      <ns0:c r="V49" s="57" t="n"/>
    </ns0:row>
    <ns0:row r="50">
      <ns0:c r="A50" s="49" t="n"/>
      <ns0:c r="B50" s="56" t="n"/>
      <ns0:c r="C50" s="56" t="n"/>
      <ns0:c r="D50" s="56" t="n"/>
      <ns0:c r="E50" s="56" t="n"/>
      <ns0:c r="F50" s="56" t="n"/>
      <ns0:c r="G50" s="56" t="n"/>
      <ns0:c r="H50" s="56" t="n"/>
      <ns0:c r="I50" s="56" t="n"/>
      <ns0:c r="J50" s="56" t="n"/>
      <ns0:c r="K50" s="56" t="n"/>
      <ns0:c r="L50" s="56" t="n"/>
      <ns0:c r="M50" s="56" t="n"/>
      <ns0:c r="N50" s="56" t="n"/>
      <ns0:c r="O50" s="56" t="n"/>
      <ns0:c r="P50" s="56" t="n"/>
      <ns0:c r="Q50" s="56" t="n"/>
      <ns0:c r="R50" s="56" t="n"/>
      <ns0:c r="S50" s="56" t="n"/>
      <ns0:c r="T50" s="56" t="n"/>
      <ns0:c r="U50" s="56" t="n"/>
      <ns0:c r="V50" s="57" t="n"/>
    </ns0:row>
    <ns0:row r="51">
      <ns0:c r="A51" s="49" t="n"/>
      <ns0:c r="B51" s="56" t="n"/>
      <ns0:c r="C51" s="56" t="n"/>
      <ns0:c r="D51" s="56" t="n"/>
      <ns0:c r="E51" s="56" t="n"/>
      <ns0:c r="F51" s="56" t="n"/>
      <ns0:c r="G51" s="56" t="n"/>
      <ns0:c r="H51" s="56" t="n"/>
      <ns0:c r="I51" s="56" t="n"/>
      <ns0:c r="J51" s="56" t="n"/>
      <ns0:c r="K51" s="56" t="n"/>
      <ns0:c r="L51" s="56" t="n"/>
      <ns0:c r="M51" s="56" t="n"/>
      <ns0:c r="N51" s="56" t="n"/>
      <ns0:c r="O51" s="56" t="n"/>
      <ns0:c r="P51" s="56" t="n"/>
      <ns0:c r="Q51" s="56" t="n"/>
      <ns0:c r="R51" s="56" t="n"/>
      <ns0:c r="S51" s="56" t="n"/>
      <ns0:c r="T51" s="56" t="n"/>
      <ns0:c r="U51" s="56" t="n"/>
      <ns0:c r="V51" s="57" t="n"/>
    </ns0:row>
    <ns0:row r="52">
      <ns0:c r="A52" s="49" t="n"/>
      <ns0:c r="B52" s="56" t="n"/>
      <ns0:c r="C52" s="56" t="n"/>
      <ns0:c r="D52" s="56" t="n"/>
      <ns0:c r="E52" s="56" t="n"/>
      <ns0:c r="F52" s="56" t="n"/>
      <ns0:c r="G52" s="56" t="n"/>
      <ns0:c r="H52" s="56" t="n"/>
      <ns0:c r="I52" s="56" t="n"/>
      <ns0:c r="J52" s="56" t="n"/>
      <ns0:c r="K52" s="56" t="n"/>
      <ns0:c r="L52" s="56" t="n"/>
      <ns0:c r="M52" s="56" t="n"/>
      <ns0:c r="N52" s="56" t="n"/>
      <ns0:c r="O52" s="56" t="n"/>
      <ns0:c r="P52" s="56" t="n"/>
      <ns0:c r="Q52" s="56" t="n"/>
      <ns0:c r="R52" s="56" t="n"/>
      <ns0:c r="S52" s="56" t="n"/>
      <ns0:c r="T52" s="56" t="n"/>
      <ns0:c r="U52" s="56" t="n"/>
      <ns0:c r="V52" s="57" t="n"/>
    </ns0:row>
    <ns0:row r="53">
      <ns0:c r="A53" s="49" t="n"/>
      <ns0:c r="B53" s="56" t="n"/>
      <ns0:c r="C53" s="56" t="n"/>
      <ns0:c r="D53" s="56" t="n"/>
      <ns0:c r="E53" s="56" t="n"/>
      <ns0:c r="F53" s="56" t="n"/>
      <ns0:c r="G53" s="56" t="n"/>
      <ns0:c r="H53" s="56" t="n"/>
      <ns0:c r="I53" s="56" t="n"/>
      <ns0:c r="J53" s="56" t="n"/>
      <ns0:c r="K53" s="56" t="n"/>
      <ns0:c r="L53" s="56" t="n"/>
      <ns0:c r="M53" s="56" t="n"/>
      <ns0:c r="N53" s="56" t="n"/>
      <ns0:c r="O53" s="56" t="n"/>
      <ns0:c r="P53" s="56" t="n"/>
      <ns0:c r="Q53" s="56" t="n"/>
      <ns0:c r="R53" s="56" t="n"/>
      <ns0:c r="S53" s="56" t="n"/>
      <ns0:c r="T53" s="56" t="n"/>
      <ns0:c r="U53" s="56" t="n"/>
      <ns0:c r="V53" s="57" t="n"/>
    </ns0:row>
    <ns0:row r="54">
      <ns0:c r="A54" s="49" t="n"/>
      <ns0:c r="B54" s="56" t="n"/>
      <ns0:c r="C54" s="56" t="n"/>
      <ns0:c r="D54" s="56" t="n"/>
      <ns0:c r="E54" s="56" t="n"/>
      <ns0:c r="F54" s="56" t="n"/>
      <ns0:c r="G54" s="56" t="n"/>
      <ns0:c r="H54" s="56" t="n"/>
      <ns0:c r="I54" s="56" t="n"/>
      <ns0:c r="J54" s="56" t="n"/>
      <ns0:c r="K54" s="56" t="n"/>
      <ns0:c r="L54" s="56" t="n"/>
      <ns0:c r="M54" s="56" t="n"/>
      <ns0:c r="N54" s="56" t="n"/>
      <ns0:c r="O54" s="56" t="n"/>
      <ns0:c r="P54" s="56" t="n"/>
      <ns0:c r="Q54" s="56" t="n"/>
      <ns0:c r="R54" s="56" t="n"/>
      <ns0:c r="S54" s="56" t="n"/>
      <ns0:c r="T54" s="56" t="n"/>
      <ns0:c r="U54" s="56" t="n"/>
      <ns0:c r="V54" s="57" t="n"/>
    </ns0:row>
    <ns0:row r="55">
      <ns0:c r="A55" s="49" t="n"/>
      <ns0:c r="B55" s="56" t="n"/>
      <ns0:c r="C55" s="56" t="n"/>
      <ns0:c r="D55" s="56" t="n"/>
      <ns0:c r="E55" s="56" t="n"/>
      <ns0:c r="F55" s="56" t="n"/>
      <ns0:c r="G55" s="56" t="n"/>
      <ns0:c r="H55" s="56" t="n"/>
      <ns0:c r="I55" s="56" t="n"/>
      <ns0:c r="J55" s="56" t="n"/>
      <ns0:c r="K55" s="56" t="n"/>
      <ns0:c r="L55" s="56" t="n"/>
      <ns0:c r="M55" s="56" t="n"/>
      <ns0:c r="N55" s="56" t="n"/>
      <ns0:c r="O55" s="56" t="n"/>
      <ns0:c r="P55" s="56" t="n"/>
      <ns0:c r="Q55" s="56" t="n"/>
      <ns0:c r="R55" s="56" t="n"/>
      <ns0:c r="S55" s="56" t="n"/>
      <ns0:c r="T55" s="56" t="n"/>
      <ns0:c r="U55" s="56" t="n"/>
      <ns0:c r="V55" s="57" t="n"/>
    </ns0:row>
    <ns0:row r="56">
      <ns0:c r="A56" s="49" t="n"/>
      <ns0:c r="B56" s="56" t="n"/>
      <ns0:c r="C56" s="56" t="n"/>
      <ns0:c r="D56" s="56" t="n"/>
      <ns0:c r="E56" s="56" t="n"/>
      <ns0:c r="F56" s="56" t="n"/>
      <ns0:c r="G56" s="56" t="n"/>
      <ns0:c r="H56" s="56" t="n"/>
      <ns0:c r="I56" s="56" t="n"/>
      <ns0:c r="J56" s="56" t="n"/>
      <ns0:c r="K56" s="56" t="n"/>
      <ns0:c r="L56" s="56" t="n"/>
      <ns0:c r="M56" s="56" t="n"/>
      <ns0:c r="N56" s="56" t="n"/>
      <ns0:c r="O56" s="56" t="n"/>
      <ns0:c r="P56" s="56" t="n"/>
      <ns0:c r="Q56" s="56" t="n"/>
      <ns0:c r="R56" s="56" t="n"/>
      <ns0:c r="S56" s="56" t="n"/>
      <ns0:c r="T56" s="56" t="n"/>
      <ns0:c r="U56" s="56" t="n"/>
      <ns0:c r="V56" s="57" t="n"/>
    </ns0:row>
    <ns0:row r="57">
      <ns0:c r="A57" s="49" t="n"/>
      <ns0:c r="B57" s="56" t="n"/>
      <ns0:c r="C57" s="56" t="n"/>
      <ns0:c r="D57" s="56" t="n"/>
      <ns0:c r="E57" s="56" t="n"/>
      <ns0:c r="F57" s="56" t="n"/>
      <ns0:c r="G57" s="56" t="n"/>
      <ns0:c r="H57" s="56" t="n"/>
      <ns0:c r="I57" s="56" t="n"/>
      <ns0:c r="J57" s="56" t="n"/>
      <ns0:c r="K57" s="56" t="n"/>
      <ns0:c r="L57" s="56" t="n"/>
      <ns0:c r="M57" s="56" t="n"/>
      <ns0:c r="N57" s="56" t="n"/>
      <ns0:c r="O57" s="56" t="n"/>
      <ns0:c r="P57" s="56" t="n"/>
      <ns0:c r="Q57" s="56" t="n"/>
      <ns0:c r="R57" s="56" t="n"/>
      <ns0:c r="S57" s="56" t="n"/>
      <ns0:c r="T57" s="56" t="n"/>
      <ns0:c r="U57" s="56" t="n"/>
      <ns0:c r="V57" s="57" t="n"/>
    </ns0:row>
    <ns0:row r="58">
      <ns0:c r="A58" s="49" t="n"/>
      <ns0:c r="B58" s="56" t="n"/>
      <ns0:c r="C58" s="56" t="n"/>
      <ns0:c r="D58" s="56" t="n"/>
      <ns0:c r="E58" s="56" t="n"/>
      <ns0:c r="F58" s="56" t="n"/>
      <ns0:c r="G58" s="56" t="n"/>
      <ns0:c r="H58" s="56" t="n"/>
      <ns0:c r="I58" s="56" t="n"/>
      <ns0:c r="J58" s="56" t="n"/>
      <ns0:c r="K58" s="56" t="n"/>
      <ns0:c r="L58" s="56" t="n"/>
      <ns0:c r="M58" s="56" t="n"/>
      <ns0:c r="N58" s="56" t="n"/>
      <ns0:c r="O58" s="56" t="n"/>
      <ns0:c r="P58" s="56" t="n"/>
      <ns0:c r="Q58" s="56" t="n"/>
      <ns0:c r="R58" s="56" t="n"/>
      <ns0:c r="S58" s="56" t="n"/>
      <ns0:c r="T58" s="56" t="n"/>
      <ns0:c r="U58" s="56" t="n"/>
      <ns0:c r="V58" s="57" t="n"/>
    </ns0:row>
    <ns0:row r="59">
      <ns0:c r="A59" s="49" t="n"/>
      <ns0:c r="B59" s="56" t="n"/>
      <ns0:c r="C59" s="56" t="n"/>
      <ns0:c r="D59" s="56" t="n"/>
      <ns0:c r="E59" s="56" t="n"/>
      <ns0:c r="F59" s="56" t="n"/>
      <ns0:c r="G59" s="56" t="n"/>
      <ns0:c r="H59" s="56" t="n"/>
      <ns0:c r="I59" s="56" t="n"/>
      <ns0:c r="J59" s="56" t="n"/>
      <ns0:c r="K59" s="56" t="n"/>
      <ns0:c r="L59" s="56" t="n"/>
      <ns0:c r="M59" s="56" t="n"/>
      <ns0:c r="N59" s="56" t="n"/>
      <ns0:c r="O59" s="56" t="n"/>
      <ns0:c r="P59" s="56" t="n"/>
      <ns0:c r="Q59" s="56" t="n"/>
      <ns0:c r="R59" s="56" t="n"/>
      <ns0:c r="S59" s="56" t="n"/>
      <ns0:c r="T59" s="56" t="n"/>
      <ns0:c r="U59" s="56" t="n"/>
      <ns0:c r="V59" s="57" t="n"/>
    </ns0:row>
    <ns0:row r="60">
      <ns0:c r="A60" s="49" t="n"/>
      <ns0:c r="B60" s="56" t="n"/>
      <ns0:c r="C60" s="56" t="n"/>
      <ns0:c r="D60" s="56" t="n"/>
      <ns0:c r="E60" s="56" t="n"/>
      <ns0:c r="F60" s="56" t="n"/>
      <ns0:c r="G60" s="56" t="n"/>
      <ns0:c r="H60" s="56" t="n"/>
      <ns0:c r="I60" s="56" t="n"/>
      <ns0:c r="J60" s="56" t="n"/>
      <ns0:c r="K60" s="56" t="n"/>
      <ns0:c r="L60" s="56" t="n"/>
      <ns0:c r="M60" s="56" t="n"/>
      <ns0:c r="N60" s="56" t="n"/>
      <ns0:c r="O60" s="56" t="n"/>
      <ns0:c r="P60" s="56" t="n"/>
      <ns0:c r="Q60" s="56" t="n"/>
      <ns0:c r="R60" s="56" t="n"/>
      <ns0:c r="S60" s="56" t="n"/>
      <ns0:c r="T60" s="56" t="n"/>
      <ns0:c r="U60" s="56" t="n"/>
      <ns0:c r="V60" s="57" t="n"/>
    </ns0:row>
    <ns0:row r="61">
      <ns0:c r="A61" s="65" t="n"/>
      <ns0:c r="B61" s="66" t="n"/>
      <ns0:c r="C61" s="66" t="n"/>
      <ns0:c r="D61" s="66" t="n"/>
      <ns0:c r="E61" s="66" t="n"/>
      <ns0:c r="F61" s="66" t="n"/>
      <ns0:c r="G61" s="66" t="n"/>
      <ns0:c r="H61" s="66" t="n"/>
      <ns0:c r="I61" s="66" t="n"/>
      <ns0:c r="J61" s="66" t="n"/>
      <ns0:c r="K61" s="66" t="n"/>
      <ns0:c r="L61" s="66" t="n"/>
      <ns0:c r="M61" s="66" t="n"/>
      <ns0:c r="N61" s="66" t="n"/>
      <ns0:c r="O61" s="66" t="n"/>
      <ns0:c r="P61" s="66" t="n"/>
      <ns0:c r="Q61" s="66" t="n"/>
      <ns0:c r="R61" s="66" t="n"/>
      <ns0:c r="S61" s="66" t="n"/>
      <ns0:c r="T61" s="66" t="n"/>
      <ns0:c r="U61" s="66" t="n"/>
      <ns0:c r="V61" s="67" t="n"/>
    </ns0:row>
  </ns0:sheetData>
  <ns0:mergeCells count="73">
    <ns0:mergeCell ref="K16:L16"/>
    <ns0:mergeCell ref="M20:M21"/>
    <ns0:mergeCell ref="E43:E44"/>
    <ns0:mergeCell ref="E39:E40"/>
    <ns0:mergeCell ref="N22:N23"/>
    <ns0:mergeCell ref="Q43:Q44"/>
    <ns0:mergeCell ref="M39:M40"/>
    <ns0:mergeCell ref="A5:V5"/>
    <ns0:mergeCell ref="N18:N19"/>
    <ns0:mergeCell ref="E20:E21"/>
    <ns0:mergeCell ref="A14:V14"/>
    <ns0:mergeCell ref="N41:N42"/>
    <ns0:mergeCell ref="G16:J16"/>
    <ns0:mergeCell ref="R16:R17"/>
    <ns0:mergeCell ref="C43:D44"/>
    <ns0:mergeCell ref="Q18:Q19"/>
    <ns0:mergeCell ref="F20:F21"/>
    <ns0:mergeCell ref="Q20:Q21"/>
    <ns0:mergeCell ref="N37:N38"/>
    <ns0:mergeCell ref="F18:F19"/>
    <ns0:mergeCell ref="Q39:Q40"/>
    <ns0:mergeCell ref="N43:N44"/>
    <ns0:mergeCell ref="B18:B23"/>
    <ns0:mergeCell ref="M22:M23"/>
    <ns0:mergeCell ref="Q22:Q23"/>
    <ns0:mergeCell ref="F22:F23"/>
    <ns0:mergeCell ref="B39:B44"/>
    <ns0:mergeCell ref="M16:M17"/>
    <ns0:mergeCell ref="R37:R38"/>
    <ns0:mergeCell ref="R20:R21"/>
    <ns0:mergeCell ref="D41:D42"/>
    <ns0:mergeCell ref="F41:F42"/>
    <ns0:mergeCell ref="M37:M38"/>
    <ns0:mergeCell ref="C2:N4"/>
    <ns0:mergeCell ref="B37:B38"/>
    <ns0:mergeCell ref="N39:N40"/>
    <ns0:mergeCell ref="O16:P16"/>
    <ns0:mergeCell ref="R22:R23"/>
    <ns0:mergeCell ref="D18:D19"/>
    <ns0:mergeCell ref="R39:R40"/>
    <ns0:mergeCell ref="C37:D38"/>
    <ns0:mergeCell ref="C39:C42"/>
    <ns0:mergeCell ref="F43:F44"/>
    <ns0:mergeCell ref="R18:R19"/>
    <ns0:mergeCell ref="R41:R42"/>
    <ns0:mergeCell ref="F37:F38"/>
    <ns0:mergeCell ref="F39:F40"/>
    <ns0:mergeCell ref="M18:M19"/>
    <ns0:mergeCell ref="E41:E42"/>
    <ns0:mergeCell ref="E16:E17"/>
    <ns0:mergeCell ref="O37:P37"/>
    <ns0:mergeCell ref="Q16:Q17"/>
    <ns0:mergeCell ref="D20:D21"/>
    <ns0:mergeCell ref="M41:M42"/>
    <ns0:mergeCell ref="A7:V7"/>
    <ns0:mergeCell ref="G37:J37"/>
    <ns0:mergeCell ref="D39:D40"/>
    <ns0:mergeCell ref="A2:B4"/>
    <ns0:mergeCell ref="R43:R44"/>
    <ns0:mergeCell ref="C16:D17"/>
    <ns0:mergeCell ref="E18:E19"/>
    <ns0:mergeCell ref="M43:M44"/>
    <ns0:mergeCell ref="E22:E23"/>
    <ns0:mergeCell ref="Q41:Q42"/>
    <ns0:mergeCell ref="N20:N21"/>
    <ns0:mergeCell ref="K37:L37"/>
    <ns0:mergeCell ref="E37:E38"/>
    <ns0:mergeCell ref="B16:B17"/>
    <ns0:mergeCell ref="N16:N17"/>
    <ns0:mergeCell ref="C22:D23"/>
    <ns0:mergeCell ref="F16:F17"/>
    <ns0:mergeCell ref="Q37:Q38"/>
    <ns0:mergeCell ref="C18:C2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M58"/>
  <ns0:sheetViews>
    <ns0:sheetView workbookViewId="0">
      <ns0:selection activeCell="A1" sqref="A1"/>
    </ns0:sheetView>
  </ns0:sheetViews>
  <ns0:sheetFormatPr baseColWidth="8" defaultRowHeight="15"/>
  <ns0:cols>
    <ns0:col width="21.14285714285714" customWidth="1" min="1" max="1"/>
    <ns0:col width="15.42857142857143" customWidth="1" min="2" max="2"/>
    <ns0:col width="61.14285714285715" customWidth="1" min="3" max="3"/>
    <ns0:col width="61.14285714285715" customWidth="1" min="4" max="4"/>
    <ns0:col width="22.71428571428572" customWidth="1" min="5" max="5"/>
    <ns0:col width="22.71428571428572" customWidth="1" min="6" max="6"/>
    <ns0:col width="19.85714285714286" customWidth="1" min="7" max="7"/>
    <ns0:col width="19.85714285714286" customWidth="1" min="8" max="8"/>
    <ns0:col width="26.85714285714286" customWidth="1" min="9" max="9"/>
    <ns0:col width="31" customWidth="1" min="10" max="10"/>
    <ns0:col width="17.57142857142857" customWidth="1" min="11" max="11"/>
    <ns0:col width="17.57142857142857" customWidth="1" min="12" max="12"/>
    <ns0:col width="22.28571428571428" customWidth="1" min="13" max="13"/>
    <ns0:col width="26.71428571428572" customWidth="1" min="14" max="14"/>
    <ns0:col width="18.28571428571428" customWidth="1" min="15" max="15"/>
    <ns0:col width="18.28571428571428" customWidth="1" min="16" max="16"/>
    <ns0:col width="18.28571428571428" customWidth="1" min="17" max="17"/>
    <ns0:col width="26.85714285714286" customWidth="1" min="18" max="18"/>
    <ns0:col width="25.71428571428572" customWidth="1" min="19" max="19"/>
    <ns0:col width="25.71428571428572" customWidth="1" min="20" max="20"/>
    <ns0:col width="25.71428571428572" customWidth="1" min="21" max="21"/>
    <ns0:col width="31.42857142857143" customWidth="1" min="22" max="22"/>
  </ns0:cols>
  <ns0:sheetData>
    <ns0:row r="1" ht="16.5" customHeight="1"/>
    <ns0:row r="2" ht="40.6875" customHeight="1">
      <ns0:c r="A2" s="3" t="inlineStr">
        <ns0:is>
          <ns0:t>TITLE</ns0:t>
        </ns0:is>
      </ns0:c>
      <ns0:c r="B2" s="4" t="n"/>
      <ns0:c r="C2" s="5" t="inlineStr">
        <ns0:is>
          <ns0:t>REPORT CHECKING AND TEST REDUCE HEIGHT DIMENSION COIL  OF MODEL BRS-201506</ns0:t>
        </ns0:is>
      </ns0:c>
      <ns0:c r="D2" s="6" t="n"/>
      <ns0:c r="E2" s="6" t="n"/>
      <ns0:c r="F2" s="6" t="n"/>
      <ns0:c r="G2" s="6" t="n"/>
      <ns0:c r="H2" s="6" t="n"/>
      <ns0:c r="I2" s="6" t="n"/>
      <ns0:c r="J2" s="6" t="n"/>
      <ns0:c r="K2" s="6" t="n"/>
      <ns0:c r="L2" s="6" t="n"/>
      <ns0:c r="M2" s="6" t="n"/>
      <ns0:c r="N2" s="6" t="n"/>
      <ns0:c r="O2" s="7" t="n"/>
      <ns0:c r="P2" s="7" t="n"/>
      <ns0:c r="Q2" s="7" t="n"/>
      <ns0:c r="R2" s="7" t="n"/>
      <ns0:c r="S2" s="7" t="n"/>
      <ns0:c r="T2" s="7" t="n"/>
      <ns0:c r="U2" s="8" t="inlineStr">
        <ns0:is>
          <ns0:t>Dept</ns0:t>
        </ns0:is>
      </ns0:c>
      <ns0:c r="V2" s="9" t="inlineStr">
        <ns0:is>
          <ns0:t>ME</ns0:t>
        </ns0:is>
      </ns0:c>
    </ns0:row>
    <ns0:row r="3" ht="40.6875" customHeight="1">
      <ns0:c r="A3" s="10" t="n"/>
      <ns0:c r="B3" s="11" t="n"/>
      <ns0:c r="C3" s="12" t="n"/>
      <ns0:c r="O3" s="13" t="n"/>
      <ns0:c r="P3" s="13" t="n"/>
      <ns0:c r="Q3" s="13" t="n"/>
      <ns0:c r="R3" s="13" t="n"/>
      <ns0:c r="S3" s="13" t="n"/>
      <ns0:c r="T3" s="13" t="n"/>
      <ns0:c r="U3" s="14" t="inlineStr">
        <ns0:is>
          <ns0:t>Date</ns0:t>
        </ns0:is>
      </ns0:c>
      <ns0:c r="V3" s="15" t="n">
        <ns0:v>45457</ns0:v>
      </ns0:c>
    </ns0:row>
    <ns0:row r="4" ht="40.6875" customHeight="1">
      <ns0:c r="A4" s="16" t="n"/>
      <ns0:c r="B4" s="17" t="n"/>
      <ns0:c r="C4" s="18" t="n"/>
      <ns0:c r="D4" s="19" t="n"/>
      <ns0:c r="E4" s="19" t="n"/>
      <ns0:c r="F4" s="19" t="n"/>
      <ns0:c r="G4" s="19" t="n"/>
      <ns0:c r="H4" s="19" t="n"/>
      <ns0:c r="I4" s="19" t="n"/>
      <ns0:c r="J4" s="19" t="n"/>
      <ns0:c r="K4" s="19" t="n"/>
      <ns0:c r="L4" s="19" t="n"/>
      <ns0:c r="M4" s="19" t="n"/>
      <ns0:c r="N4" s="19" t="n"/>
      <ns0:c r="O4" s="20" t="n"/>
      <ns0:c r="P4" s="20" t="n"/>
      <ns0:c r="Q4" s="20" t="n"/>
      <ns0:c r="R4" s="20" t="n"/>
      <ns0:c r="S4" s="20" t="n"/>
      <ns0:c r="T4" s="20" t="n"/>
      <ns0:c r="U4" s="14" t="inlineStr">
        <ns0:is>
          <ns0:t>Marker</ns0:t>
        </ns0:is>
      </ns0:c>
      <ns0:c r="V4" s="21" t="inlineStr">
        <ns0:is>
          <ns0:t>Thao</ns0:t>
        </ns0:is>
      </ns0:c>
    </ns0:row>
    <ns0:row r="5" ht="40.6875" customHeight="1">
      <ns0:c r="A5" s="22" t="inlineStr">
        <ns0:is>
          <ns0:t>I. Purpose.</ns0:t>
        </ns0:is>
      </ns0:c>
      <ns0:c r="B5" s="23" t="n"/>
      <ns0:c r="C5" s="23" t="n"/>
      <ns0:c r="D5" s="23" t="n"/>
      <ns0:c r="E5" s="23" t="n"/>
      <ns0:c r="F5" s="23" t="n"/>
      <ns0:c r="G5" s="23" t="n"/>
      <ns0:c r="H5" s="23" t="n"/>
      <ns0:c r="I5" s="23" t="n"/>
      <ns0:c r="J5" s="23" t="n"/>
      <ns0:c r="K5" s="23" t="n"/>
      <ns0:c r="L5" s="23" t="n"/>
      <ns0:c r="M5" s="23" t="n"/>
      <ns0:c r="N5" s="23" t="n"/>
      <ns0:c r="O5" s="23" t="n"/>
      <ns0:c r="P5" s="23" t="n"/>
      <ns0:c r="Q5" s="23" t="n"/>
      <ns0:c r="R5" s="23" t="n"/>
      <ns0:c r="S5" s="23" t="n"/>
      <ns0:c r="T5" s="23" t="n"/>
      <ns0:c r="U5" s="23" t="n"/>
      <ns0:c r="V5" s="24" t="n"/>
    </ns0:row>
    <ns0:row r="6" ht="40.6875" customHeight="1">
      <ns0:c r="A6" s="25" t="inlineStr">
        <ns0:is>
          <ns0:t xml:space="preserve"> - Find reason NG Function</ns0:t>
        </ns0:is>
      </ns0:c>
      <ns0:c r="B6" s="26" t="n"/>
      <ns0:c r="C6" s="26" t="n"/>
      <ns0:c r="D6" s="26" t="n"/>
      <ns0:c r="E6" s="26" t="n"/>
      <ns0:c r="F6" s="26" t="n"/>
      <ns0:c r="G6" s="26" t="n"/>
      <ns0:c r="H6" s="26" t="n"/>
      <ns0:c r="I6" s="26" t="n"/>
      <ns0:c r="J6" s="26" t="n"/>
      <ns0:c r="K6" s="26" t="n"/>
      <ns0:c r="L6" s="26" t="n"/>
      <ns0:c r="M6" s="26" t="n"/>
      <ns0:c r="N6" s="26" t="n"/>
      <ns0:c r="O6" s="26" t="n"/>
      <ns0:c r="P6" s="26" t="n"/>
      <ns0:c r="Q6" s="26" t="n"/>
      <ns0:c r="R6" s="26" t="n"/>
      <ns0:c r="S6" s="26" t="n"/>
      <ns0:c r="T6" s="26" t="n"/>
      <ns0:c r="U6" s="26" t="n"/>
      <ns0:c r="V6" s="27" t="n"/>
    </ns0:row>
    <ns0:row r="7" ht="40.6875" customHeight="1">
      <ns0:c r="A7" s="22" t="inlineStr">
        <ns0:is>
          <ns0:t>II. Content.</ns0:t>
        </ns0:is>
      </ns0:c>
      <ns0:c r="B7" s="23" t="n"/>
      <ns0:c r="C7" s="23" t="n"/>
      <ns0:c r="D7" s="23" t="n"/>
      <ns0:c r="E7" s="23" t="n"/>
      <ns0:c r="F7" s="23" t="n"/>
      <ns0:c r="G7" s="23" t="n"/>
      <ns0:c r="H7" s="23" t="n"/>
      <ns0:c r="I7" s="23" t="n"/>
      <ns0:c r="J7" s="23" t="n"/>
      <ns0:c r="K7" s="23" t="n"/>
      <ns0:c r="L7" s="23" t="n"/>
      <ns0:c r="M7" s="23" t="n"/>
      <ns0:c r="N7" s="23" t="n"/>
      <ns0:c r="O7" s="23" t="n"/>
      <ns0:c r="P7" s="23" t="n"/>
      <ns0:c r="Q7" s="23" t="n"/>
      <ns0:c r="R7" s="23" t="n"/>
      <ns0:c r="S7" s="23" t="n"/>
      <ns0:c r="T7" s="23" t="n"/>
      <ns0:c r="U7" s="23" t="n"/>
      <ns0:c r="V7" s="24" t="n"/>
      <ns0:c r="Z7" s="28" t="n"/>
      <ns0:c r="AA7" s="28" t="n"/>
      <ns0:c r="AB7" s="28" t="n"/>
      <ns0:c r="AC7" s="28" t="n"/>
      <ns0:c r="AD7" s="28" t="n"/>
      <ns0:c r="AE7" s="28" t="n"/>
      <ns0:c r="AF7" s="28" t="n"/>
      <ns0:c r="AG7" s="28" t="n"/>
      <ns0:c r="AH7" s="28" t="n"/>
      <ns0:c r="AI7" s="28" t="n"/>
      <ns0:c r="AJ7" s="28" t="n"/>
      <ns0:c r="AK7" s="28" t="n"/>
      <ns0:c r="AL7" s="28" t="n"/>
      <ns0:c r="AM7" s="28" t="n"/>
      <ns0:c r="AN7" s="28" t="n"/>
      <ns0:c r="AO7" s="28" t="n"/>
      <ns0:c r="AP7" s="28" t="n"/>
      <ns0:c r="AQ7" s="28" t="n"/>
      <ns0:c r="AR7" s="28" t="n"/>
      <ns0:c r="AS7" s="28" t="n"/>
      <ns0:c r="AT7" s="28" t="n"/>
      <ns0:c r="AU7" s="28" t="n"/>
      <ns0:c r="AV7" s="28" t="n"/>
      <ns0:c r="AW7" s="28" t="n"/>
      <ns0:c r="AX7" s="28" t="n"/>
      <ns0:c r="AY7" s="28" t="n"/>
      <ns0:c r="AZ7" s="28" t="n"/>
      <ns0:c r="BA7" s="28" t="n"/>
      <ns0:c r="BB7" s="28" t="n"/>
      <ns0:c r="BC7" s="28" t="n"/>
      <ns0:c r="BD7" s="28" t="n"/>
      <ns0:c r="BE7" s="28" t="n"/>
      <ns0:c r="BF7" s="28" t="n"/>
      <ns0:c r="BG7" s="28" t="n"/>
      <ns0:c r="BH7" s="28" t="n"/>
      <ns0:c r="BI7" s="28" t="n"/>
      <ns0:c r="BJ7" s="28" t="n"/>
      <ns0:c r="BK7" s="28" t="n"/>
      <ns0:c r="BL7" s="28" t="n"/>
      <ns0:c r="BM7" s="28" t="n"/>
    </ns0:row>
    <ns0:row r="8" ht="40.6875" customHeight="1">
      <ns0:c r="A8" s="29" t="n"/>
      <ns0:c r="B8" s="30" t="n"/>
      <ns0:c r="C8" s="30" t="n"/>
      <ns0:c r="D8" s="30" t="n"/>
      <ns0:c r="E8" s="31" t="n"/>
      <ns0:c r="F8" s="31" t="n"/>
      <ns0:c r="G8" s="31" t="n"/>
      <ns0:c r="H8" s="31" t="n"/>
      <ns0:c r="I8" s="31" t="n"/>
      <ns0:c r="J8" s="31" t="n"/>
      <ns0:c r="K8" s="31" t="n"/>
      <ns0:c r="L8" s="31" t="n"/>
      <ns0:c r="M8" s="31" t="n"/>
      <ns0:c r="N8" s="31" t="n"/>
      <ns0:c r="O8" s="31" t="n"/>
      <ns0:c r="P8" s="31" t="n"/>
      <ns0:c r="Q8" s="31" t="n"/>
      <ns0:c r="R8" s="31" t="n"/>
      <ns0:c r="S8" s="31" t="n"/>
      <ns0:c r="T8" s="31" t="n"/>
      <ns0:c r="U8" s="31" t="n"/>
      <ns0:c r="V8" s="32" t="n"/>
      <ns0:c r="Z8" s="28" t="n"/>
      <ns0:c r="AA8" s="28" t="n"/>
      <ns0:c r="AB8" s="28" t="n"/>
      <ns0:c r="AC8" s="28" t="n"/>
      <ns0:c r="AD8" s="28" t="n"/>
      <ns0:c r="AE8" s="28" t="n"/>
      <ns0:c r="AF8" s="28" t="n"/>
      <ns0:c r="AG8" s="28" t="n"/>
      <ns0:c r="AH8" s="28" t="n"/>
      <ns0:c r="AI8" s="28" t="n"/>
      <ns0:c r="AJ8" s="28" t="n"/>
      <ns0:c r="AK8" s="28" t="n"/>
      <ns0:c r="AL8" s="28" t="n"/>
      <ns0:c r="AM8" s="28" t="n"/>
      <ns0:c r="AN8" s="28" t="n"/>
      <ns0:c r="AO8" s="28" t="n"/>
      <ns0:c r="AP8" s="28" t="n"/>
      <ns0:c r="AQ8" s="28" t="n"/>
      <ns0:c r="AR8" s="28" t="n"/>
      <ns0:c r="AS8" s="28" t="n"/>
      <ns0:c r="AT8" s="28" t="n"/>
      <ns0:c r="AU8" s="28" t="n"/>
      <ns0:c r="AV8" s="28" t="n"/>
      <ns0:c r="AW8" s="28" t="n"/>
      <ns0:c r="AX8" s="28" t="n"/>
      <ns0:c r="AY8" s="28" t="n"/>
      <ns0:c r="AZ8" s="28" t="n"/>
      <ns0:c r="BA8" s="28" t="n"/>
      <ns0:c r="BB8" s="28" t="n"/>
      <ns0:c r="BC8" s="28" t="n"/>
      <ns0:c r="BD8" s="28" t="n"/>
      <ns0:c r="BE8" s="28" t="n"/>
      <ns0:c r="BF8" s="28" t="n"/>
      <ns0:c r="BG8" s="28" t="n"/>
      <ns0:c r="BH8" s="28" t="n"/>
      <ns0:c r="BI8" s="28" t="n"/>
      <ns0:c r="BJ8" s="28" t="n"/>
      <ns0:c r="BK8" s="28" t="n"/>
      <ns0:c r="BL8" s="28" t="n"/>
      <ns0:c r="BM8" s="28" t="n"/>
    </ns0:row>
    <ns0:row r="9" ht="40.6875" customHeight="1">
      <ns0:c r="A9" s="29" t="n"/>
      <ns0:c r="B9" s="30" t="n"/>
      <ns0:c r="C9" s="30" t="n"/>
      <ns0:c r="D9" s="30" t="n"/>
      <ns0:c r="E9" s="31" t="n"/>
      <ns0:c r="F9" s="31" t="n"/>
      <ns0:c r="G9" s="31" t="n"/>
      <ns0:c r="H9" s="31" t="n"/>
      <ns0:c r="I9" s="31" t="n"/>
      <ns0:c r="J9" s="31" t="n"/>
      <ns0:c r="K9" s="31" t="n"/>
      <ns0:c r="L9" s="31" t="n"/>
      <ns0:c r="M9" s="31" t="n"/>
      <ns0:c r="N9" s="31" t="n"/>
      <ns0:c r="O9" s="31" t="n"/>
      <ns0:c r="P9" s="31" t="n"/>
      <ns0:c r="Q9" s="31" t="n"/>
      <ns0:c r="R9" s="31" t="n"/>
      <ns0:c r="S9" s="31" t="n"/>
      <ns0:c r="T9" s="31" t="n"/>
      <ns0:c r="U9" s="31" t="n"/>
      <ns0:c r="V9" s="32" t="n"/>
      <ns0:c r="Z9" s="28" t="n"/>
      <ns0:c r="AA9" s="28" t="n"/>
      <ns0:c r="AB9" s="28" t="n"/>
      <ns0:c r="AC9" s="28" t="n"/>
      <ns0:c r="AD9" s="28" t="n"/>
      <ns0:c r="AE9" s="28" t="n"/>
      <ns0:c r="AF9" s="28" t="n"/>
      <ns0:c r="AG9" s="28" t="n"/>
      <ns0:c r="AH9" s="28" t="n"/>
      <ns0:c r="AI9" s="28" t="n"/>
      <ns0:c r="AJ9" s="28" t="n"/>
      <ns0:c r="AK9" s="28" t="n"/>
      <ns0:c r="AL9" s="28" t="n"/>
      <ns0:c r="AM9" s="28" t="n"/>
      <ns0:c r="AN9" s="28" t="n"/>
      <ns0:c r="AO9" s="28" t="n"/>
      <ns0:c r="AP9" s="28" t="n"/>
      <ns0:c r="AQ9" s="28" t="n"/>
      <ns0:c r="AR9" s="28" t="n"/>
      <ns0:c r="AS9" s="28" t="n"/>
      <ns0:c r="AT9" s="28" t="n"/>
      <ns0:c r="AU9" s="28" t="n"/>
      <ns0:c r="AV9" s="28" t="n"/>
      <ns0:c r="AW9" s="28" t="n"/>
      <ns0:c r="AX9" s="28" t="n"/>
      <ns0:c r="AY9" s="28" t="n"/>
      <ns0:c r="AZ9" s="28" t="n"/>
      <ns0:c r="BA9" s="28" t="n"/>
      <ns0:c r="BB9" s="28" t="n"/>
      <ns0:c r="BC9" s="28" t="n"/>
      <ns0:c r="BD9" s="28" t="n"/>
      <ns0:c r="BE9" s="28" t="n"/>
      <ns0:c r="BF9" s="28" t="n"/>
      <ns0:c r="BG9" s="28" t="n"/>
      <ns0:c r="BH9" s="28" t="n"/>
      <ns0:c r="BI9" s="28" t="n"/>
      <ns0:c r="BJ9" s="28" t="n"/>
      <ns0:c r="BK9" s="28" t="n"/>
      <ns0:c r="BL9" s="28" t="n"/>
      <ns0:c r="BM9" s="28" t="n"/>
    </ns0:row>
    <ns0:row r="10" ht="40.6875" customHeight="1">
      <ns0:c r="A10" s="29" t="n"/>
      <ns0:c r="B10" s="30" t="n"/>
      <ns0:c r="C10" s="30" t="n"/>
      <ns0:c r="D10" s="30" t="n"/>
      <ns0:c r="E10" s="31" t="n"/>
      <ns0:c r="F10" s="31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1" t="n"/>
      <ns0:c r="T10" s="31" t="n"/>
      <ns0:c r="U10" s="31" t="n"/>
      <ns0:c r="V10" s="32" t="n"/>
      <ns0:c r="Z10" s="28" t="n"/>
      <ns0:c r="AA10" s="28" t="n"/>
      <ns0:c r="AB10" s="28" t="n"/>
      <ns0:c r="AC10" s="28" t="n"/>
      <ns0:c r="AD10" s="28" t="n"/>
      <ns0:c r="AE10" s="28" t="n"/>
      <ns0:c r="AF10" s="28" t="n"/>
      <ns0:c r="AG10" s="28" t="n"/>
      <ns0:c r="AH10" s="28" t="n"/>
      <ns0:c r="AI10" s="28" t="n"/>
      <ns0:c r="AJ10" s="28" t="n"/>
      <ns0:c r="AK10" s="28" t="n"/>
      <ns0:c r="AL10" s="28" t="n"/>
      <ns0:c r="AM10" s="28" t="n"/>
      <ns0:c r="AN10" s="28" t="n"/>
      <ns0:c r="AO10" s="28" t="n"/>
      <ns0:c r="AP10" s="28" t="n"/>
      <ns0:c r="AQ10" s="28" t="n"/>
      <ns0:c r="AR10" s="28" t="n"/>
      <ns0:c r="AS10" s="28" t="n"/>
      <ns0:c r="AT10" s="28" t="n"/>
      <ns0:c r="AU10" s="28" t="n"/>
      <ns0:c r="AV10" s="28" t="n"/>
      <ns0:c r="AW10" s="28" t="n"/>
      <ns0:c r="AX10" s="28" t="n"/>
      <ns0:c r="AY10" s="28" t="n"/>
      <ns0:c r="AZ10" s="28" t="n"/>
      <ns0:c r="BA10" s="28" t="n"/>
      <ns0:c r="BB10" s="28" t="n"/>
      <ns0:c r="BC10" s="28" t="n"/>
      <ns0:c r="BD10" s="28" t="n"/>
      <ns0:c r="BE10" s="28" t="n"/>
      <ns0:c r="BF10" s="28" t="n"/>
      <ns0:c r="BG10" s="28" t="n"/>
      <ns0:c r="BH10" s="28" t="n"/>
      <ns0:c r="BI10" s="28" t="n"/>
      <ns0:c r="BJ10" s="28" t="n"/>
      <ns0:c r="BK10" s="28" t="n"/>
      <ns0:c r="BL10" s="28" t="n"/>
      <ns0:c r="BM10" s="28" t="n"/>
    </ns0:row>
    <ns0:row r="11" ht="40.6875" customHeight="1">
      <ns0:c r="A11" s="29" t="n"/>
      <ns0:c r="B11" s="30" t="n"/>
      <ns0:c r="C11" s="30" t="n"/>
      <ns0:c r="D11" s="30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2" t="n"/>
      <ns0:c r="Z11" s="28" t="n"/>
      <ns0:c r="AA11" s="28" t="n"/>
      <ns0:c r="AB11" s="28" t="n"/>
      <ns0:c r="AC11" s="28" t="n"/>
      <ns0:c r="AD11" s="28" t="n"/>
      <ns0:c r="AE11" s="28" t="n"/>
      <ns0:c r="AF11" s="28" t="n"/>
      <ns0:c r="AG11" s="28" t="n"/>
      <ns0:c r="AH11" s="28" t="n"/>
      <ns0:c r="AI11" s="28" t="n"/>
      <ns0:c r="AJ11" s="28" t="n"/>
      <ns0:c r="AK11" s="28" t="n"/>
      <ns0:c r="AL11" s="28" t="n"/>
      <ns0:c r="AM11" s="28" t="n"/>
      <ns0:c r="AN11" s="28" t="n"/>
      <ns0:c r="AO11" s="28" t="n"/>
      <ns0:c r="AP11" s="28" t="n"/>
      <ns0:c r="AQ11" s="28" t="n"/>
      <ns0:c r="AR11" s="28" t="n"/>
      <ns0:c r="AS11" s="28" t="n"/>
      <ns0:c r="AT11" s="28" t="n"/>
      <ns0:c r="AU11" s="28" t="n"/>
      <ns0:c r="AV11" s="28" t="n"/>
      <ns0:c r="AW11" s="28" t="n"/>
      <ns0:c r="AX11" s="28" t="n"/>
      <ns0:c r="AY11" s="28" t="n"/>
      <ns0:c r="AZ11" s="28" t="n"/>
      <ns0:c r="BA11" s="28" t="n"/>
      <ns0:c r="BB11" s="28" t="n"/>
      <ns0:c r="BC11" s="28" t="n"/>
      <ns0:c r="BD11" s="28" t="n"/>
      <ns0:c r="BE11" s="28" t="n"/>
      <ns0:c r="BF11" s="28" t="n"/>
      <ns0:c r="BG11" s="28" t="n"/>
      <ns0:c r="BH11" s="28" t="n"/>
      <ns0:c r="BI11" s="28" t="n"/>
      <ns0:c r="BJ11" s="28" t="n"/>
      <ns0:c r="BK11" s="28" t="n"/>
      <ns0:c r="BL11" s="28" t="n"/>
      <ns0:c r="BM11" s="28" t="n"/>
    </ns0:row>
    <ns0:row r="12" ht="40.6875" customHeight="1">
      <ns0:c r="A12" s="29" t="n"/>
      <ns0:c r="B12" s="30" t="n"/>
      <ns0:c r="C12" s="30" t="n"/>
      <ns0:c r="D12" s="30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2" t="n"/>
      <ns0:c r="Z12" s="28" t="n"/>
      <ns0:c r="AA12" s="28" t="n"/>
      <ns0:c r="AB12" s="28" t="n"/>
      <ns0:c r="AC12" s="28" t="n"/>
      <ns0:c r="AD12" s="28" t="n"/>
      <ns0:c r="AE12" s="28" t="n"/>
      <ns0:c r="AF12" s="28" t="n"/>
      <ns0:c r="AG12" s="28" t="n"/>
      <ns0:c r="AH12" s="28" t="n"/>
      <ns0:c r="AI12" s="28" t="n"/>
      <ns0:c r="AJ12" s="28" t="n"/>
      <ns0:c r="AK12" s="28" t="n"/>
      <ns0:c r="AL12" s="28" t="n"/>
      <ns0:c r="AM12" s="28" t="n"/>
      <ns0:c r="AN12" s="28" t="n"/>
      <ns0:c r="AO12" s="28" t="n"/>
      <ns0:c r="AP12" s="28" t="n"/>
      <ns0:c r="AQ12" s="28" t="n"/>
      <ns0:c r="AR12" s="28" t="n"/>
      <ns0:c r="AS12" s="28" t="n"/>
      <ns0:c r="AT12" s="28" t="n"/>
      <ns0:c r="AU12" s="28" t="n"/>
      <ns0:c r="AV12" s="28" t="n"/>
      <ns0:c r="AW12" s="28" t="n"/>
      <ns0:c r="AX12" s="28" t="n"/>
      <ns0:c r="AY12" s="28" t="n"/>
      <ns0:c r="AZ12" s="28" t="n"/>
      <ns0:c r="BA12" s="28" t="n"/>
      <ns0:c r="BB12" s="28" t="n"/>
      <ns0:c r="BC12" s="28" t="n"/>
      <ns0:c r="BD12" s="28" t="n"/>
      <ns0:c r="BE12" s="28" t="n"/>
      <ns0:c r="BF12" s="28" t="n"/>
      <ns0:c r="BG12" s="28" t="n"/>
      <ns0:c r="BH12" s="28" t="n"/>
      <ns0:c r="BI12" s="28" t="n"/>
      <ns0:c r="BJ12" s="28" t="n"/>
      <ns0:c r="BK12" s="28" t="n"/>
      <ns0:c r="BL12" s="28" t="n"/>
      <ns0:c r="BM12" s="28" t="n"/>
    </ns0:row>
    <ns0:row r="13" ht="40.6875" customHeight="1">
      <ns0:c r="A13" s="29" t="n"/>
      <ns0:c r="B13" s="30" t="n"/>
      <ns0:c r="C13" s="30" t="n"/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2" t="n"/>
      <ns0:c r="Z13" s="28" t="n"/>
      <ns0:c r="AA13" s="28" t="n"/>
      <ns0:c r="AB13" s="28" t="n"/>
      <ns0:c r="AC13" s="28" t="n"/>
      <ns0:c r="AD13" s="28" t="n"/>
      <ns0:c r="AE13" s="28" t="n"/>
      <ns0:c r="AF13" s="28" t="n"/>
      <ns0:c r="AG13" s="28" t="n"/>
      <ns0:c r="AH13" s="28" t="n"/>
      <ns0:c r="AI13" s="28" t="n"/>
      <ns0:c r="AJ13" s="28" t="n"/>
      <ns0:c r="AK13" s="28" t="n"/>
      <ns0:c r="AL13" s="28" t="n"/>
      <ns0:c r="AM13" s="28" t="n"/>
      <ns0:c r="AN13" s="28" t="n"/>
      <ns0:c r="AO13" s="28" t="n"/>
      <ns0:c r="AP13" s="28" t="n"/>
      <ns0:c r="AQ13" s="28" t="n"/>
      <ns0:c r="AR13" s="28" t="n"/>
      <ns0:c r="AS13" s="28" t="n"/>
      <ns0:c r="AT13" s="28" t="n"/>
      <ns0:c r="AU13" s="28" t="n"/>
      <ns0:c r="AV13" s="28" t="n"/>
      <ns0:c r="AW13" s="28" t="n"/>
      <ns0:c r="AX13" s="28" t="n"/>
      <ns0:c r="AY13" s="28" t="n"/>
      <ns0:c r="AZ13" s="28" t="n"/>
      <ns0:c r="BA13" s="28" t="n"/>
      <ns0:c r="BB13" s="28" t="n"/>
      <ns0:c r="BC13" s="28" t="n"/>
      <ns0:c r="BD13" s="28" t="n"/>
      <ns0:c r="BE13" s="28" t="n"/>
      <ns0:c r="BF13" s="28" t="n"/>
      <ns0:c r="BG13" s="28" t="n"/>
      <ns0:c r="BH13" s="28" t="n"/>
      <ns0:c r="BI13" s="28" t="n"/>
      <ns0:c r="BJ13" s="28" t="n"/>
      <ns0:c r="BK13" s="28" t="n"/>
      <ns0:c r="BL13" s="28" t="n"/>
      <ns0:c r="BM13" s="28" t="n"/>
    </ns0:row>
    <ns0:row r="14" ht="40.6875" customHeight="1">
      <ns0:c r="A14" s="33" t="inlineStr">
        <ns0:is>
          <ns0:t xml:space="preserve">3.Result </ns0:t>
        </ns0:is>
      </ns0:c>
      <ns0:c r="B14" s="34" t="n"/>
      <ns0:c r="C14" s="34" t="n"/>
      <ns0:c r="D14" s="34" t="n"/>
      <ns0:c r="E14" s="34" t="n"/>
      <ns0:c r="F14" s="34" t="n"/>
      <ns0:c r="G14" s="34" t="n"/>
      <ns0:c r="H14" s="34" t="n"/>
      <ns0:c r="I14" s="34" t="n"/>
      <ns0:c r="J14" s="34" t="n"/>
      <ns0:c r="K14" s="34" t="n"/>
      <ns0:c r="L14" s="34" t="n"/>
      <ns0:c r="M14" s="34" t="n"/>
      <ns0:c r="N14" s="34" t="n"/>
      <ns0:c r="O14" s="34" t="n"/>
      <ns0:c r="P14" s="34" t="n"/>
      <ns0:c r="Q14" s="34" t="n"/>
      <ns0:c r="R14" s="34" t="n"/>
      <ns0:c r="S14" s="34" t="n"/>
      <ns0:c r="T14" s="34" t="n"/>
      <ns0:c r="U14" s="34" t="n"/>
      <ns0:c r="V14" s="35" t="n"/>
      <ns0:c r="W14" s="28" t="n"/>
      <ns0:c r="X14" s="28" t="n"/>
      <ns0:c r="Y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  <ns0:c r="AX14" s="28" t="n"/>
      <ns0:c r="AY14" s="28" t="n"/>
      <ns0:c r="AZ14" s="28" t="n"/>
      <ns0:c r="BA14" s="28" t="n"/>
      <ns0:c r="BB14" s="28" t="n"/>
      <ns0:c r="BC14" s="28" t="n"/>
      <ns0:c r="BD14" s="28" t="n"/>
      <ns0:c r="BE14" s="28" t="n"/>
      <ns0:c r="BF14" s="28" t="n"/>
      <ns0:c r="BG14" s="28" t="n"/>
      <ns0:c r="BH14" s="28" t="n"/>
      <ns0:c r="BI14" s="28" t="n"/>
      <ns0:c r="BJ14" s="28" t="n"/>
      <ns0:c r="BK14" s="28" t="n"/>
      <ns0:c r="BL14" s="28" t="n"/>
      <ns0:c r="BM14" s="28" t="n"/>
    </ns0:row>
    <ns0:row r="15" ht="48" customHeight="1">
      <ns0:c r="A15" s="36" t="n"/>
      <ns0:c r="B15" s="37" t="inlineStr">
        <ns0:is>
          <ns0:t>RESULT CHECKING FUNCTION OF MODEL BRS-2015</ns0:t>
        </ns0:is>
      </ns0:c>
      <ns0:c r="C15" s="37" t="n"/>
      <ns0:c r="D15" s="38" t="n"/>
      <ns0:c r="E15" s="39" t="n"/>
      <ns0:c r="F15" s="40" t="n"/>
      <ns0:c r="G15" s="40" t="n"/>
      <ns0:c r="H15" s="40" t="n"/>
      <ns0:c r="I15" s="40" t="n"/>
      <ns0:c r="J15" s="40" t="n"/>
      <ns0:c r="K15" s="40" t="n"/>
      <ns0:c r="L15" s="40" t="n"/>
      <ns0:c r="M15" s="41" t="n"/>
      <ns0:c r="N15" s="39" t="n"/>
      <ns0:c r="O15" s="39" t="n"/>
      <ns0:c r="P15" s="39" t="n"/>
      <ns0:c r="Q15" s="39" t="n"/>
      <ns0:c r="R15" s="39" t="n"/>
      <ns0:c r="S15" s="39" t="n"/>
      <ns0:c r="T15" s="39" t="n"/>
      <ns0:c r="U15" s="42" t="n"/>
      <ns0:c r="V15" s="43" t="n"/>
      <ns0:c r="W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  <ns0:c r="BH15" s="28" t="n"/>
      <ns0:c r="BI15" s="28" t="n"/>
      <ns0:c r="BJ15" s="28" t="n"/>
      <ns0:c r="BK15" s="28" t="n"/>
      <ns0:c r="BL15" s="28" t="n"/>
      <ns0:c r="BM15" s="28" t="n"/>
    </ns0:row>
    <ns0:row r="16" ht="48" customHeight="1">
      <ns0:c r="A16" s="36" t="n"/>
      <ns0:c r="B16" s="44" t="inlineStr">
        <ns0:is>
          <ns0:t>Date</ns0:t>
        </ns0:is>
      </ns0:c>
      <ns0:c r="C16" s="44" t="inlineStr">
        <ns0:is>
          <ns0:t>Type</ns0:t>
        </ns0:is>
      </ns0:c>
      <ns0:c r="D16" s="45" t="n"/>
      <ns0:c r="E16" s="46" t="inlineStr">
        <ns0:is>
          <ns0:t xml:space="preserve">Input </ns0:t>
        </ns0:is>
      </ns0:c>
      <ns0:c r="F16" s="44" t="inlineStr">
        <ns0:is>
          <ns0:t xml:space="preserve">OK </ns0:t>
        </ns0:is>
      </ns0:c>
      <ns0:c r="G16" s="44" t="inlineStr">
        <ns0:is>
          <ns0:t xml:space="preserve">Sigma </ns0:t>
        </ns0:is>
      </ns0:c>
      <ns0:c r="H16" s="23" t="n"/>
      <ns0:c r="I16" s="23" t="n"/>
      <ns0:c r="J16" s="47" t="n"/>
      <ns0:c r="K16" s="44" t="inlineStr">
        <ns0:is>
          <ns0:t xml:space="preserve">Hearing </ns0:t>
        </ns0:is>
      </ns0:c>
      <ns0:c r="L16" s="47" t="n"/>
      <ns0:c r="M16" s="44" t="inlineStr">
        <ns0:is>
          <ns0:t>Total NG</ns0:t>
        </ns0:is>
      </ns0:c>
      <ns0:c r="N16" s="44" t="inlineStr">
        <ns0:is>
          <ns0:t>Total NG rate</ns0:t>
        </ns0:is>
      </ns0:c>
      <ns0:c r="O16" s="44" t="inlineStr">
        <ns0:is>
          <ns0:t>Recheck Hearing</ns0:t>
        </ns0:is>
      </ns0:c>
      <ns0:c r="P16" s="47" t="n"/>
      <ns0:c r="Q16" s="44" t="inlineStr">
        <ns0:is>
          <ns0:t>Total NG</ns0:t>
        </ns0:is>
      </ns0:c>
      <ns0:c r="R16" s="44" t="inlineStr">
        <ns0:is>
          <ns0:t>Total NG rate</ns0:t>
        </ns0:is>
      </ns0:c>
      <ns0:c r="S16" s="39" t="n"/>
      <ns0:c r="T16" s="39" t="n"/>
      <ns0:c r="U16" s="42" t="n"/>
      <ns0:c r="V16" s="43" t="n"/>
      <ns0:c r="W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  <ns0:c r="BI16" s="28" t="n"/>
      <ns0:c r="BJ16" s="28" t="n"/>
      <ns0:c r="BK16" s="28" t="n"/>
      <ns0:c r="BL16" s="28" t="n"/>
      <ns0:c r="BM16" s="28" t="n"/>
    </ns0:row>
    <ns0:row r="17" ht="48" customHeight="1">
      <ns0:c r="A17" s="36" t="n"/>
      <ns0:c r="B17" s="48" t="n"/>
      <ns0:c r="C17" s="18" t="n"/>
      <ns0:c r="D17" s="17" t="n"/>
      <ns0:c r="E17" s="48" t="n"/>
      <ns0:c r="F17" s="48" t="n"/>
      <ns0:c r="G17" s="44" t="inlineStr">
        <ns0:is>
          <ns0:t xml:space="preserve">SPL </ns0:t>
        </ns0:is>
      </ns0:c>
      <ns0:c r="H17" s="44" t="inlineStr">
        <ns0:is>
          <ns0:t xml:space="preserve">THD </ns0:t>
        </ns0:is>
      </ns0:c>
      <ns0:c r="I17" s="44" t="inlineStr">
        <ns0:is>
          <ns0:t xml:space="preserve">SPL+THD </ns0:t>
        </ns0:is>
      </ns0:c>
      <ns0:c r="J17" s="44" t="inlineStr">
        <ns0:is>
          <ns0:t>SPL+THD+F0</ns0:t>
        </ns0:is>
      </ns0:c>
      <ns0:c r="K17" s="44" t="inlineStr">
        <ns0:is>
          <ns0:t xml:space="preserve">Noise </ns0:t>
        </ns0:is>
      </ns0:c>
      <ns0:c r="L17" s="44" t="inlineStr">
        <ns0:is>
          <ns0:t xml:space="preserve">Touch </ns0:t>
        </ns0:is>
      </ns0:c>
      <ns0:c r="M17" s="48" t="n"/>
      <ns0:c r="N17" s="48" t="n"/>
      <ns0:c r="O17" s="44" t="inlineStr">
        <ns0:is>
          <ns0:t xml:space="preserve">Noise </ns0:t>
        </ns0:is>
      </ns0:c>
      <ns0:c r="P17" s="44" t="inlineStr">
        <ns0:is>
          <ns0:t xml:space="preserve">Touch </ns0:t>
        </ns0:is>
      </ns0:c>
      <ns0:c r="Q17" s="48" t="n"/>
      <ns0:c r="R17" s="48" t="n"/>
      <ns0:c r="S17" s="39" t="n"/>
      <ns0:c r="T17" s="39" t="n"/>
      <ns0:c r="U17" s="42" t="n"/>
      <ns0:c r="V17" s="43" t="n"/>
      <ns0:c r="W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  <ns0:c r="BI17" s="28" t="n"/>
      <ns0:c r="BJ17" s="28" t="n"/>
      <ns0:c r="BK17" s="28" t="n"/>
      <ns0:c r="BL17" s="28" t="n"/>
      <ns0:c r="BM17" s="28" t="n"/>
    </ns0:row>
    <ns0:row r="18">
      <ns0:c r="A18" s="49" t="n"/>
      <ns0:c r="B18" s="50" t="n">
        <ns0:v>45486</ns0:v>
      </ns0:c>
      <ns0:c r="C18" s="68" t="inlineStr">
        <ns0:is>
          <ns0:t>Drying Frame + VP 1st</ns0:t>
        </ns0:is>
      </ns0:c>
      <ns0:c r="D18" s="69" t="inlineStr">
        <ns0:is>
          <ns0:t xml:space="preserve">Temperature 50 </ns0:t>
        </ns0:is>
      </ns0:c>
      <ns0:c r="E18" s="70" t="n">
        <ns0:v>366</ns0:v>
      </ns0:c>
      <ns0:c r="F18" s="71" t="n">
        <ns0:v>319</ns0:v>
      </ns0:c>
      <ns0:c r="G18" s="71" t="n">
        <ns0:v>1</ns0:v>
      </ns0:c>
      <ns0:c r="H18" s="71" t="n">
        <ns0:v>1</ns0:v>
      </ns0:c>
      <ns0:c r="I18" s="71" t="n">
        <ns0:v>0</ns0:v>
      </ns0:c>
      <ns0:c r="J18" s="71" t="n">
        <ns0:v>0</ns0:v>
      </ns0:c>
      <ns0:c r="K18" s="71" t="n">
        <ns0:v>11</ns0:v>
      </ns0:c>
      <ns0:c r="L18" s="71" t="n">
        <ns0:v>34</ns0:v>
      </ns0:c>
      <ns0:c r="M18" s="71" t="n">
        <ns0:v>47</ns0:v>
      </ns0:c>
      <ns0:c r="N18" s="72" t="n">
        <ns0:v>0.1284153005464481</ns0:v>
      </ns0:c>
      <ns0:c r="O18" s="71" t="n">
        <ns0:v>4</ns0:v>
      </ns0:c>
      <ns0:c r="P18" s="71" t="n">
        <ns0:v>7</ns0:v>
      </ns0:c>
      <ns0:c r="Q18" s="71" t="n">
        <ns0:v>13</ns0:v>
      </ns0:c>
      <ns0:c r="R18" s="72" t="n">
        <ns0:v>0.03551912568306011</ns0:v>
      </ns0:c>
      <ns0:c r="S18" s="56" t="n"/>
      <ns0:c r="T18" s="56" t="n"/>
      <ns0:c r="U18" s="56" t="n"/>
      <ns0:c r="V18" s="57" t="n"/>
    </ns0:row>
    <ns0:row r="19">
      <ns0:c r="A19" s="49" t="n"/>
      <ns0:c r="B19" s="58" t="n"/>
      <ns0:c r="C19" s="58" t="n"/>
      <ns0:c r="D19" s="48" t="n"/>
      <ns0:c r="E19" s="48" t="n"/>
      <ns0:c r="F19" s="48" t="n"/>
      <ns0:c r="G19" s="73" t="n">
        <ns0:v>0.02127659574468085</ns0:v>
      </ns0:c>
      <ns0:c r="H19" s="73" t="n">
        <ns0:v>0.02127659574468085</ns0:v>
      </ns0:c>
      <ns0:c r="I19" s="73" t="n">
        <ns0:v>0</ns0:v>
      </ns0:c>
      <ns0:c r="J19" s="73" t="n">
        <ns0:v>0</ns0:v>
      </ns0:c>
      <ns0:c r="K19" s="73" t="n">
        <ns0:v>0.2340425531914894</ns0:v>
      </ns0:c>
      <ns0:c r="L19" s="73" t="n">
        <ns0:v>0.723404255319149</ns0:v>
      </ns0:c>
      <ns0:c r="M19" s="48" t="n"/>
      <ns0:c r="N19" s="48" t="n"/>
      <ns0:c r="O19" s="73" t="n">
        <ns0:v>0.3076923076923077</ns0:v>
      </ns0:c>
      <ns0:c r="P19" s="73" t="n">
        <ns0:v>0.5384615384615384</ns0:v>
      </ns0:c>
      <ns0:c r="Q19" s="48" t="n"/>
      <ns0:c r="R19" s="48" t="n"/>
      <ns0:c r="S19" s="56" t="n"/>
      <ns0:c r="T19" s="56" t="n"/>
      <ns0:c r="U19" s="56" t="n"/>
      <ns0:c r="V19" s="57" t="n"/>
    </ns0:row>
    <ns0:row r="20">
      <ns0:c r="A20" s="49" t="n"/>
      <ns0:c r="B20" s="58" t="n"/>
      <ns0:c r="C20" s="52" t="inlineStr">
        <ns0:is>
          <ns0:t>Normal (  Temperature 75 ⁰C ~ 85⁰C )</ns0:t>
        </ns0:is>
      </ns0:c>
      <ns0:c r="D20" s="45" t="n"/>
      <ns0:c r="E20" s="53" t="n">
        <ns0:v>796</ns0:v>
      </ns0:c>
      <ns0:c r="F20" s="54" t="n">
        <ns0:v>626</ns0:v>
      </ns0:c>
      <ns0:c r="G20" s="54" t="n">
        <ns0:v>0</ns0:v>
      </ns0:c>
      <ns0:c r="H20" s="54" t="n">
        <ns0:v>5</ns0:v>
      </ns0:c>
      <ns0:c r="I20" s="54" t="n">
        <ns0:v>0</ns0:v>
      </ns0:c>
      <ns0:c r="J20" s="54" t="n">
        <ns0:v>0</ns0:v>
      </ns0:c>
      <ns0:c r="K20" s="54" t="n">
        <ns0:v>3</ns0:v>
      </ns0:c>
      <ns0:c r="L20" s="54" t="n">
        <ns0:v>162</ns0:v>
      </ns0:c>
      <ns0:c r="M20" s="54" t="n">
        <ns0:v>170</ns0:v>
      </ns0:c>
      <ns0:c r="N20" s="55" t="n">
        <ns0:v>0.2135678391959799</ns0:v>
      </ns0:c>
      <ns0:c r="O20" s="54" t="n">
        <ns0:v>7</ns0:v>
      </ns0:c>
      <ns0:c r="P20" s="54" t="n">
        <ns0:v>79</ns0:v>
      </ns0:c>
      <ns0:c r="Q20" s="54" t="n">
        <ns0:v>91</ns0:v>
      </ns0:c>
      <ns0:c r="R20" s="55" t="n">
        <ns0:v>0.114321608040201</ns0:v>
      </ns0:c>
      <ns0:c r="S20" s="56" t="n"/>
      <ns0:c r="T20" s="56" t="n"/>
      <ns0:c r="U20" s="56" t="n"/>
      <ns0:c r="V20" s="57" t="n"/>
    </ns0:row>
    <ns0:row r="21">
      <ns0:c r="A21" s="49" t="n"/>
      <ns0:c r="B21" s="48" t="n"/>
      <ns0:c r="C21" s="18" t="n"/>
      <ns0:c r="D21" s="17" t="n"/>
      <ns0:c r="E21" s="48" t="n"/>
      <ns0:c r="F21" s="48" t="n"/>
      <ns0:c r="G21" s="59" t="n">
        <ns0:v>0</ns0:v>
      </ns0:c>
      <ns0:c r="H21" s="59" t="n">
        <ns0:v>0.02941176470588235</ns0:v>
      </ns0:c>
      <ns0:c r="I21" s="59" t="n">
        <ns0:v>0</ns0:v>
      </ns0:c>
      <ns0:c r="J21" s="59" t="n">
        <ns0:v>0</ns0:v>
      </ns0:c>
      <ns0:c r="K21" s="59" t="n">
        <ns0:v>0.01764705882352941</ns0:v>
      </ns0:c>
      <ns0:c r="L21" s="59" t="n">
        <ns0:v>0.9529411764705882</ns0:v>
      </ns0:c>
      <ns0:c r="M21" s="48" t="n"/>
      <ns0:c r="N21" s="48" t="n"/>
      <ns0:c r="O21" s="59" t="n">
        <ns0:v>0.07692307692307693</ns0:v>
      </ns0:c>
      <ns0:c r="P21" s="59" t="n">
        <ns0:v>0.8681318681318682</ns0:v>
      </ns0:c>
      <ns0:c r="Q21" s="48" t="n"/>
      <ns0:c r="R21" s="48" t="n"/>
      <ns0:c r="S21" s="56" t="n"/>
      <ns0:c r="T21" s="56" t="n"/>
      <ns0:c r="U21" s="56" t="n"/>
      <ns0:c r="V21" s="57" t="n"/>
    </ns0:row>
    <ns0:row r="22">
      <ns0:c r="A22" s="49" t="n"/>
      <ns0:c r="B22" s="50" t="n">
        <ns0:v>45488</ns0:v>
      </ns0:c>
      <ns0:c r="C22" s="68" t="inlineStr">
        <ns0:is>
          <ns0:t>Drying Frame + VP 2nd</ns0:t>
        </ns0:is>
      </ns0:c>
      <ns0:c r="D22" s="69" t="inlineStr">
        <ns0:is>
          <ns0:t xml:space="preserve">Temperature 50 </ns0:t>
        </ns0:is>
      </ns0:c>
      <ns0:c r="E22" s="70" t="n">
        <ns0:v>767</ns0:v>
      </ns0:c>
      <ns0:c r="F22" s="71" t="n">
        <ns0:v>461</ns0:v>
      </ns0:c>
      <ns0:c r="G22" s="71" t="n">
        <ns0:v>0</ns0:v>
      </ns0:c>
      <ns0:c r="H22" s="71" t="n">
        <ns0:v>6</ns0:v>
      </ns0:c>
      <ns0:c r="I22" s="71" t="n">
        <ns0:v>0</ns0:v>
      </ns0:c>
      <ns0:c r="J22" s="71" t="n">
        <ns0:v>0</ns0:v>
      </ns0:c>
      <ns0:c r="K22" s="71" t="n">
        <ns0:v>17</ns0:v>
      </ns0:c>
      <ns0:c r="L22" s="71" t="n">
        <ns0:v>283</ns0:v>
      </ns0:c>
      <ns0:c r="M22" s="71" t="n">
        <ns0:v>306</ns0:v>
      </ns0:c>
      <ns0:c r="N22" s="72" t="n">
        <ns0:v>0.3989569752281616</ns0:v>
      </ns0:c>
      <ns0:c r="O22" s="71" t="n">
        <ns0:v>15</ns0:v>
      </ns0:c>
      <ns0:c r="P22" s="71" t="n">
        <ns0:v>150</ns0:v>
      </ns0:c>
      <ns0:c r="Q22" s="71" t="n">
        <ns0:v>171</ns0:v>
      </ns0:c>
      <ns0:c r="R22" s="72" t="n">
        <ns0:v>0.2229465449804433</ns0:v>
      </ns0:c>
      <ns0:c r="S22" s="56" t="n"/>
      <ns0:c r="T22" s="56" t="n"/>
      <ns0:c r="U22" s="56" t="n"/>
      <ns0:c r="V22" s="57" t="n"/>
    </ns0:row>
    <ns0:row r="23">
      <ns0:c r="A23" s="49" t="n"/>
      <ns0:c r="B23" s="58" t="n"/>
      <ns0:c r="C23" s="58" t="n"/>
      <ns0:c r="D23" s="48" t="n"/>
      <ns0:c r="E23" s="48" t="n"/>
      <ns0:c r="F23" s="48" t="n"/>
      <ns0:c r="G23" s="73" t="n">
        <ns0:v>0</ns0:v>
      </ns0:c>
      <ns0:c r="H23" s="73" t="n">
        <ns0:v>0.0196078431372549</ns0:v>
      </ns0:c>
      <ns0:c r="I23" s="73" t="n">
        <ns0:v>0</ns0:v>
      </ns0:c>
      <ns0:c r="J23" s="73" t="n">
        <ns0:v>0</ns0:v>
      </ns0:c>
      <ns0:c r="K23" s="73" t="n">
        <ns0:v>0.05555555555555555</ns0:v>
      </ns0:c>
      <ns0:c r="L23" s="73" t="n">
        <ns0:v>0.9248366013071896</ns0:v>
      </ns0:c>
      <ns0:c r="M23" s="48" t="n"/>
      <ns0:c r="N23" s="48" t="n"/>
      <ns0:c r="O23" s="73" t="n">
        <ns0:v>0.08771929824561403</ns0:v>
      </ns0:c>
      <ns0:c r="P23" s="73" t="n">
        <ns0:v>0.8771929824561403</ns0:v>
      </ns0:c>
      <ns0:c r="Q23" s="48" t="n"/>
      <ns0:c r="R23" s="48" t="n"/>
      <ns0:c r="S23" s="56" t="n"/>
      <ns0:c r="T23" s="56" t="n"/>
      <ns0:c r="U23" s="56" t="n"/>
      <ns0:c r="V23" s="57" t="n"/>
    </ns0:row>
    <ns0:row r="24">
      <ns0:c r="A24" s="49" t="n"/>
      <ns0:c r="B24" s="58" t="n"/>
      <ns0:c r="C24" s="52" t="inlineStr">
        <ns0:is>
          <ns0:t>Normal (  Temperature 75 ⁰C ~ 85⁰C )</ns0:t>
        </ns0:is>
      </ns0:c>
      <ns0:c r="D24" s="45" t="n"/>
      <ns0:c r="E24" s="53" t="n">
        <ns0:v>487</ns0:v>
      </ns0:c>
      <ns0:c r="F24" s="54" t="n">
        <ns0:v>384</ns0:v>
      </ns0:c>
      <ns0:c r="G24" s="54" t="n">
        <ns0:v>0</ns0:v>
      </ns0:c>
      <ns0:c r="H24" s="54" t="n">
        <ns0:v>4</ns0:v>
      </ns0:c>
      <ns0:c r="I24" s="54" t="n">
        <ns0:v>0</ns0:v>
      </ns0:c>
      <ns0:c r="J24" s="54" t="n">
        <ns0:v>0</ns0:v>
      </ns0:c>
      <ns0:c r="K24" s="54" t="n">
        <ns0:v>13</ns0:v>
      </ns0:c>
      <ns0:c r="L24" s="54" t="n">
        <ns0:v>86</ns0:v>
      </ns0:c>
      <ns0:c r="M24" s="54" t="n">
        <ns0:v>103</ns0:v>
      </ns0:c>
      <ns0:c r="N24" s="55" t="n">
        <ns0:v>0.2114989733059548</ns0:v>
      </ns0:c>
      <ns0:c r="O24" s="54" t="n">
        <ns0:v>9</ns0:v>
      </ns0:c>
      <ns0:c r="P24" s="54" t="n">
        <ns0:v>37</ns0:v>
      </ns0:c>
      <ns0:c r="Q24" s="54" t="n">
        <ns0:v>50</ns0:v>
      </ns0:c>
      <ns0:c r="R24" s="55" t="n">
        <ns0:v>0.1026694045174538</ns0:v>
      </ns0:c>
      <ns0:c r="S24" s="56" t="n"/>
      <ns0:c r="T24" s="56" t="n"/>
      <ns0:c r="U24" s="56" t="n"/>
      <ns0:c r="V24" s="57" t="n"/>
    </ns0:row>
    <ns0:row r="25">
      <ns0:c r="A25" s="49" t="n"/>
      <ns0:c r="B25" s="58" t="n"/>
      <ns0:c r="C25" s="18" t="n"/>
      <ns0:c r="D25" s="17" t="n"/>
      <ns0:c r="E25" s="48" t="n"/>
      <ns0:c r="F25" s="48" t="n"/>
      <ns0:c r="G25" s="59" t="n">
        <ns0:v>0</ns0:v>
      </ns0:c>
      <ns0:c r="H25" s="59" t="n">
        <ns0:v>0.03883495145631068</ns0:v>
      </ns0:c>
      <ns0:c r="I25" s="59" t="n">
        <ns0:v>0</ns0:v>
      </ns0:c>
      <ns0:c r="J25" s="59" t="n">
        <ns0:v>0</ns0:v>
      </ns0:c>
      <ns0:c r="K25" s="59" t="n">
        <ns0:v>0.1262135922330097</ns0:v>
      </ns0:c>
      <ns0:c r="L25" s="59" t="n">
        <ns0:v>0.8349514563106796</ns0:v>
      </ns0:c>
      <ns0:c r="M25" s="48" t="n"/>
      <ns0:c r="N25" s="48" t="n"/>
      <ns0:c r="O25" s="59" t="n">
        <ns0:v>0.18</ns0:v>
      </ns0:c>
      <ns0:c r="P25" s="59" t="n">
        <ns0:v>0.74</ns0:v>
      </ns0:c>
      <ns0:c r="Q25" s="48" t="n"/>
      <ns0:c r="R25" s="48" t="n"/>
      <ns0:c r="S25" s="56" t="n"/>
      <ns0:c r="T25" s="56" t="n"/>
      <ns0:c r="U25" s="56" t="n"/>
      <ns0:c r="V25" s="57" t="n"/>
    </ns0:row>
    <ns0:row r="26">
      <ns0:c r="A26" s="49" t="n"/>
      <ns0:c r="B26" s="58" t="n"/>
      <ns0:c r="C26" s="60" t="inlineStr">
        <ns0:is>
          <ns0:t xml:space="preserve">Total Test </ns0:t>
        </ns0:is>
      </ns0:c>
      <ns0:c r="D26" s="45" t="n"/>
      <ns0:c r="E26" s="61" t="n">
        <ns0:v>1133</ns0:v>
      </ns0:c>
      <ns0:c r="F26" s="61" t="n">
        <ns0:v>780</ns0:v>
      </ns0:c>
      <ns0:c r="G26" s="62" t="n">
        <ns0:v>1</ns0:v>
      </ns0:c>
      <ns0:c r="H26" s="62" t="n">
        <ns0:v>7</ns0:v>
      </ns0:c>
      <ns0:c r="I26" s="62" t="n">
        <ns0:v>0</ns0:v>
      </ns0:c>
      <ns0:c r="J26" s="62" t="n">
        <ns0:v>0</ns0:v>
      </ns0:c>
      <ns0:c r="K26" s="62" t="n">
        <ns0:v>28</ns0:v>
      </ns0:c>
      <ns0:c r="L26" s="62" t="n">
        <ns0:v>317</ns0:v>
      </ns0:c>
      <ns0:c r="M26" s="62" t="n">
        <ns0:v>353</ns0:v>
      </ns0:c>
      <ns0:c r="N26" s="63" t="n">
        <ns0:v>0.3115622241835834</ns0:v>
      </ns0:c>
      <ns0:c r="O26" s="62" t="n">
        <ns0:v>19</ns0:v>
      </ns0:c>
      <ns0:c r="P26" s="62" t="n">
        <ns0:v>157</ns0:v>
      </ns0:c>
      <ns0:c r="Q26" s="62" t="n">
        <ns0:v>184</ns0:v>
      </ns0:c>
      <ns0:c r="R26" s="63" t="n">
        <ns0:v>0.1624007060900265</ns0:v>
      </ns0:c>
      <ns0:c r="S26" s="56" t="n"/>
      <ns0:c r="T26" s="56" t="n"/>
      <ns0:c r="U26" s="56" t="n"/>
      <ns0:c r="V26" s="57" t="n"/>
    </ns0:row>
    <ns0:row r="27">
      <ns0:c r="A27" s="49" t="n"/>
      <ns0:c r="B27" s="58" t="n"/>
      <ns0:c r="C27" s="18" t="n"/>
      <ns0:c r="D27" s="17" t="n"/>
      <ns0:c r="E27" s="48" t="n"/>
      <ns0:c r="F27" s="48" t="n"/>
      <ns0:c r="G27" s="64" t="n">
        <ns0:v>0.0028328611898017</ns0:v>
      </ns0:c>
      <ns0:c r="H27" s="64" t="n">
        <ns0:v>0.0198300283286119</ns0:v>
      </ns0:c>
      <ns0:c r="I27" s="64" t="n">
        <ns0:v>0</ns0:v>
      </ns0:c>
      <ns0:c r="J27" s="64" t="n">
        <ns0:v>0</ns0:v>
      </ns0:c>
      <ns0:c r="K27" s="64" t="n">
        <ns0:v>0.07932011331444759</ns0:v>
      </ns0:c>
      <ns0:c r="L27" s="64" t="n">
        <ns0:v>0.8980169971671388</ns0:v>
      </ns0:c>
      <ns0:c r="M27" s="48" t="n"/>
      <ns0:c r="N27" s="48" t="n"/>
      <ns0:c r="O27" s="64" t="n">
        <ns0:v>0.1032608695652174</ns0:v>
      </ns0:c>
      <ns0:c r="P27" s="64" t="n">
        <ns0:v>0.8532608695652174</ns0:v>
      </ns0:c>
      <ns0:c r="Q27" s="48" t="n"/>
      <ns0:c r="R27" s="48" t="n"/>
      <ns0:c r="S27" s="56" t="n"/>
      <ns0:c r="T27" s="56" t="n"/>
      <ns0:c r="U27" s="56" t="n"/>
      <ns0:c r="V27" s="57" t="n"/>
    </ns0:row>
    <ns0:row r="28">
      <ns0:c r="A28" s="49" t="n"/>
      <ns0:c r="B28" s="58" t="n"/>
      <ns0:c r="C28" s="60" t="inlineStr">
        <ns0:is>
          <ns0:t xml:space="preserve">Total Normal </ns0:t>
        </ns0:is>
      </ns0:c>
      <ns0:c r="D28" s="45" t="n"/>
      <ns0:c r="E28" s="61" t="n">
        <ns0:v>1283</ns0:v>
      </ns0:c>
      <ns0:c r="F28" s="61" t="n">
        <ns0:v>384</ns0:v>
      </ns0:c>
      <ns0:c r="G28" s="62" t="n">
        <ns0:v>0</ns0:v>
      </ns0:c>
      <ns0:c r="H28" s="62" t="n">
        <ns0:v>9</ns0:v>
      </ns0:c>
      <ns0:c r="I28" s="62" t="n">
        <ns0:v>0</ns0:v>
      </ns0:c>
      <ns0:c r="J28" s="62" t="n">
        <ns0:v>0</ns0:v>
      </ns0:c>
      <ns0:c r="K28" s="62" t="n">
        <ns0:v>16</ns0:v>
      </ns0:c>
      <ns0:c r="L28" s="62" t="n">
        <ns0:v>248</ns0:v>
      </ns0:c>
      <ns0:c r="M28" s="62" t="n">
        <ns0:v>273</ns0:v>
      </ns0:c>
      <ns0:c r="N28" s="63" t="n">
        <ns0:v>0.2127825409197194</ns0:v>
      </ns0:c>
      <ns0:c r="O28" s="62" t="n">
        <ns0:v>16</ns0:v>
      </ns0:c>
      <ns0:c r="P28" s="62" t="n">
        <ns0:v>116</ns0:v>
      </ns0:c>
      <ns0:c r="Q28" s="62" t="n">
        <ns0:v>141</ns0:v>
      </ns0:c>
      <ns0:c r="R28" s="63" t="n">
        <ns0:v>0.1098986749805144</ns0:v>
      </ns0:c>
      <ns0:c r="S28" s="56" t="n"/>
      <ns0:c r="T28" s="56" t="n"/>
      <ns0:c r="U28" s="56" t="n"/>
      <ns0:c r="V28" s="57" t="n"/>
    </ns0:row>
    <ns0:row r="29">
      <ns0:c r="A29" s="49" t="n"/>
      <ns0:c r="B29" s="48" t="n"/>
      <ns0:c r="C29" s="18" t="n"/>
      <ns0:c r="D29" s="17" t="n"/>
      <ns0:c r="E29" s="48" t="n"/>
      <ns0:c r="F29" s="48" t="n"/>
      <ns0:c r="G29" s="64" t="n">
        <ns0:v>0</ns0:v>
      </ns0:c>
      <ns0:c r="H29" s="64" t="n">
        <ns0:v>0.03296703296703297</ns0:v>
      </ns0:c>
      <ns0:c r="I29" s="64" t="n">
        <ns0:v>0</ns0:v>
      </ns0:c>
      <ns0:c r="J29" s="64" t="n">
        <ns0:v>0</ns0:v>
      </ns0:c>
      <ns0:c r="K29" s="64" t="n">
        <ns0:v>0.05860805860805861</ns0:v>
      </ns0:c>
      <ns0:c r="L29" s="64" t="n">
        <ns0:v>0.9084249084249084</ns0:v>
      </ns0:c>
      <ns0:c r="M29" s="48" t="n"/>
      <ns0:c r="N29" s="48" t="n"/>
      <ns0:c r="O29" s="64" t="n">
        <ns0:v>0.1134751773049645</ns0:v>
      </ns0:c>
      <ns0:c r="P29" s="64" t="n">
        <ns0:v>0.8226950354609929</ns0:v>
      </ns0:c>
      <ns0:c r="Q29" s="48" t="n"/>
      <ns0:c r="R29" s="48" t="n"/>
      <ns0:c r="S29" s="56" t="n"/>
      <ns0:c r="T29" s="56" t="n"/>
      <ns0:c r="U29" s="56" t="n"/>
      <ns0:c r="V29" s="57" t="n"/>
    </ns0:row>
    <ns0:row r="30">
      <ns0:c r="A30" s="49" t="n"/>
      <ns0:c r="B30" s="56" t="n"/>
      <ns0:c r="C30" s="56" t="n"/>
      <ns0:c r="D30" s="56" t="n"/>
      <ns0:c r="E30" s="56" t="n"/>
      <ns0:c r="F30" s="56" t="n"/>
      <ns0:c r="G30" s="56" t="n"/>
      <ns0:c r="H30" s="56" t="n"/>
      <ns0:c r="I30" s="56" t="n"/>
      <ns0:c r="J30" s="56" t="n"/>
      <ns0:c r="K30" s="56" t="n"/>
      <ns0:c r="L30" s="56" t="n"/>
      <ns0:c r="M30" s="56" t="n"/>
      <ns0:c r="N30" s="56" t="n"/>
      <ns0:c r="O30" s="56" t="n"/>
      <ns0:c r="P30" s="56" t="n"/>
      <ns0:c r="Q30" s="56" t="n"/>
      <ns0:c r="R30" s="56" t="n"/>
      <ns0:c r="S30" s="56" t="n"/>
      <ns0:c r="T30" s="56" t="n"/>
      <ns0:c r="U30" s="56" t="n"/>
      <ns0:c r="V30" s="57" t="n"/>
    </ns0:row>
    <ns0:row r="31">
      <ns0:c r="A31" s="49" t="n"/>
      <ns0:c r="B31" s="56" t="n"/>
      <ns0:c r="C31" s="56" t="n"/>
      <ns0:c r="D31" s="56" t="n"/>
      <ns0:c r="E31" s="56" t="n"/>
      <ns0:c r="F31" s="56" t="n"/>
      <ns0:c r="G31" s="56" t="n"/>
      <ns0:c r="H31" s="56" t="n"/>
      <ns0:c r="I31" s="56" t="n"/>
      <ns0:c r="J31" s="56" t="n"/>
      <ns0:c r="K31" s="56" t="n"/>
      <ns0:c r="L31" s="56" t="n"/>
      <ns0:c r="M31" s="56" t="n"/>
      <ns0:c r="N31" s="56" t="n"/>
      <ns0:c r="O31" s="56" t="n"/>
      <ns0:c r="P31" s="56" t="n"/>
      <ns0:c r="Q31" s="56" t="n"/>
      <ns0:c r="R31" s="56" t="n"/>
      <ns0:c r="S31" s="56" t="n"/>
      <ns0:c r="T31" s="56" t="n"/>
      <ns0:c r="U31" s="56" t="n"/>
      <ns0:c r="V31" s="57" t="n"/>
    </ns0:row>
    <ns0:row r="32">
      <ns0:c r="A32" s="49" t="n"/>
      <ns0:c r="B32" s="56" t="n"/>
      <ns0:c r="C32" s="56" t="n"/>
      <ns0:c r="D32" s="56" t="n"/>
      <ns0:c r="E32" s="56" t="n"/>
      <ns0:c r="F32" s="56" t="n"/>
      <ns0:c r="G32" s="56" t="n"/>
      <ns0:c r="H32" s="56" t="n"/>
      <ns0:c r="I32" s="56" t="n"/>
      <ns0:c r="J32" s="56" t="n"/>
      <ns0:c r="K32" s="56" t="n"/>
      <ns0:c r="L32" s="56" t="n"/>
      <ns0:c r="M32" s="56" t="n"/>
      <ns0:c r="N32" s="56" t="n"/>
      <ns0:c r="O32" s="56" t="n"/>
      <ns0:c r="P32" s="56" t="n"/>
      <ns0:c r="Q32" s="56" t="n"/>
      <ns0:c r="R32" s="56" t="n"/>
      <ns0:c r="S32" s="56" t="n"/>
      <ns0:c r="T32" s="56" t="n"/>
      <ns0:c r="U32" s="56" t="n"/>
      <ns0:c r="V32" s="57" t="n"/>
    </ns0:row>
    <ns0:row r="33">
      <ns0:c r="A33" s="49" t="n"/>
      <ns0:c r="B33" s="56" t="n"/>
      <ns0:c r="C33" s="56" t="n"/>
      <ns0:c r="D33" s="56" t="n"/>
      <ns0:c r="E33" s="56" t="n"/>
      <ns0:c r="F33" s="56" t="n"/>
      <ns0:c r="G33" s="56" t="n"/>
      <ns0:c r="H33" s="56" t="n"/>
      <ns0:c r="I33" s="56" t="n"/>
      <ns0:c r="J33" s="56" t="n"/>
      <ns0:c r="K33" s="56" t="n"/>
      <ns0:c r="L33" s="56" t="n"/>
      <ns0:c r="M33" s="56" t="n"/>
      <ns0:c r="N33" s="56" t="n"/>
      <ns0:c r="O33" s="56" t="n"/>
      <ns0:c r="P33" s="56" t="n"/>
      <ns0:c r="Q33" s="56" t="n"/>
      <ns0:c r="R33" s="56" t="n"/>
      <ns0:c r="S33" s="56" t="n"/>
      <ns0:c r="T33" s="56" t="n"/>
      <ns0:c r="U33" s="56" t="n"/>
      <ns0:c r="V33" s="57" t="n"/>
    </ns0:row>
    <ns0:row r="34">
      <ns0:c r="A34" s="49" t="n"/>
      <ns0:c r="B34" s="56" t="n"/>
      <ns0:c r="C34" s="56" t="n"/>
      <ns0:c r="D34" s="56" t="n"/>
      <ns0:c r="E34" s="56" t="n"/>
      <ns0:c r="F34" s="56" t="n"/>
      <ns0:c r="G34" s="56" t="n"/>
      <ns0:c r="H34" s="56" t="n"/>
      <ns0:c r="I34" s="56" t="n"/>
      <ns0:c r="J34" s="56" t="n"/>
      <ns0:c r="K34" s="56" t="n"/>
      <ns0:c r="L34" s="56" t="n"/>
      <ns0:c r="M34" s="56" t="n"/>
      <ns0:c r="N34" s="56" t="n"/>
      <ns0:c r="O34" s="56" t="n"/>
      <ns0:c r="P34" s="56" t="n"/>
      <ns0:c r="Q34" s="56" t="n"/>
      <ns0:c r="R34" s="56" t="n"/>
      <ns0:c r="S34" s="56" t="n"/>
      <ns0:c r="T34" s="56" t="n"/>
      <ns0:c r="U34" s="56" t="n"/>
      <ns0:c r="V34" s="57" t="n"/>
    </ns0:row>
    <ns0:row r="35">
      <ns0:c r="A35" s="49" t="n"/>
      <ns0:c r="B35" s="56" t="n"/>
      <ns0:c r="C35" s="56" t="n"/>
      <ns0:c r="D35" s="56" t="n"/>
      <ns0:c r="E35" s="56" t="n"/>
      <ns0:c r="F35" s="56" t="n"/>
      <ns0:c r="G35" s="56" t="n"/>
      <ns0:c r="H35" s="56" t="n"/>
      <ns0:c r="I35" s="56" t="n"/>
      <ns0:c r="J35" s="56" t="n"/>
      <ns0:c r="K35" s="56" t="n"/>
      <ns0:c r="L35" s="56" t="n"/>
      <ns0:c r="M35" s="56" t="n"/>
      <ns0:c r="N35" s="56" t="n"/>
      <ns0:c r="O35" s="56" t="n"/>
      <ns0:c r="P35" s="56" t="n"/>
      <ns0:c r="Q35" s="56" t="n"/>
      <ns0:c r="R35" s="56" t="n"/>
      <ns0:c r="S35" s="56" t="n"/>
      <ns0:c r="T35" s="56" t="n"/>
      <ns0:c r="U35" s="56" t="n"/>
      <ns0:c r="V35" s="57" t="n"/>
    </ns0:row>
    <ns0:row r="36">
      <ns0:c r="A36" s="49" t="n"/>
      <ns0:c r="B36" s="56" t="n"/>
      <ns0:c r="C36" s="56" t="n"/>
      <ns0:c r="D36" s="56" t="n"/>
      <ns0:c r="E36" s="56" t="n"/>
      <ns0:c r="F36" s="56" t="n"/>
      <ns0:c r="G36" s="56" t="n"/>
      <ns0:c r="H36" s="56" t="n"/>
      <ns0:c r="I36" s="56" t="n"/>
      <ns0:c r="J36" s="56" t="n"/>
      <ns0:c r="K36" s="56" t="n"/>
      <ns0:c r="L36" s="56" t="n"/>
      <ns0:c r="M36" s="56" t="n"/>
      <ns0:c r="N36" s="56" t="n"/>
      <ns0:c r="O36" s="56" t="n"/>
      <ns0:c r="P36" s="56" t="n"/>
      <ns0:c r="Q36" s="56" t="n"/>
      <ns0:c r="R36" s="56" t="n"/>
      <ns0:c r="S36" s="56" t="n"/>
      <ns0:c r="T36" s="56" t="n"/>
      <ns0:c r="U36" s="56" t="n"/>
      <ns0:c r="V36" s="57" t="n"/>
    </ns0:row>
    <ns0:row r="37">
      <ns0:c r="A37" s="49" t="n"/>
      <ns0:c r="B37" s="56" t="n"/>
      <ns0:c r="C37" s="56" t="n"/>
      <ns0:c r="D37" s="56" t="n"/>
      <ns0:c r="E37" s="56" t="n"/>
      <ns0:c r="F37" s="56" t="n"/>
      <ns0:c r="G37" s="56" t="n"/>
      <ns0:c r="H37" s="56" t="n"/>
      <ns0:c r="I37" s="56" t="n"/>
      <ns0:c r="J37" s="56" t="n"/>
      <ns0:c r="K37" s="56" t="n"/>
      <ns0:c r="L37" s="56" t="n"/>
      <ns0:c r="M37" s="56" t="n"/>
      <ns0:c r="N37" s="56" t="n"/>
      <ns0:c r="O37" s="56" t="n"/>
      <ns0:c r="P37" s="56" t="n"/>
      <ns0:c r="Q37" s="56" t="n"/>
      <ns0:c r="R37" s="56" t="n"/>
      <ns0:c r="S37" s="56" t="n"/>
      <ns0:c r="T37" s="56" t="n"/>
      <ns0:c r="U37" s="56" t="n"/>
      <ns0:c r="V37" s="57" t="n"/>
    </ns0:row>
    <ns0:row r="38">
      <ns0:c r="A38" s="49" t="n"/>
      <ns0:c r="B38" s="56" t="n"/>
      <ns0:c r="C38" s="56" t="n"/>
      <ns0:c r="D38" s="56" t="n"/>
      <ns0:c r="E38" s="56" t="n"/>
      <ns0:c r="F38" s="56" t="n"/>
      <ns0:c r="G38" s="56" t="n"/>
      <ns0:c r="H38" s="56" t="n"/>
      <ns0:c r="I38" s="56" t="n"/>
      <ns0:c r="J38" s="56" t="n"/>
      <ns0:c r="K38" s="56" t="n"/>
      <ns0:c r="L38" s="56" t="n"/>
      <ns0:c r="M38" s="56" t="n"/>
      <ns0:c r="N38" s="56" t="n"/>
      <ns0:c r="O38" s="56" t="n"/>
      <ns0:c r="P38" s="56" t="n"/>
      <ns0:c r="Q38" s="56" t="n"/>
      <ns0:c r="R38" s="56" t="n"/>
      <ns0:c r="S38" s="56" t="n"/>
      <ns0:c r="T38" s="56" t="n"/>
      <ns0:c r="U38" s="56" t="n"/>
      <ns0:c r="V38" s="57" t="n"/>
    </ns0:row>
    <ns0:row r="39">
      <ns0:c r="A39" s="49" t="n"/>
      <ns0:c r="B39" s="56" t="n"/>
      <ns0:c r="C39" s="56" t="n"/>
      <ns0:c r="D39" s="56" t="n"/>
      <ns0:c r="E39" s="56" t="n"/>
      <ns0:c r="F39" s="56" t="n"/>
      <ns0:c r="G39" s="56" t="n"/>
      <ns0:c r="H39" s="56" t="n"/>
      <ns0:c r="I39" s="56" t="n"/>
      <ns0:c r="J39" s="56" t="n"/>
      <ns0:c r="K39" s="56" t="n"/>
      <ns0:c r="L39" s="56" t="n"/>
      <ns0:c r="M39" s="56" t="n"/>
      <ns0:c r="N39" s="56" t="n"/>
      <ns0:c r="O39" s="56" t="n"/>
      <ns0:c r="P39" s="56" t="n"/>
      <ns0:c r="Q39" s="56" t="n"/>
      <ns0:c r="R39" s="56" t="n"/>
      <ns0:c r="S39" s="56" t="n"/>
      <ns0:c r="T39" s="56" t="n"/>
      <ns0:c r="U39" s="56" t="n"/>
      <ns0:c r="V39" s="57" t="n"/>
    </ns0:row>
    <ns0:row r="40">
      <ns0:c r="A40" s="49" t="n"/>
      <ns0:c r="B40" s="56" t="n"/>
      <ns0:c r="C40" s="56" t="n"/>
      <ns0:c r="D40" s="56" t="n"/>
      <ns0:c r="E40" s="56" t="n"/>
      <ns0:c r="F40" s="56" t="n"/>
      <ns0:c r="G40" s="56" t="n"/>
      <ns0:c r="H40" s="56" t="n"/>
      <ns0:c r="I40" s="56" t="n"/>
      <ns0:c r="J40" s="56" t="n"/>
      <ns0:c r="K40" s="56" t="n"/>
      <ns0:c r="L40" s="56" t="n"/>
      <ns0:c r="M40" s="56" t="n"/>
      <ns0:c r="N40" s="56" t="n"/>
      <ns0:c r="O40" s="56" t="n"/>
      <ns0:c r="P40" s="56" t="n"/>
      <ns0:c r="Q40" s="56" t="n"/>
      <ns0:c r="R40" s="56" t="n"/>
      <ns0:c r="S40" s="56" t="n"/>
      <ns0:c r="T40" s="56" t="n"/>
      <ns0:c r="U40" s="56" t="n"/>
      <ns0:c r="V40" s="57" t="n"/>
    </ns0:row>
    <ns0:row r="41">
      <ns0:c r="A41" s="49" t="n"/>
      <ns0:c r="B41" s="56" t="n"/>
      <ns0:c r="C41" s="56" t="n"/>
      <ns0:c r="D41" s="56" t="n"/>
      <ns0:c r="E41" s="56" t="n"/>
      <ns0:c r="F41" s="56" t="n"/>
      <ns0:c r="G41" s="56" t="n"/>
      <ns0:c r="H41" s="56" t="n"/>
      <ns0:c r="I41" s="56" t="n"/>
      <ns0:c r="J41" s="56" t="n"/>
      <ns0:c r="K41" s="56" t="n"/>
      <ns0:c r="L41" s="56" t="n"/>
      <ns0:c r="M41" s="56" t="n"/>
      <ns0:c r="N41" s="56" t="n"/>
      <ns0:c r="O41" s="56" t="n"/>
      <ns0:c r="P41" s="56" t="n"/>
      <ns0:c r="Q41" s="56" t="n"/>
      <ns0:c r="R41" s="56" t="n"/>
      <ns0:c r="S41" s="56" t="n"/>
      <ns0:c r="T41" s="56" t="n"/>
      <ns0:c r="U41" s="56" t="n"/>
      <ns0:c r="V41" s="57" t="n"/>
    </ns0:row>
    <ns0:row r="42">
      <ns0:c r="A42" s="49" t="n"/>
      <ns0:c r="B42" s="56" t="n"/>
      <ns0:c r="C42" s="56" t="n"/>
      <ns0:c r="D42" s="56" t="n"/>
      <ns0:c r="E42" s="56" t="n"/>
      <ns0:c r="F42" s="56" t="n"/>
      <ns0:c r="G42" s="56" t="n"/>
      <ns0:c r="H42" s="56" t="n"/>
      <ns0:c r="I42" s="56" t="n"/>
      <ns0:c r="J42" s="56" t="n"/>
      <ns0:c r="K42" s="56" t="n"/>
      <ns0:c r="L42" s="56" t="n"/>
      <ns0:c r="M42" s="56" t="n"/>
      <ns0:c r="N42" s="56" t="n"/>
      <ns0:c r="O42" s="56" t="n"/>
      <ns0:c r="P42" s="56" t="n"/>
      <ns0:c r="Q42" s="56" t="n"/>
      <ns0:c r="R42" s="56" t="n"/>
      <ns0:c r="S42" s="56" t="n"/>
      <ns0:c r="T42" s="56" t="n"/>
      <ns0:c r="U42" s="56" t="n"/>
      <ns0:c r="V42" s="57" t="n"/>
    </ns0:row>
    <ns0:row r="43">
      <ns0:c r="A43" s="49" t="n"/>
      <ns0:c r="B43" s="56" t="n"/>
      <ns0:c r="C43" s="56" t="n"/>
      <ns0:c r="D43" s="56" t="n"/>
      <ns0:c r="E43" s="56" t="n"/>
      <ns0:c r="F43" s="56" t="n"/>
      <ns0:c r="G43" s="56" t="n"/>
      <ns0:c r="H43" s="56" t="n"/>
      <ns0:c r="I43" s="56" t="n"/>
      <ns0:c r="J43" s="56" t="n"/>
      <ns0:c r="K43" s="56" t="n"/>
      <ns0:c r="L43" s="56" t="n"/>
      <ns0:c r="M43" s="56" t="n"/>
      <ns0:c r="N43" s="56" t="n"/>
      <ns0:c r="O43" s="56" t="n"/>
      <ns0:c r="P43" s="56" t="n"/>
      <ns0:c r="Q43" s="56" t="n"/>
      <ns0:c r="R43" s="56" t="n"/>
      <ns0:c r="S43" s="56" t="n"/>
      <ns0:c r="T43" s="56" t="n"/>
      <ns0:c r="U43" s="56" t="n"/>
      <ns0:c r="V43" s="57" t="n"/>
    </ns0:row>
    <ns0:row r="44">
      <ns0:c r="A44" s="49" t="n"/>
      <ns0:c r="B44" s="56" t="n"/>
      <ns0:c r="C44" s="56" t="n"/>
      <ns0:c r="D44" s="56" t="n"/>
      <ns0:c r="E44" s="56" t="n"/>
      <ns0:c r="F44" s="56" t="n"/>
      <ns0:c r="G44" s="56" t="n"/>
      <ns0:c r="H44" s="56" t="n"/>
      <ns0:c r="I44" s="56" t="n"/>
      <ns0:c r="J44" s="56" t="n"/>
      <ns0:c r="K44" s="56" t="n"/>
      <ns0:c r="L44" s="56" t="n"/>
      <ns0:c r="M44" s="56" t="n"/>
      <ns0:c r="N44" s="56" t="n"/>
      <ns0:c r="O44" s="56" t="n"/>
      <ns0:c r="P44" s="56" t="n"/>
      <ns0:c r="Q44" s="56" t="n"/>
      <ns0:c r="R44" s="56" t="n"/>
      <ns0:c r="S44" s="56" t="n"/>
      <ns0:c r="T44" s="56" t="n"/>
      <ns0:c r="U44" s="56" t="n"/>
      <ns0:c r="V44" s="57" t="n"/>
    </ns0:row>
    <ns0:row r="45">
      <ns0:c r="A45" s="49" t="n"/>
      <ns0:c r="B45" s="56" t="n"/>
      <ns0:c r="C45" s="56" t="n"/>
      <ns0:c r="D45" s="56" t="n"/>
      <ns0:c r="E45" s="56" t="n"/>
      <ns0:c r="F45" s="56" t="n"/>
      <ns0:c r="G45" s="56" t="n"/>
      <ns0:c r="H45" s="56" t="n"/>
      <ns0:c r="I45" s="56" t="n"/>
      <ns0:c r="J45" s="56" t="n"/>
      <ns0:c r="K45" s="56" t="n"/>
      <ns0:c r="L45" s="56" t="n"/>
      <ns0:c r="M45" s="56" t="n"/>
      <ns0:c r="N45" s="56" t="n"/>
      <ns0:c r="O45" s="56" t="n"/>
      <ns0:c r="P45" s="56" t="n"/>
      <ns0:c r="Q45" s="56" t="n"/>
      <ns0:c r="R45" s="56" t="n"/>
      <ns0:c r="S45" s="56" t="n"/>
      <ns0:c r="T45" s="56" t="n"/>
      <ns0:c r="U45" s="56" t="n"/>
      <ns0:c r="V45" s="57" t="n"/>
    </ns0:row>
    <ns0:row r="46">
      <ns0:c r="A46" s="49" t="n"/>
      <ns0:c r="B46" s="56" t="n"/>
      <ns0:c r="C46" s="56" t="n"/>
      <ns0:c r="D46" s="56" t="n"/>
      <ns0:c r="E46" s="56" t="n"/>
      <ns0:c r="F46" s="56" t="n"/>
      <ns0:c r="G46" s="56" t="n"/>
      <ns0:c r="H46" s="56" t="n"/>
      <ns0:c r="I46" s="56" t="n"/>
      <ns0:c r="J46" s="56" t="n"/>
      <ns0:c r="K46" s="56" t="n"/>
      <ns0:c r="L46" s="56" t="n"/>
      <ns0:c r="M46" s="56" t="n"/>
      <ns0:c r="N46" s="56" t="n"/>
      <ns0:c r="O46" s="56" t="n"/>
      <ns0:c r="P46" s="56" t="n"/>
      <ns0:c r="Q46" s="56" t="n"/>
      <ns0:c r="R46" s="56" t="n"/>
      <ns0:c r="S46" s="56" t="n"/>
      <ns0:c r="T46" s="56" t="n"/>
      <ns0:c r="U46" s="56" t="n"/>
      <ns0:c r="V46" s="57" t="n"/>
    </ns0:row>
    <ns0:row r="47">
      <ns0:c r="A47" s="49" t="n"/>
      <ns0:c r="B47" s="56" t="n"/>
      <ns0:c r="C47" s="56" t="n"/>
      <ns0:c r="D47" s="56" t="n"/>
      <ns0:c r="E47" s="56" t="n"/>
      <ns0:c r="F47" s="56" t="n"/>
      <ns0:c r="G47" s="56" t="n"/>
      <ns0:c r="H47" s="56" t="n"/>
      <ns0:c r="I47" s="56" t="n"/>
      <ns0:c r="J47" s="56" t="n"/>
      <ns0:c r="K47" s="56" t="n"/>
      <ns0:c r="L47" s="56" t="n"/>
      <ns0:c r="M47" s="56" t="n"/>
      <ns0:c r="N47" s="56" t="n"/>
      <ns0:c r="O47" s="56" t="n"/>
      <ns0:c r="P47" s="56" t="n"/>
      <ns0:c r="Q47" s="56" t="n"/>
      <ns0:c r="R47" s="56" t="n"/>
      <ns0:c r="S47" s="56" t="n"/>
      <ns0:c r="T47" s="56" t="n"/>
      <ns0:c r="U47" s="56" t="n"/>
      <ns0:c r="V47" s="57" t="n"/>
    </ns0:row>
    <ns0:row r="48">
      <ns0:c r="A48" s="49" t="n"/>
      <ns0:c r="B48" s="56" t="n"/>
      <ns0:c r="C48" s="56" t="n"/>
      <ns0:c r="D48" s="56" t="n"/>
      <ns0:c r="E48" s="56" t="n"/>
      <ns0:c r="F48" s="56" t="n"/>
      <ns0:c r="G48" s="56" t="n"/>
      <ns0:c r="H48" s="56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56" t="n"/>
      <ns0:c r="Q48" s="56" t="n"/>
      <ns0:c r="R48" s="56" t="n"/>
      <ns0:c r="S48" s="56" t="n"/>
      <ns0:c r="T48" s="56" t="n"/>
      <ns0:c r="U48" s="56" t="n"/>
      <ns0:c r="V48" s="57" t="n"/>
    </ns0:row>
    <ns0:row r="49">
      <ns0:c r="A49" s="49" t="n"/>
      <ns0:c r="B49" s="56" t="n"/>
      <ns0:c r="C49" s="56" t="n"/>
      <ns0:c r="D49" s="56" t="n"/>
      <ns0:c r="E49" s="56" t="n"/>
      <ns0:c r="F49" s="56" t="n"/>
      <ns0:c r="G49" s="56" t="n"/>
      <ns0:c r="H49" s="56" t="n"/>
      <ns0:c r="I49" s="56" t="n"/>
      <ns0:c r="J49" s="56" t="n"/>
      <ns0:c r="K49" s="56" t="n"/>
      <ns0:c r="L49" s="56" t="n"/>
      <ns0:c r="M49" s="56" t="n"/>
      <ns0:c r="N49" s="56" t="n"/>
      <ns0:c r="O49" s="56" t="n"/>
      <ns0:c r="P49" s="56" t="n"/>
      <ns0:c r="Q49" s="56" t="n"/>
      <ns0:c r="R49" s="56" t="n"/>
      <ns0:c r="S49" s="56" t="n"/>
      <ns0:c r="T49" s="56" t="n"/>
      <ns0:c r="U49" s="56" t="n"/>
      <ns0:c r="V49" s="57" t="n"/>
    </ns0:row>
    <ns0:row r="50">
      <ns0:c r="A50" s="49" t="n"/>
      <ns0:c r="B50" s="56" t="n"/>
      <ns0:c r="C50" s="56" t="n"/>
      <ns0:c r="D50" s="56" t="n"/>
      <ns0:c r="E50" s="56" t="n"/>
      <ns0:c r="F50" s="56" t="n"/>
      <ns0:c r="G50" s="56" t="n"/>
      <ns0:c r="H50" s="56" t="n"/>
      <ns0:c r="I50" s="56" t="n"/>
      <ns0:c r="J50" s="56" t="n"/>
      <ns0:c r="K50" s="56" t="n"/>
      <ns0:c r="L50" s="56" t="n"/>
      <ns0:c r="M50" s="56" t="n"/>
      <ns0:c r="N50" s="56" t="n"/>
      <ns0:c r="O50" s="56" t="n"/>
      <ns0:c r="P50" s="56" t="n"/>
      <ns0:c r="Q50" s="56" t="n"/>
      <ns0:c r="R50" s="56" t="n"/>
      <ns0:c r="S50" s="56" t="n"/>
      <ns0:c r="T50" s="56" t="n"/>
      <ns0:c r="U50" s="56" t="n"/>
      <ns0:c r="V50" s="57" t="n"/>
    </ns0:row>
    <ns0:row r="51">
      <ns0:c r="A51" s="49" t="n"/>
      <ns0:c r="B51" s="56" t="n"/>
      <ns0:c r="C51" s="56" t="n"/>
      <ns0:c r="D51" s="56" t="n"/>
      <ns0:c r="E51" s="56" t="n"/>
      <ns0:c r="F51" s="56" t="n"/>
      <ns0:c r="G51" s="56" t="n"/>
      <ns0:c r="H51" s="56" t="n"/>
      <ns0:c r="I51" s="56" t="n"/>
      <ns0:c r="J51" s="56" t="n"/>
      <ns0:c r="K51" s="56" t="n"/>
      <ns0:c r="L51" s="56" t="n"/>
      <ns0:c r="M51" s="56" t="n"/>
      <ns0:c r="N51" s="56" t="n"/>
      <ns0:c r="O51" s="56" t="n"/>
      <ns0:c r="P51" s="56" t="n"/>
      <ns0:c r="Q51" s="56" t="n"/>
      <ns0:c r="R51" s="56" t="n"/>
      <ns0:c r="S51" s="56" t="n"/>
      <ns0:c r="T51" s="56" t="n"/>
      <ns0:c r="U51" s="56" t="n"/>
      <ns0:c r="V51" s="57" t="n"/>
    </ns0:row>
    <ns0:row r="52">
      <ns0:c r="A52" s="49" t="n"/>
      <ns0:c r="B52" s="56" t="n"/>
      <ns0:c r="C52" s="56" t="n"/>
      <ns0:c r="D52" s="56" t="n"/>
      <ns0:c r="E52" s="56" t="n"/>
      <ns0:c r="F52" s="56" t="n"/>
      <ns0:c r="G52" s="56" t="n"/>
      <ns0:c r="H52" s="56" t="n"/>
      <ns0:c r="I52" s="56" t="n"/>
      <ns0:c r="J52" s="56" t="n"/>
      <ns0:c r="K52" s="56" t="n"/>
      <ns0:c r="L52" s="56" t="n"/>
      <ns0:c r="M52" s="56" t="n"/>
      <ns0:c r="N52" s="56" t="n"/>
      <ns0:c r="O52" s="56" t="n"/>
      <ns0:c r="P52" s="56" t="n"/>
      <ns0:c r="Q52" s="56" t="n"/>
      <ns0:c r="R52" s="56" t="n"/>
      <ns0:c r="S52" s="56" t="n"/>
      <ns0:c r="T52" s="56" t="n"/>
      <ns0:c r="U52" s="56" t="n"/>
      <ns0:c r="V52" s="57" t="n"/>
    </ns0:row>
    <ns0:row r="53">
      <ns0:c r="A53" s="49" t="n"/>
      <ns0:c r="B53" s="56" t="n"/>
      <ns0:c r="C53" s="56" t="n"/>
      <ns0:c r="D53" s="56" t="n"/>
      <ns0:c r="E53" s="56" t="n"/>
      <ns0:c r="F53" s="56" t="n"/>
      <ns0:c r="G53" s="56" t="n"/>
      <ns0:c r="H53" s="56" t="n"/>
      <ns0:c r="I53" s="56" t="n"/>
      <ns0:c r="J53" s="56" t="n"/>
      <ns0:c r="K53" s="56" t="n"/>
      <ns0:c r="L53" s="56" t="n"/>
      <ns0:c r="M53" s="56" t="n"/>
      <ns0:c r="N53" s="56" t="n"/>
      <ns0:c r="O53" s="56" t="n"/>
      <ns0:c r="P53" s="56" t="n"/>
      <ns0:c r="Q53" s="56" t="n"/>
      <ns0:c r="R53" s="56" t="n"/>
      <ns0:c r="S53" s="56" t="n"/>
      <ns0:c r="T53" s="56" t="n"/>
      <ns0:c r="U53" s="56" t="n"/>
      <ns0:c r="V53" s="57" t="n"/>
    </ns0:row>
    <ns0:row r="54">
      <ns0:c r="A54" s="49" t="n"/>
      <ns0:c r="B54" s="56" t="n"/>
      <ns0:c r="C54" s="56" t="n"/>
      <ns0:c r="D54" s="56" t="n"/>
      <ns0:c r="E54" s="56" t="n"/>
      <ns0:c r="F54" s="56" t="n"/>
      <ns0:c r="G54" s="56" t="n"/>
      <ns0:c r="H54" s="56" t="n"/>
      <ns0:c r="I54" s="56" t="n"/>
      <ns0:c r="J54" s="56" t="n"/>
      <ns0:c r="K54" s="56" t="n"/>
      <ns0:c r="L54" s="56" t="n"/>
      <ns0:c r="M54" s="56" t="n"/>
      <ns0:c r="N54" s="56" t="n"/>
      <ns0:c r="O54" s="56" t="n"/>
      <ns0:c r="P54" s="56" t="n"/>
      <ns0:c r="Q54" s="56" t="n"/>
      <ns0:c r="R54" s="56" t="n"/>
      <ns0:c r="S54" s="56" t="n"/>
      <ns0:c r="T54" s="56" t="n"/>
      <ns0:c r="U54" s="56" t="n"/>
      <ns0:c r="V54" s="57" t="n"/>
    </ns0:row>
    <ns0:row r="55">
      <ns0:c r="A55" s="49" t="n"/>
      <ns0:c r="B55" s="56" t="n"/>
      <ns0:c r="C55" s="56" t="n"/>
      <ns0:c r="D55" s="56" t="n"/>
      <ns0:c r="E55" s="56" t="n"/>
      <ns0:c r="F55" s="56" t="n"/>
      <ns0:c r="G55" s="56" t="n"/>
      <ns0:c r="H55" s="56" t="n"/>
      <ns0:c r="I55" s="56" t="n"/>
      <ns0:c r="J55" s="56" t="n"/>
      <ns0:c r="K55" s="56" t="n"/>
      <ns0:c r="L55" s="56" t="n"/>
      <ns0:c r="M55" s="56" t="n"/>
      <ns0:c r="N55" s="56" t="n"/>
      <ns0:c r="O55" s="56" t="n"/>
      <ns0:c r="P55" s="56" t="n"/>
      <ns0:c r="Q55" s="56" t="n"/>
      <ns0:c r="R55" s="56" t="n"/>
      <ns0:c r="S55" s="56" t="n"/>
      <ns0:c r="T55" s="56" t="n"/>
      <ns0:c r="U55" s="56" t="n"/>
      <ns0:c r="V55" s="57" t="n"/>
    </ns0:row>
    <ns0:row r="56">
      <ns0:c r="A56" s="49" t="n"/>
      <ns0:c r="B56" s="56" t="n"/>
      <ns0:c r="C56" s="56" t="n"/>
      <ns0:c r="D56" s="56" t="n"/>
      <ns0:c r="E56" s="56" t="n"/>
      <ns0:c r="F56" s="56" t="n"/>
      <ns0:c r="G56" s="56" t="n"/>
      <ns0:c r="H56" s="56" t="n"/>
      <ns0:c r="I56" s="56" t="n"/>
      <ns0:c r="J56" s="56" t="n"/>
      <ns0:c r="K56" s="56" t="n"/>
      <ns0:c r="L56" s="56" t="n"/>
      <ns0:c r="M56" s="56" t="n"/>
      <ns0:c r="N56" s="56" t="n"/>
      <ns0:c r="O56" s="56" t="n"/>
      <ns0:c r="P56" s="56" t="n"/>
      <ns0:c r="Q56" s="56" t="n"/>
      <ns0:c r="R56" s="56" t="n"/>
      <ns0:c r="S56" s="56" t="n"/>
      <ns0:c r="T56" s="56" t="n"/>
      <ns0:c r="U56" s="56" t="n"/>
      <ns0:c r="V56" s="57" t="n"/>
    </ns0:row>
    <ns0:row r="57">
      <ns0:c r="A57" s="49" t="n"/>
      <ns0:c r="B57" s="56" t="n"/>
      <ns0:c r="C57" s="56" t="n"/>
      <ns0:c r="D57" s="56" t="n"/>
      <ns0:c r="E57" s="56" t="n"/>
      <ns0:c r="F57" s="56" t="n"/>
      <ns0:c r="G57" s="56" t="n"/>
      <ns0:c r="H57" s="56" t="n"/>
      <ns0:c r="I57" s="56" t="n"/>
      <ns0:c r="J57" s="56" t="n"/>
      <ns0:c r="K57" s="56" t="n"/>
      <ns0:c r="L57" s="56" t="n"/>
      <ns0:c r="M57" s="56" t="n"/>
      <ns0:c r="N57" s="56" t="n"/>
      <ns0:c r="O57" s="56" t="n"/>
      <ns0:c r="P57" s="56" t="n"/>
      <ns0:c r="Q57" s="56" t="n"/>
      <ns0:c r="R57" s="56" t="n"/>
      <ns0:c r="S57" s="56" t="n"/>
      <ns0:c r="T57" s="56" t="n"/>
      <ns0:c r="U57" s="56" t="n"/>
      <ns0:c r="V57" s="57" t="n"/>
    </ns0:row>
    <ns0:row r="58">
      <ns0:c r="A58" s="65" t="n"/>
      <ns0:c r="B58" s="66" t="n"/>
      <ns0:c r="C58" s="66" t="n"/>
      <ns0:c r="D58" s="66" t="n"/>
      <ns0:c r="E58" s="66" t="n"/>
      <ns0:c r="F58" s="66" t="n"/>
      <ns0:c r="G58" s="66" t="n"/>
      <ns0:c r="H58" s="66" t="n"/>
      <ns0:c r="I58" s="66" t="n"/>
      <ns0:c r="J58" s="66" t="n"/>
      <ns0:c r="K58" s="66" t="n"/>
      <ns0:c r="L58" s="66" t="n"/>
      <ns0:c r="M58" s="66" t="n"/>
      <ns0:c r="N58" s="66" t="n"/>
      <ns0:c r="O58" s="66" t="n"/>
      <ns0:c r="P58" s="66" t="n"/>
      <ns0:c r="Q58" s="66" t="n"/>
      <ns0:c r="R58" s="66" t="n"/>
      <ns0:c r="S58" s="66" t="n"/>
      <ns0:c r="T58" s="66" t="n"/>
      <ns0:c r="U58" s="66" t="n"/>
      <ns0:c r="V58" s="67" t="n"/>
    </ns0:row>
  </ns0:sheetData>
  <ns0:mergeCells count="62">
    <ns0:mergeCell ref="K16:L16"/>
    <ns0:mergeCell ref="M20:M21"/>
    <ns0:mergeCell ref="N26:N27"/>
    <ns0:mergeCell ref="N22:N23"/>
    <ns0:mergeCell ref="A5:V5"/>
    <ns0:mergeCell ref="N18:N19"/>
    <ns0:mergeCell ref="B18:B21"/>
    <ns0:mergeCell ref="A14:V14"/>
    <ns0:mergeCell ref="E20:E21"/>
    <ns0:mergeCell ref="Q26:Q27"/>
    <ns0:mergeCell ref="G16:J16"/>
    <ns0:mergeCell ref="R16:R17"/>
    <ns0:mergeCell ref="R28:R29"/>
    <ns0:mergeCell ref="Q18:Q19"/>
    <ns0:mergeCell ref="F20:F21"/>
    <ns0:mergeCell ref="Q20:Q21"/>
    <ns0:mergeCell ref="R24:R25"/>
    <ns0:mergeCell ref="B22:B29"/>
    <ns0:mergeCell ref="F18:F19"/>
    <ns0:mergeCell ref="C22:C23"/>
    <ns0:mergeCell ref="M22:M23"/>
    <ns0:mergeCell ref="F26:F27"/>
    <ns0:mergeCell ref="Q22:Q23"/>
    <ns0:mergeCell ref="F22:F23"/>
    <ns0:mergeCell ref="E28:E29"/>
    <ns0:mergeCell ref="M16:M17"/>
    <ns0:mergeCell ref="R20:R21"/>
    <ns0:mergeCell ref="M28:M29"/>
    <ns0:mergeCell ref="C2:N4"/>
    <ns0:mergeCell ref="R26:R27"/>
    <ns0:mergeCell ref="M24:M25"/>
    <ns0:mergeCell ref="O16:P16"/>
    <ns0:mergeCell ref="C28:D29"/>
    <ns0:mergeCell ref="R22:R23"/>
    <ns0:mergeCell ref="D18:D19"/>
    <ns0:mergeCell ref="C24:D25"/>
    <ns0:mergeCell ref="R18:R19"/>
    <ns0:mergeCell ref="F28:F29"/>
    <ns0:mergeCell ref="N28:N29"/>
    <ns0:mergeCell ref="M18:M19"/>
    <ns0:mergeCell ref="N24:N25"/>
    <ns0:mergeCell ref="E16:E17"/>
    <ns0:mergeCell ref="Q16:Q17"/>
    <ns0:mergeCell ref="E26:E27"/>
    <ns0:mergeCell ref="A7:V7"/>
    <ns0:mergeCell ref="M26:M27"/>
    <ns0:mergeCell ref="A2:B4"/>
    <ns0:mergeCell ref="E24:E25"/>
    <ns0:mergeCell ref="C20:D21"/>
    <ns0:mergeCell ref="C16:D17"/>
    <ns0:mergeCell ref="E18:E19"/>
    <ns0:mergeCell ref="Q28:Q29"/>
    <ns0:mergeCell ref="E22:E23"/>
    <ns0:mergeCell ref="N20:N21"/>
    <ns0:mergeCell ref="B16:B17"/>
    <ns0:mergeCell ref="C26:D27"/>
    <ns0:mergeCell ref="N16:N17"/>
    <ns0:mergeCell ref="C18:C19"/>
    <ns0:mergeCell ref="F16:F17"/>
    <ns0:mergeCell ref="Q24:Q25"/>
    <ns0:mergeCell ref="F24:F25"/>
    <ns0:mergeCell ref="D22:D23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M63"/>
  <ns0:sheetViews>
    <ns0:sheetView workbookViewId="0">
      <ns0:selection activeCell="A1" sqref="A1"/>
    </ns0:sheetView>
  </ns0:sheetViews>
  <ns0:sheetFormatPr baseColWidth="8" defaultRowHeight="15"/>
  <ns0:cols>
    <ns0:col width="21.14285714285714" customWidth="1" min="1" max="1"/>
    <ns0:col width="15.42857142857143" customWidth="1" min="2" max="2"/>
    <ns0:col width="61.14285714285715" customWidth="1" min="3" max="3"/>
    <ns0:col width="61.14285714285715" customWidth="1" min="4" max="4"/>
    <ns0:col width="22.71428571428572" customWidth="1" min="5" max="5"/>
    <ns0:col width="22.71428571428572" customWidth="1" min="6" max="6"/>
    <ns0:col width="19.85714285714286" customWidth="1" min="7" max="7"/>
    <ns0:col width="19.85714285714286" customWidth="1" min="8" max="8"/>
    <ns0:col width="26.85714285714286" customWidth="1" min="9" max="9"/>
    <ns0:col width="31" customWidth="1" min="10" max="10"/>
    <ns0:col width="17.57142857142857" customWidth="1" min="11" max="11"/>
    <ns0:col width="17.57142857142857" customWidth="1" min="12" max="12"/>
    <ns0:col width="22.28571428571428" customWidth="1" min="13" max="13"/>
    <ns0:col width="26.71428571428572" customWidth="1" min="14" max="14"/>
    <ns0:col width="18.28571428571428" customWidth="1" min="15" max="15"/>
    <ns0:col width="18.28571428571428" customWidth="1" min="16" max="16"/>
    <ns0:col width="18.28571428571428" customWidth="1" min="17" max="17"/>
    <ns0:col width="26.85714285714286" customWidth="1" min="18" max="18"/>
    <ns0:col width="25.71428571428572" customWidth="1" min="19" max="19"/>
    <ns0:col width="25.71428571428572" customWidth="1" min="20" max="20"/>
    <ns0:col width="25.71428571428572" customWidth="1" min="21" max="21"/>
    <ns0:col width="31.42857142857143" customWidth="1" min="22" max="22"/>
  </ns0:cols>
  <ns0:sheetData>
    <ns0:row r="1" ht="16.5" customHeight="1"/>
    <ns0:row r="2" ht="40.6875" customHeight="1">
      <ns0:c r="A2" s="3" t="inlineStr">
        <ns0:is>
          <ns0:t>TITLE</ns0:t>
        </ns0:is>
      </ns0:c>
      <ns0:c r="B2" s="4" t="n"/>
      <ns0:c r="C2" s="5" t="inlineStr">
        <ns0:is>
          <ns0:t>REPORT CHECKING AND TEST REDUCE HEIGHT DIMENSION COIL  OF MODEL BRS-201506</ns0:t>
        </ns0:is>
      </ns0:c>
      <ns0:c r="D2" s="6" t="n"/>
      <ns0:c r="E2" s="6" t="n"/>
      <ns0:c r="F2" s="6" t="n"/>
      <ns0:c r="G2" s="6" t="n"/>
      <ns0:c r="H2" s="6" t="n"/>
      <ns0:c r="I2" s="6" t="n"/>
      <ns0:c r="J2" s="6" t="n"/>
      <ns0:c r="K2" s="6" t="n"/>
      <ns0:c r="L2" s="6" t="n"/>
      <ns0:c r="M2" s="6" t="n"/>
      <ns0:c r="N2" s="6" t="n"/>
      <ns0:c r="O2" s="7" t="n"/>
      <ns0:c r="P2" s="7" t="n"/>
      <ns0:c r="Q2" s="7" t="n"/>
      <ns0:c r="R2" s="7" t="n"/>
      <ns0:c r="S2" s="7" t="n"/>
      <ns0:c r="T2" s="7" t="n"/>
      <ns0:c r="U2" s="8" t="inlineStr">
        <ns0:is>
          <ns0:t>Dept</ns0:t>
        </ns0:is>
      </ns0:c>
      <ns0:c r="V2" s="9" t="inlineStr">
        <ns0:is>
          <ns0:t>ME</ns0:t>
        </ns0:is>
      </ns0:c>
    </ns0:row>
    <ns0:row r="3" ht="40.6875" customHeight="1">
      <ns0:c r="A3" s="10" t="n"/>
      <ns0:c r="B3" s="11" t="n"/>
      <ns0:c r="C3" s="12" t="n"/>
      <ns0:c r="O3" s="13" t="n"/>
      <ns0:c r="P3" s="13" t="n"/>
      <ns0:c r="Q3" s="13" t="n"/>
      <ns0:c r="R3" s="13" t="n"/>
      <ns0:c r="S3" s="13" t="n"/>
      <ns0:c r="T3" s="13" t="n"/>
      <ns0:c r="U3" s="14" t="inlineStr">
        <ns0:is>
          <ns0:t>Date</ns0:t>
        </ns0:is>
      </ns0:c>
      <ns0:c r="V3" s="15" t="n">
        <ns0:v>45457</ns0:v>
      </ns0:c>
    </ns0:row>
    <ns0:row r="4" ht="40.6875" customHeight="1">
      <ns0:c r="A4" s="16" t="n"/>
      <ns0:c r="B4" s="17" t="n"/>
      <ns0:c r="C4" s="18" t="n"/>
      <ns0:c r="D4" s="19" t="n"/>
      <ns0:c r="E4" s="19" t="n"/>
      <ns0:c r="F4" s="19" t="n"/>
      <ns0:c r="G4" s="19" t="n"/>
      <ns0:c r="H4" s="19" t="n"/>
      <ns0:c r="I4" s="19" t="n"/>
      <ns0:c r="J4" s="19" t="n"/>
      <ns0:c r="K4" s="19" t="n"/>
      <ns0:c r="L4" s="19" t="n"/>
      <ns0:c r="M4" s="19" t="n"/>
      <ns0:c r="N4" s="19" t="n"/>
      <ns0:c r="O4" s="20" t="n"/>
      <ns0:c r="P4" s="20" t="n"/>
      <ns0:c r="Q4" s="20" t="n"/>
      <ns0:c r="R4" s="20" t="n"/>
      <ns0:c r="S4" s="20" t="n"/>
      <ns0:c r="T4" s="20" t="n"/>
      <ns0:c r="U4" s="14" t="inlineStr">
        <ns0:is>
          <ns0:t>Marker</ns0:t>
        </ns0:is>
      </ns0:c>
      <ns0:c r="V4" s="21" t="inlineStr">
        <ns0:is>
          <ns0:t>Thao</ns0:t>
        </ns0:is>
      </ns0:c>
    </ns0:row>
    <ns0:row r="5" ht="40.6875" customHeight="1">
      <ns0:c r="A5" s="22" t="inlineStr">
        <ns0:is>
          <ns0:t>I. Purpose.</ns0:t>
        </ns0:is>
      </ns0:c>
      <ns0:c r="B5" s="23" t="n"/>
      <ns0:c r="C5" s="23" t="n"/>
      <ns0:c r="D5" s="23" t="n"/>
      <ns0:c r="E5" s="23" t="n"/>
      <ns0:c r="F5" s="23" t="n"/>
      <ns0:c r="G5" s="23" t="n"/>
      <ns0:c r="H5" s="23" t="n"/>
      <ns0:c r="I5" s="23" t="n"/>
      <ns0:c r="J5" s="23" t="n"/>
      <ns0:c r="K5" s="23" t="n"/>
      <ns0:c r="L5" s="23" t="n"/>
      <ns0:c r="M5" s="23" t="n"/>
      <ns0:c r="N5" s="23" t="n"/>
      <ns0:c r="O5" s="23" t="n"/>
      <ns0:c r="P5" s="23" t="n"/>
      <ns0:c r="Q5" s="23" t="n"/>
      <ns0:c r="R5" s="23" t="n"/>
      <ns0:c r="S5" s="23" t="n"/>
      <ns0:c r="T5" s="23" t="n"/>
      <ns0:c r="U5" s="23" t="n"/>
      <ns0:c r="V5" s="24" t="n"/>
    </ns0:row>
    <ns0:row r="6" ht="40.6875" customHeight="1">
      <ns0:c r="A6" s="25" t="inlineStr">
        <ns0:is>
          <ns0:t xml:space="preserve"> - Find reason NG Function</ns0:t>
        </ns0:is>
      </ns0:c>
      <ns0:c r="B6" s="26" t="n"/>
      <ns0:c r="C6" s="26" t="n"/>
      <ns0:c r="D6" s="26" t="n"/>
      <ns0:c r="E6" s="26" t="n"/>
      <ns0:c r="F6" s="26" t="n"/>
      <ns0:c r="G6" s="26" t="n"/>
      <ns0:c r="H6" s="26" t="n"/>
      <ns0:c r="I6" s="26" t="n"/>
      <ns0:c r="J6" s="26" t="n"/>
      <ns0:c r="K6" s="26" t="n"/>
      <ns0:c r="L6" s="26" t="n"/>
      <ns0:c r="M6" s="26" t="n"/>
      <ns0:c r="N6" s="26" t="n"/>
      <ns0:c r="O6" s="26" t="n"/>
      <ns0:c r="P6" s="26" t="n"/>
      <ns0:c r="Q6" s="26" t="n"/>
      <ns0:c r="R6" s="26" t="n"/>
      <ns0:c r="S6" s="26" t="n"/>
      <ns0:c r="T6" s="26" t="n"/>
      <ns0:c r="U6" s="26" t="n"/>
      <ns0:c r="V6" s="27" t="n"/>
    </ns0:row>
    <ns0:row r="7" ht="40.6875" customHeight="1">
      <ns0:c r="A7" s="22" t="inlineStr">
        <ns0:is>
          <ns0:t>II. Content.</ns0:t>
        </ns0:is>
      </ns0:c>
      <ns0:c r="B7" s="23" t="n"/>
      <ns0:c r="C7" s="23" t="n"/>
      <ns0:c r="D7" s="23" t="n"/>
      <ns0:c r="E7" s="23" t="n"/>
      <ns0:c r="F7" s="23" t="n"/>
      <ns0:c r="G7" s="23" t="n"/>
      <ns0:c r="H7" s="23" t="n"/>
      <ns0:c r="I7" s="23" t="n"/>
      <ns0:c r="J7" s="23" t="n"/>
      <ns0:c r="K7" s="23" t="n"/>
      <ns0:c r="L7" s="23" t="n"/>
      <ns0:c r="M7" s="23" t="n"/>
      <ns0:c r="N7" s="23" t="n"/>
      <ns0:c r="O7" s="23" t="n"/>
      <ns0:c r="P7" s="23" t="n"/>
      <ns0:c r="Q7" s="23" t="n"/>
      <ns0:c r="R7" s="23" t="n"/>
      <ns0:c r="S7" s="23" t="n"/>
      <ns0:c r="T7" s="23" t="n"/>
      <ns0:c r="U7" s="23" t="n"/>
      <ns0:c r="V7" s="24" t="n"/>
      <ns0:c r="Z7" s="28" t="n"/>
      <ns0:c r="AA7" s="28" t="n"/>
      <ns0:c r="AB7" s="28" t="n"/>
      <ns0:c r="AC7" s="28" t="n"/>
      <ns0:c r="AD7" s="28" t="n"/>
      <ns0:c r="AE7" s="28" t="n"/>
      <ns0:c r="AF7" s="28" t="n"/>
      <ns0:c r="AG7" s="28" t="n"/>
      <ns0:c r="AH7" s="28" t="n"/>
      <ns0:c r="AI7" s="28" t="n"/>
      <ns0:c r="AJ7" s="28" t="n"/>
      <ns0:c r="AK7" s="28" t="n"/>
      <ns0:c r="AL7" s="28" t="n"/>
      <ns0:c r="AM7" s="28" t="n"/>
      <ns0:c r="AN7" s="28" t="n"/>
      <ns0:c r="AO7" s="28" t="n"/>
      <ns0:c r="AP7" s="28" t="n"/>
      <ns0:c r="AQ7" s="28" t="n"/>
      <ns0:c r="AR7" s="28" t="n"/>
      <ns0:c r="AS7" s="28" t="n"/>
      <ns0:c r="AT7" s="28" t="n"/>
      <ns0:c r="AU7" s="28" t="n"/>
      <ns0:c r="AV7" s="28" t="n"/>
      <ns0:c r="AW7" s="28" t="n"/>
      <ns0:c r="AX7" s="28" t="n"/>
      <ns0:c r="AY7" s="28" t="n"/>
      <ns0:c r="AZ7" s="28" t="n"/>
      <ns0:c r="BA7" s="28" t="n"/>
      <ns0:c r="BB7" s="28" t="n"/>
      <ns0:c r="BC7" s="28" t="n"/>
      <ns0:c r="BD7" s="28" t="n"/>
      <ns0:c r="BE7" s="28" t="n"/>
      <ns0:c r="BF7" s="28" t="n"/>
      <ns0:c r="BG7" s="28" t="n"/>
      <ns0:c r="BH7" s="28" t="n"/>
      <ns0:c r="BI7" s="28" t="n"/>
      <ns0:c r="BJ7" s="28" t="n"/>
      <ns0:c r="BK7" s="28" t="n"/>
      <ns0:c r="BL7" s="28" t="n"/>
      <ns0:c r="BM7" s="28" t="n"/>
    </ns0:row>
    <ns0:row r="8" ht="40.6875" customHeight="1">
      <ns0:c r="A8" s="29" t="n"/>
      <ns0:c r="B8" s="30" t="n"/>
      <ns0:c r="C8" s="30" t="n"/>
      <ns0:c r="D8" s="30" t="n"/>
      <ns0:c r="E8" s="31" t="n"/>
      <ns0:c r="F8" s="31" t="n"/>
      <ns0:c r="G8" s="31" t="n"/>
      <ns0:c r="H8" s="31" t="n"/>
      <ns0:c r="I8" s="31" t="n"/>
      <ns0:c r="J8" s="31" t="n"/>
      <ns0:c r="K8" s="31" t="n"/>
      <ns0:c r="L8" s="31" t="n"/>
      <ns0:c r="M8" s="31" t="n"/>
      <ns0:c r="N8" s="31" t="n"/>
      <ns0:c r="O8" s="31" t="n"/>
      <ns0:c r="P8" s="31" t="n"/>
      <ns0:c r="Q8" s="31" t="n"/>
      <ns0:c r="R8" s="31" t="n"/>
      <ns0:c r="S8" s="31" t="n"/>
      <ns0:c r="T8" s="31" t="n"/>
      <ns0:c r="U8" s="31" t="n"/>
      <ns0:c r="V8" s="32" t="n"/>
      <ns0:c r="Z8" s="28" t="n"/>
      <ns0:c r="AA8" s="28" t="n"/>
      <ns0:c r="AB8" s="28" t="n"/>
      <ns0:c r="AC8" s="28" t="n"/>
      <ns0:c r="AD8" s="28" t="n"/>
      <ns0:c r="AE8" s="28" t="n"/>
      <ns0:c r="AF8" s="28" t="n"/>
      <ns0:c r="AG8" s="28" t="n"/>
      <ns0:c r="AH8" s="28" t="n"/>
      <ns0:c r="AI8" s="28" t="n"/>
      <ns0:c r="AJ8" s="28" t="n"/>
      <ns0:c r="AK8" s="28" t="n"/>
      <ns0:c r="AL8" s="28" t="n"/>
      <ns0:c r="AM8" s="28" t="n"/>
      <ns0:c r="AN8" s="28" t="n"/>
      <ns0:c r="AO8" s="28" t="n"/>
      <ns0:c r="AP8" s="28" t="n"/>
      <ns0:c r="AQ8" s="28" t="n"/>
      <ns0:c r="AR8" s="28" t="n"/>
      <ns0:c r="AS8" s="28" t="n"/>
      <ns0:c r="AT8" s="28" t="n"/>
      <ns0:c r="AU8" s="28" t="n"/>
      <ns0:c r="AV8" s="28" t="n"/>
      <ns0:c r="AW8" s="28" t="n"/>
      <ns0:c r="AX8" s="28" t="n"/>
      <ns0:c r="AY8" s="28" t="n"/>
      <ns0:c r="AZ8" s="28" t="n"/>
      <ns0:c r="BA8" s="28" t="n"/>
      <ns0:c r="BB8" s="28" t="n"/>
      <ns0:c r="BC8" s="28" t="n"/>
      <ns0:c r="BD8" s="28" t="n"/>
      <ns0:c r="BE8" s="28" t="n"/>
      <ns0:c r="BF8" s="28" t="n"/>
      <ns0:c r="BG8" s="28" t="n"/>
      <ns0:c r="BH8" s="28" t="n"/>
      <ns0:c r="BI8" s="28" t="n"/>
      <ns0:c r="BJ8" s="28" t="n"/>
      <ns0:c r="BK8" s="28" t="n"/>
      <ns0:c r="BL8" s="28" t="n"/>
      <ns0:c r="BM8" s="28" t="n"/>
    </ns0:row>
    <ns0:row r="9" ht="40.6875" customHeight="1">
      <ns0:c r="A9" s="29" t="n"/>
      <ns0:c r="B9" s="30" t="n"/>
      <ns0:c r="C9" s="30" t="n"/>
      <ns0:c r="D9" s="30" t="n"/>
      <ns0:c r="E9" s="31" t="n"/>
      <ns0:c r="F9" s="31" t="n"/>
      <ns0:c r="G9" s="31" t="n"/>
      <ns0:c r="H9" s="31" t="n"/>
      <ns0:c r="I9" s="31" t="n"/>
      <ns0:c r="J9" s="31" t="n"/>
      <ns0:c r="K9" s="31" t="n"/>
      <ns0:c r="L9" s="31" t="n"/>
      <ns0:c r="M9" s="31" t="n"/>
      <ns0:c r="N9" s="31" t="n"/>
      <ns0:c r="O9" s="31" t="n"/>
      <ns0:c r="P9" s="31" t="n"/>
      <ns0:c r="Q9" s="31" t="n"/>
      <ns0:c r="R9" s="31" t="n"/>
      <ns0:c r="S9" s="31" t="n"/>
      <ns0:c r="T9" s="31" t="n"/>
      <ns0:c r="U9" s="31" t="n"/>
      <ns0:c r="V9" s="32" t="n"/>
      <ns0:c r="Z9" s="28" t="n"/>
      <ns0:c r="AA9" s="28" t="n"/>
      <ns0:c r="AB9" s="28" t="n"/>
      <ns0:c r="AC9" s="28" t="n"/>
      <ns0:c r="AD9" s="28" t="n"/>
      <ns0:c r="AE9" s="28" t="n"/>
      <ns0:c r="AF9" s="28" t="n"/>
      <ns0:c r="AG9" s="28" t="n"/>
      <ns0:c r="AH9" s="28" t="n"/>
      <ns0:c r="AI9" s="28" t="n"/>
      <ns0:c r="AJ9" s="28" t="n"/>
      <ns0:c r="AK9" s="28" t="n"/>
      <ns0:c r="AL9" s="28" t="n"/>
      <ns0:c r="AM9" s="28" t="n"/>
      <ns0:c r="AN9" s="28" t="n"/>
      <ns0:c r="AO9" s="28" t="n"/>
      <ns0:c r="AP9" s="28" t="n"/>
      <ns0:c r="AQ9" s="28" t="n"/>
      <ns0:c r="AR9" s="28" t="n"/>
      <ns0:c r="AS9" s="28" t="n"/>
      <ns0:c r="AT9" s="28" t="n"/>
      <ns0:c r="AU9" s="28" t="n"/>
      <ns0:c r="AV9" s="28" t="n"/>
      <ns0:c r="AW9" s="28" t="n"/>
      <ns0:c r="AX9" s="28" t="n"/>
      <ns0:c r="AY9" s="28" t="n"/>
      <ns0:c r="AZ9" s="28" t="n"/>
      <ns0:c r="BA9" s="28" t="n"/>
      <ns0:c r="BB9" s="28" t="n"/>
      <ns0:c r="BC9" s="28" t="n"/>
      <ns0:c r="BD9" s="28" t="n"/>
      <ns0:c r="BE9" s="28" t="n"/>
      <ns0:c r="BF9" s="28" t="n"/>
      <ns0:c r="BG9" s="28" t="n"/>
      <ns0:c r="BH9" s="28" t="n"/>
      <ns0:c r="BI9" s="28" t="n"/>
      <ns0:c r="BJ9" s="28" t="n"/>
      <ns0:c r="BK9" s="28" t="n"/>
      <ns0:c r="BL9" s="28" t="n"/>
      <ns0:c r="BM9" s="28" t="n"/>
    </ns0:row>
    <ns0:row r="10" ht="40.6875" customHeight="1">
      <ns0:c r="A10" s="29" t="n"/>
      <ns0:c r="B10" s="30" t="n"/>
      <ns0:c r="C10" s="30" t="n"/>
      <ns0:c r="D10" s="30" t="n"/>
      <ns0:c r="E10" s="31" t="n"/>
      <ns0:c r="F10" s="31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1" t="n"/>
      <ns0:c r="T10" s="31" t="n"/>
      <ns0:c r="U10" s="31" t="n"/>
      <ns0:c r="V10" s="32" t="n"/>
      <ns0:c r="Z10" s="28" t="n"/>
      <ns0:c r="AA10" s="28" t="n"/>
      <ns0:c r="AB10" s="28" t="n"/>
      <ns0:c r="AC10" s="28" t="n"/>
      <ns0:c r="AD10" s="28" t="n"/>
      <ns0:c r="AE10" s="28" t="n"/>
      <ns0:c r="AF10" s="28" t="n"/>
      <ns0:c r="AG10" s="28" t="n"/>
      <ns0:c r="AH10" s="28" t="n"/>
      <ns0:c r="AI10" s="28" t="n"/>
      <ns0:c r="AJ10" s="28" t="n"/>
      <ns0:c r="AK10" s="28" t="n"/>
      <ns0:c r="AL10" s="28" t="n"/>
      <ns0:c r="AM10" s="28" t="n"/>
      <ns0:c r="AN10" s="28" t="n"/>
      <ns0:c r="AO10" s="28" t="n"/>
      <ns0:c r="AP10" s="28" t="n"/>
      <ns0:c r="AQ10" s="28" t="n"/>
      <ns0:c r="AR10" s="28" t="n"/>
      <ns0:c r="AS10" s="28" t="n"/>
      <ns0:c r="AT10" s="28" t="n"/>
      <ns0:c r="AU10" s="28" t="n"/>
      <ns0:c r="AV10" s="28" t="n"/>
      <ns0:c r="AW10" s="28" t="n"/>
      <ns0:c r="AX10" s="28" t="n"/>
      <ns0:c r="AY10" s="28" t="n"/>
      <ns0:c r="AZ10" s="28" t="n"/>
      <ns0:c r="BA10" s="28" t="n"/>
      <ns0:c r="BB10" s="28" t="n"/>
      <ns0:c r="BC10" s="28" t="n"/>
      <ns0:c r="BD10" s="28" t="n"/>
      <ns0:c r="BE10" s="28" t="n"/>
      <ns0:c r="BF10" s="28" t="n"/>
      <ns0:c r="BG10" s="28" t="n"/>
      <ns0:c r="BH10" s="28" t="n"/>
      <ns0:c r="BI10" s="28" t="n"/>
      <ns0:c r="BJ10" s="28" t="n"/>
      <ns0:c r="BK10" s="28" t="n"/>
      <ns0:c r="BL10" s="28" t="n"/>
      <ns0:c r="BM10" s="28" t="n"/>
    </ns0:row>
    <ns0:row r="11" ht="40.6875" customHeight="1">
      <ns0:c r="A11" s="29" t="n"/>
      <ns0:c r="B11" s="30" t="n"/>
      <ns0:c r="C11" s="30" t="n"/>
      <ns0:c r="D11" s="30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2" t="n"/>
      <ns0:c r="Z11" s="28" t="n"/>
      <ns0:c r="AA11" s="28" t="n"/>
      <ns0:c r="AB11" s="28" t="n"/>
      <ns0:c r="AC11" s="28" t="n"/>
      <ns0:c r="AD11" s="28" t="n"/>
      <ns0:c r="AE11" s="28" t="n"/>
      <ns0:c r="AF11" s="28" t="n"/>
      <ns0:c r="AG11" s="28" t="n"/>
      <ns0:c r="AH11" s="28" t="n"/>
      <ns0:c r="AI11" s="28" t="n"/>
      <ns0:c r="AJ11" s="28" t="n"/>
      <ns0:c r="AK11" s="28" t="n"/>
      <ns0:c r="AL11" s="28" t="n"/>
      <ns0:c r="AM11" s="28" t="n"/>
      <ns0:c r="AN11" s="28" t="n"/>
      <ns0:c r="AO11" s="28" t="n"/>
      <ns0:c r="AP11" s="28" t="n"/>
      <ns0:c r="AQ11" s="28" t="n"/>
      <ns0:c r="AR11" s="28" t="n"/>
      <ns0:c r="AS11" s="28" t="n"/>
      <ns0:c r="AT11" s="28" t="n"/>
      <ns0:c r="AU11" s="28" t="n"/>
      <ns0:c r="AV11" s="28" t="n"/>
      <ns0:c r="AW11" s="28" t="n"/>
      <ns0:c r="AX11" s="28" t="n"/>
      <ns0:c r="AY11" s="28" t="n"/>
      <ns0:c r="AZ11" s="28" t="n"/>
      <ns0:c r="BA11" s="28" t="n"/>
      <ns0:c r="BB11" s="28" t="n"/>
      <ns0:c r="BC11" s="28" t="n"/>
      <ns0:c r="BD11" s="28" t="n"/>
      <ns0:c r="BE11" s="28" t="n"/>
      <ns0:c r="BF11" s="28" t="n"/>
      <ns0:c r="BG11" s="28" t="n"/>
      <ns0:c r="BH11" s="28" t="n"/>
      <ns0:c r="BI11" s="28" t="n"/>
      <ns0:c r="BJ11" s="28" t="n"/>
      <ns0:c r="BK11" s="28" t="n"/>
      <ns0:c r="BL11" s="28" t="n"/>
      <ns0:c r="BM11" s="28" t="n"/>
    </ns0:row>
    <ns0:row r="12" ht="40.6875" customHeight="1">
      <ns0:c r="A12" s="29" t="n"/>
      <ns0:c r="B12" s="30" t="n"/>
      <ns0:c r="C12" s="30" t="n"/>
      <ns0:c r="D12" s="30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2" t="n"/>
      <ns0:c r="Z12" s="28" t="n"/>
      <ns0:c r="AA12" s="28" t="n"/>
      <ns0:c r="AB12" s="28" t="n"/>
      <ns0:c r="AC12" s="28" t="n"/>
      <ns0:c r="AD12" s="28" t="n"/>
      <ns0:c r="AE12" s="28" t="n"/>
      <ns0:c r="AF12" s="28" t="n"/>
      <ns0:c r="AG12" s="28" t="n"/>
      <ns0:c r="AH12" s="28" t="n"/>
      <ns0:c r="AI12" s="28" t="n"/>
      <ns0:c r="AJ12" s="28" t="n"/>
      <ns0:c r="AK12" s="28" t="n"/>
      <ns0:c r="AL12" s="28" t="n"/>
      <ns0:c r="AM12" s="28" t="n"/>
      <ns0:c r="AN12" s="28" t="n"/>
      <ns0:c r="AO12" s="28" t="n"/>
      <ns0:c r="AP12" s="28" t="n"/>
      <ns0:c r="AQ12" s="28" t="n"/>
      <ns0:c r="AR12" s="28" t="n"/>
      <ns0:c r="AS12" s="28" t="n"/>
      <ns0:c r="AT12" s="28" t="n"/>
      <ns0:c r="AU12" s="28" t="n"/>
      <ns0:c r="AV12" s="28" t="n"/>
      <ns0:c r="AW12" s="28" t="n"/>
      <ns0:c r="AX12" s="28" t="n"/>
      <ns0:c r="AY12" s="28" t="n"/>
      <ns0:c r="AZ12" s="28" t="n"/>
      <ns0:c r="BA12" s="28" t="n"/>
      <ns0:c r="BB12" s="28" t="n"/>
      <ns0:c r="BC12" s="28" t="n"/>
      <ns0:c r="BD12" s="28" t="n"/>
      <ns0:c r="BE12" s="28" t="n"/>
      <ns0:c r="BF12" s="28" t="n"/>
      <ns0:c r="BG12" s="28" t="n"/>
      <ns0:c r="BH12" s="28" t="n"/>
      <ns0:c r="BI12" s="28" t="n"/>
      <ns0:c r="BJ12" s="28" t="n"/>
      <ns0:c r="BK12" s="28" t="n"/>
      <ns0:c r="BL12" s="28" t="n"/>
      <ns0:c r="BM12" s="28" t="n"/>
    </ns0:row>
    <ns0:row r="13" ht="40.6875" customHeight="1">
      <ns0:c r="A13" s="29" t="n"/>
      <ns0:c r="B13" s="30" t="n"/>
      <ns0:c r="C13" s="30" t="n"/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2" t="n"/>
      <ns0:c r="Z13" s="28" t="n"/>
      <ns0:c r="AA13" s="28" t="n"/>
      <ns0:c r="AB13" s="28" t="n"/>
      <ns0:c r="AC13" s="28" t="n"/>
      <ns0:c r="AD13" s="28" t="n"/>
      <ns0:c r="AE13" s="28" t="n"/>
      <ns0:c r="AF13" s="28" t="n"/>
      <ns0:c r="AG13" s="28" t="n"/>
      <ns0:c r="AH13" s="28" t="n"/>
      <ns0:c r="AI13" s="28" t="n"/>
      <ns0:c r="AJ13" s="28" t="n"/>
      <ns0:c r="AK13" s="28" t="n"/>
      <ns0:c r="AL13" s="28" t="n"/>
      <ns0:c r="AM13" s="28" t="n"/>
      <ns0:c r="AN13" s="28" t="n"/>
      <ns0:c r="AO13" s="28" t="n"/>
      <ns0:c r="AP13" s="28" t="n"/>
      <ns0:c r="AQ13" s="28" t="n"/>
      <ns0:c r="AR13" s="28" t="n"/>
      <ns0:c r="AS13" s="28" t="n"/>
      <ns0:c r="AT13" s="28" t="n"/>
      <ns0:c r="AU13" s="28" t="n"/>
      <ns0:c r="AV13" s="28" t="n"/>
      <ns0:c r="AW13" s="28" t="n"/>
      <ns0:c r="AX13" s="28" t="n"/>
      <ns0:c r="AY13" s="28" t="n"/>
      <ns0:c r="AZ13" s="28" t="n"/>
      <ns0:c r="BA13" s="28" t="n"/>
      <ns0:c r="BB13" s="28" t="n"/>
      <ns0:c r="BC13" s="28" t="n"/>
      <ns0:c r="BD13" s="28" t="n"/>
      <ns0:c r="BE13" s="28" t="n"/>
      <ns0:c r="BF13" s="28" t="n"/>
      <ns0:c r="BG13" s="28" t="n"/>
      <ns0:c r="BH13" s="28" t="n"/>
      <ns0:c r="BI13" s="28" t="n"/>
      <ns0:c r="BJ13" s="28" t="n"/>
      <ns0:c r="BK13" s="28" t="n"/>
      <ns0:c r="BL13" s="28" t="n"/>
      <ns0:c r="BM13" s="28" t="n"/>
    </ns0:row>
    <ns0:row r="14" ht="40.6875" customHeight="1">
      <ns0:c r="A14" s="33" t="inlineStr">
        <ns0:is>
          <ns0:t xml:space="preserve">3.Result </ns0:t>
        </ns0:is>
      </ns0:c>
      <ns0:c r="B14" s="34" t="n"/>
      <ns0:c r="C14" s="34" t="n"/>
      <ns0:c r="D14" s="34" t="n"/>
      <ns0:c r="E14" s="34" t="n"/>
      <ns0:c r="F14" s="34" t="n"/>
      <ns0:c r="G14" s="34" t="n"/>
      <ns0:c r="H14" s="34" t="n"/>
      <ns0:c r="I14" s="34" t="n"/>
      <ns0:c r="J14" s="34" t="n"/>
      <ns0:c r="K14" s="34" t="n"/>
      <ns0:c r="L14" s="34" t="n"/>
      <ns0:c r="M14" s="34" t="n"/>
      <ns0:c r="N14" s="34" t="n"/>
      <ns0:c r="O14" s="34" t="n"/>
      <ns0:c r="P14" s="34" t="n"/>
      <ns0:c r="Q14" s="34" t="n"/>
      <ns0:c r="R14" s="34" t="n"/>
      <ns0:c r="S14" s="34" t="n"/>
      <ns0:c r="T14" s="34" t="n"/>
      <ns0:c r="U14" s="34" t="n"/>
      <ns0:c r="V14" s="35" t="n"/>
      <ns0:c r="W14" s="28" t="n"/>
      <ns0:c r="X14" s="28" t="n"/>
      <ns0:c r="Y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  <ns0:c r="AX14" s="28" t="n"/>
      <ns0:c r="AY14" s="28" t="n"/>
      <ns0:c r="AZ14" s="28" t="n"/>
      <ns0:c r="BA14" s="28" t="n"/>
      <ns0:c r="BB14" s="28" t="n"/>
      <ns0:c r="BC14" s="28" t="n"/>
      <ns0:c r="BD14" s="28" t="n"/>
      <ns0:c r="BE14" s="28" t="n"/>
      <ns0:c r="BF14" s="28" t="n"/>
      <ns0:c r="BG14" s="28" t="n"/>
      <ns0:c r="BH14" s="28" t="n"/>
      <ns0:c r="BI14" s="28" t="n"/>
      <ns0:c r="BJ14" s="28" t="n"/>
      <ns0:c r="BK14" s="28" t="n"/>
      <ns0:c r="BL14" s="28" t="n"/>
      <ns0:c r="BM14" s="28" t="n"/>
    </ns0:row>
    <ns0:row r="15" ht="48" customHeight="1">
      <ns0:c r="A15" s="36" t="n"/>
      <ns0:c r="B15" s="37" t="inlineStr">
        <ns0:is>
          <ns0:t>RESULT CHECKING FUNCTION OF MODEL BRS-2015</ns0:t>
        </ns0:is>
      </ns0:c>
      <ns0:c r="C15" s="37" t="n"/>
      <ns0:c r="D15" s="38" t="n"/>
      <ns0:c r="E15" s="39" t="n"/>
      <ns0:c r="F15" s="40" t="n"/>
      <ns0:c r="G15" s="40" t="n"/>
      <ns0:c r="H15" s="40" t="n"/>
      <ns0:c r="I15" s="40" t="n"/>
      <ns0:c r="J15" s="40" t="n"/>
      <ns0:c r="K15" s="40" t="n"/>
      <ns0:c r="L15" s="40" t="n"/>
      <ns0:c r="M15" s="41" t="n"/>
      <ns0:c r="N15" s="39" t="n"/>
      <ns0:c r="O15" s="39" t="n"/>
      <ns0:c r="P15" s="39" t="n"/>
      <ns0:c r="Q15" s="39" t="n"/>
      <ns0:c r="R15" s="39" t="n"/>
      <ns0:c r="S15" s="39" t="n"/>
      <ns0:c r="T15" s="39" t="n"/>
      <ns0:c r="U15" s="42" t="n"/>
      <ns0:c r="V15" s="43" t="n"/>
      <ns0:c r="W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  <ns0:c r="BH15" s="28" t="n"/>
      <ns0:c r="BI15" s="28" t="n"/>
      <ns0:c r="BJ15" s="28" t="n"/>
      <ns0:c r="BK15" s="28" t="n"/>
      <ns0:c r="BL15" s="28" t="n"/>
      <ns0:c r="BM15" s="28" t="n"/>
    </ns0:row>
    <ns0:row r="16" ht="48" customHeight="1">
      <ns0:c r="A16" s="36" t="n"/>
      <ns0:c r="B16" s="44" t="inlineStr">
        <ns0:is>
          <ns0:t>Date</ns0:t>
        </ns0:is>
      </ns0:c>
      <ns0:c r="C16" s="44" t="inlineStr">
        <ns0:is>
          <ns0:t>Type</ns0:t>
        </ns0:is>
      </ns0:c>
      <ns0:c r="D16" s="45" t="n"/>
      <ns0:c r="E16" s="46" t="inlineStr">
        <ns0:is>
          <ns0:t xml:space="preserve">Input </ns0:t>
        </ns0:is>
      </ns0:c>
      <ns0:c r="F16" s="44" t="inlineStr">
        <ns0:is>
          <ns0:t xml:space="preserve">OK </ns0:t>
        </ns0:is>
      </ns0:c>
      <ns0:c r="G16" s="44" t="inlineStr">
        <ns0:is>
          <ns0:t xml:space="preserve">Sigma </ns0:t>
        </ns0:is>
      </ns0:c>
      <ns0:c r="H16" s="23" t="n"/>
      <ns0:c r="I16" s="23" t="n"/>
      <ns0:c r="J16" s="47" t="n"/>
      <ns0:c r="K16" s="44" t="inlineStr">
        <ns0:is>
          <ns0:t xml:space="preserve">Hearing </ns0:t>
        </ns0:is>
      </ns0:c>
      <ns0:c r="L16" s="47" t="n"/>
      <ns0:c r="M16" s="44" t="inlineStr">
        <ns0:is>
          <ns0:t>Total NG</ns0:t>
        </ns0:is>
      </ns0:c>
      <ns0:c r="N16" s="44" t="inlineStr">
        <ns0:is>
          <ns0:t>Total NG rate</ns0:t>
        </ns0:is>
      </ns0:c>
      <ns0:c r="O16" s="44" t="inlineStr">
        <ns0:is>
          <ns0:t>Recheck Hearing</ns0:t>
        </ns0:is>
      </ns0:c>
      <ns0:c r="P16" s="47" t="n"/>
      <ns0:c r="Q16" s="44" t="inlineStr">
        <ns0:is>
          <ns0:t>Total NG</ns0:t>
        </ns0:is>
      </ns0:c>
      <ns0:c r="R16" s="44" t="inlineStr">
        <ns0:is>
          <ns0:t>Total NG rate</ns0:t>
        </ns0:is>
      </ns0:c>
      <ns0:c r="S16" s="39" t="n"/>
      <ns0:c r="T16" s="39" t="n"/>
      <ns0:c r="U16" s="42" t="n"/>
      <ns0:c r="V16" s="43" t="n"/>
      <ns0:c r="W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  <ns0:c r="BI16" s="28" t="n"/>
      <ns0:c r="BJ16" s="28" t="n"/>
      <ns0:c r="BK16" s="28" t="n"/>
      <ns0:c r="BL16" s="28" t="n"/>
      <ns0:c r="BM16" s="28" t="n"/>
    </ns0:row>
    <ns0:row r="17" ht="48" customHeight="1">
      <ns0:c r="A17" s="36" t="n"/>
      <ns0:c r="B17" s="48" t="n"/>
      <ns0:c r="C17" s="18" t="n"/>
      <ns0:c r="D17" s="17" t="n"/>
      <ns0:c r="E17" s="48" t="n"/>
      <ns0:c r="F17" s="48" t="n"/>
      <ns0:c r="G17" s="44" t="inlineStr">
        <ns0:is>
          <ns0:t xml:space="preserve">SPL </ns0:t>
        </ns0:is>
      </ns0:c>
      <ns0:c r="H17" s="44" t="inlineStr">
        <ns0:is>
          <ns0:t xml:space="preserve">THD </ns0:t>
        </ns0:is>
      </ns0:c>
      <ns0:c r="I17" s="44" t="inlineStr">
        <ns0:is>
          <ns0:t xml:space="preserve">SPL+THD </ns0:t>
        </ns0:is>
      </ns0:c>
      <ns0:c r="J17" s="44" t="inlineStr">
        <ns0:is>
          <ns0:t>SPL+THD+F0</ns0:t>
        </ns0:is>
      </ns0:c>
      <ns0:c r="K17" s="44" t="inlineStr">
        <ns0:is>
          <ns0:t xml:space="preserve">Noise </ns0:t>
        </ns0:is>
      </ns0:c>
      <ns0:c r="L17" s="44" t="inlineStr">
        <ns0:is>
          <ns0:t xml:space="preserve">Touch </ns0:t>
        </ns0:is>
      </ns0:c>
      <ns0:c r="M17" s="48" t="n"/>
      <ns0:c r="N17" s="48" t="n"/>
      <ns0:c r="O17" s="44" t="inlineStr">
        <ns0:is>
          <ns0:t xml:space="preserve">Noise </ns0:t>
        </ns0:is>
      </ns0:c>
      <ns0:c r="P17" s="44" t="inlineStr">
        <ns0:is>
          <ns0:t xml:space="preserve">Touch </ns0:t>
        </ns0:is>
      </ns0:c>
      <ns0:c r="Q17" s="48" t="n"/>
      <ns0:c r="R17" s="48" t="n"/>
      <ns0:c r="S17" s="39" t="n"/>
      <ns0:c r="T17" s="39" t="n"/>
      <ns0:c r="U17" s="42" t="n"/>
      <ns0:c r="V17" s="43" t="n"/>
      <ns0:c r="W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  <ns0:c r="BI17" s="28" t="n"/>
      <ns0:c r="BJ17" s="28" t="n"/>
      <ns0:c r="BK17" s="28" t="n"/>
      <ns0:c r="BL17" s="28" t="n"/>
      <ns0:c r="BM17" s="28" t="n"/>
    </ns0:row>
    <ns0:row r="18">
      <ns0:c r="A18" s="49" t="n"/>
      <ns0:c r="B18" s="50" t="n">
        <ns0:v>45485</ns0:v>
      </ns0:c>
      <ns0:c r="C18" s="52" t="inlineStr">
        <ns0:is>
          <ns0:t>UV LED CURE 2 ( VP+DOME )</ns0:t>
        </ns0:is>
      </ns0:c>
      <ns0:c r="D18" s="52" t="inlineStr">
        <ns0:is>
          <ns0:t>Position 1</ns0:t>
        </ns0:is>
      </ns0:c>
      <ns0:c r="E18" s="53" t="n">
        <ns0:v>130</ns0:v>
      </ns0:c>
      <ns0:c r="F18" s="54" t="n">
        <ns0:v>116</ns0:v>
      </ns0:c>
      <ns0:c r="G18" s="54" t="n">
        <ns0:v>0</ns0:v>
      </ns0:c>
      <ns0:c r="H18" s="54" t="n">
        <ns0:v>0</ns0:v>
      </ns0:c>
      <ns0:c r="I18" s="54" t="n">
        <ns0:v>0</ns0:v>
      </ns0:c>
      <ns0:c r="J18" s="54" t="n">
        <ns0:v>0</ns0:v>
      </ns0:c>
      <ns0:c r="K18" s="54" t="n">
        <ns0:v>0</ns0:v>
      </ns0:c>
      <ns0:c r="L18" s="54" t="n">
        <ns0:v>14</ns0:v>
      </ns0:c>
      <ns0:c r="M18" s="54" t="n">
        <ns0:v>14</ns0:v>
      </ns0:c>
      <ns0:c r="N18" s="55" t="n">
        <ns0:v>0.1076923076923077</ns0:v>
      </ns0:c>
      <ns0:c r="O18" s="54" t="n">
        <ns0:v>0</ns0:v>
      </ns0:c>
      <ns0:c r="P18" s="54" t="n">
        <ns0:v>5</ns0:v>
      </ns0:c>
      <ns0:c r="Q18" s="54" t="n">
        <ns0:v>5</ns0:v>
      </ns0:c>
      <ns0:c r="R18" s="55" t="n">
        <ns0:v>0.03846153846153846</ns0:v>
      </ns0:c>
      <ns0:c r="S18" s="56" t="n"/>
      <ns0:c r="T18" s="56" t="n"/>
      <ns0:c r="U18" s="56" t="n"/>
      <ns0:c r="V18" s="57" t="n"/>
    </ns0:row>
    <ns0:row r="19">
      <ns0:c r="A19" s="49" t="n"/>
      <ns0:c r="B19" s="58" t="n"/>
      <ns0:c r="C19" s="58" t="n"/>
      <ns0:c r="D19" s="48" t="n"/>
      <ns0:c r="E19" s="48" t="n"/>
      <ns0:c r="F19" s="48" t="n"/>
      <ns0:c r="G19" s="59" t="n">
        <ns0:v>0</ns0:v>
      </ns0:c>
      <ns0:c r="H19" s="59" t="n">
        <ns0:v>0</ns0:v>
      </ns0:c>
      <ns0:c r="I19" s="59" t="n">
        <ns0:v>0</ns0:v>
      </ns0:c>
      <ns0:c r="J19" s="59" t="n">
        <ns0:v>0</ns0:v>
      </ns0:c>
      <ns0:c r="K19" s="59" t="n">
        <ns0:v>0</ns0:v>
      </ns0:c>
      <ns0:c r="L19" s="59" t="n">
        <ns0:v>1</ns0:v>
      </ns0:c>
      <ns0:c r="M19" s="48" t="n"/>
      <ns0:c r="N19" s="48" t="n"/>
      <ns0:c r="O19" s="59" t="n">
        <ns0:v>0</ns0:v>
      </ns0:c>
      <ns0:c r="P19" s="59" t="n">
        <ns0:v>1</ns0:v>
      </ns0:c>
      <ns0:c r="Q19" s="48" t="n"/>
      <ns0:c r="R19" s="48" t="n"/>
      <ns0:c r="S19" s="56" t="n"/>
      <ns0:c r="T19" s="56" t="n"/>
      <ns0:c r="U19" s="56" t="n"/>
      <ns0:c r="V19" s="57" t="n"/>
    </ns0:row>
    <ns0:row r="20">
      <ns0:c r="A20" s="49" t="n"/>
      <ns0:c r="B20" s="58" t="n"/>
      <ns0:c r="C20" s="58" t="n"/>
      <ns0:c r="D20" s="52" t="inlineStr">
        <ns0:is>
          <ns0:t>Position 2</ns0:t>
        </ns0:is>
      </ns0:c>
      <ns0:c r="E20" s="53" t="n">
        <ns0:v>140</ns0:v>
      </ns0:c>
      <ns0:c r="F20" s="54" t="n">
        <ns0:v>126</ns0:v>
      </ns0:c>
      <ns0:c r="G20" s="54" t="n">
        <ns0:v>0</ns0:v>
      </ns0:c>
      <ns0:c r="H20" s="54" t="n">
        <ns0:v>1</ns0:v>
      </ns0:c>
      <ns0:c r="I20" s="54" t="n">
        <ns0:v>0</ns0:v>
      </ns0:c>
      <ns0:c r="J20" s="54" t="n">
        <ns0:v>0</ns0:v>
      </ns0:c>
      <ns0:c r="K20" s="54" t="n">
        <ns0:v>1</ns0:v>
      </ns0:c>
      <ns0:c r="L20" s="54" t="n">
        <ns0:v>12</ns0:v>
      </ns0:c>
      <ns0:c r="M20" s="54" t="n">
        <ns0:v>14</ns0:v>
      </ns0:c>
      <ns0:c r="N20" s="55" t="n">
        <ns0:v>0.1</ns0:v>
      </ns0:c>
      <ns0:c r="O20" s="54" t="n">
        <ns0:v>1</ns0:v>
      </ns0:c>
      <ns0:c r="P20" s="54" t="n">
        <ns0:v>4</ns0:v>
      </ns0:c>
      <ns0:c r="Q20" s="54" t="n">
        <ns0:v>6</ns0:v>
      </ns0:c>
      <ns0:c r="R20" s="55" t="n">
        <ns0:v>0.04285714285714286</ns0:v>
      </ns0:c>
      <ns0:c r="S20" s="56" t="n"/>
      <ns0:c r="T20" s="56" t="n"/>
      <ns0:c r="U20" s="56" t="n"/>
      <ns0:c r="V20" s="57" t="n"/>
    </ns0:row>
    <ns0:row r="21">
      <ns0:c r="A21" s="49" t="n"/>
      <ns0:c r="B21" s="58" t="n"/>
      <ns0:c r="C21" s="58" t="n"/>
      <ns0:c r="D21" s="48" t="n"/>
      <ns0:c r="E21" s="48" t="n"/>
      <ns0:c r="F21" s="48" t="n"/>
      <ns0:c r="G21" s="59" t="n">
        <ns0:v>0</ns0:v>
      </ns0:c>
      <ns0:c r="H21" s="59" t="n">
        <ns0:v>0.07142857142857142</ns0:v>
      </ns0:c>
      <ns0:c r="I21" s="59" t="n">
        <ns0:v>0</ns0:v>
      </ns0:c>
      <ns0:c r="J21" s="59" t="n">
        <ns0:v>0</ns0:v>
      </ns0:c>
      <ns0:c r="K21" s="59" t="n">
        <ns0:v>0.07142857142857142</ns0:v>
      </ns0:c>
      <ns0:c r="L21" s="59" t="n">
        <ns0:v>0.8571428571428571</ns0:v>
      </ns0:c>
      <ns0:c r="M21" s="48" t="n"/>
      <ns0:c r="N21" s="48" t="n"/>
      <ns0:c r="O21" s="59" t="n">
        <ns0:v>0.1666666666666667</ns0:v>
      </ns0:c>
      <ns0:c r="P21" s="59" t="n">
        <ns0:v>0.6666666666666666</ns0:v>
      </ns0:c>
      <ns0:c r="Q21" s="48" t="n"/>
      <ns0:c r="R21" s="48" t="n"/>
      <ns0:c r="S21" s="56" t="n"/>
      <ns0:c r="T21" s="56" t="n"/>
      <ns0:c r="U21" s="56" t="n"/>
      <ns0:c r="V21" s="57" t="n"/>
    </ns0:row>
    <ns0:row r="22">
      <ns0:c r="A22" s="49" t="n"/>
      <ns0:c r="B22" s="58" t="n"/>
      <ns0:c r="C22" s="58" t="n"/>
      <ns0:c r="D22" s="52" t="inlineStr">
        <ns0:is>
          <ns0:t>Position 3</ns0:t>
        </ns0:is>
      </ns0:c>
      <ns0:c r="E22" s="53" t="n">
        <ns0:v>114</ns0:v>
      </ns0:c>
      <ns0:c r="F22" s="54" t="n">
        <ns0:v>109</ns0:v>
      </ns0:c>
      <ns0:c r="G22" s="54" t="n">
        <ns0:v>0</ns0:v>
      </ns0:c>
      <ns0:c r="H22" s="54" t="n">
        <ns0:v>0</ns0:v>
      </ns0:c>
      <ns0:c r="I22" s="54" t="n">
        <ns0:v>0</ns0:v>
      </ns0:c>
      <ns0:c r="J22" s="54" t="n">
        <ns0:v>0</ns0:v>
      </ns0:c>
      <ns0:c r="K22" s="54" t="n">
        <ns0:v>1</ns0:v>
      </ns0:c>
      <ns0:c r="L22" s="54" t="n">
        <ns0:v>4</ns0:v>
      </ns0:c>
      <ns0:c r="M22" s="54" t="n">
        <ns0:v>5</ns0:v>
      </ns0:c>
      <ns0:c r="N22" s="55" t="n">
        <ns0:v>0.04385964912280702</ns0:v>
      </ns0:c>
      <ns0:c r="O22" s="54" t="n">
        <ns0:v>1</ns0:v>
      </ns0:c>
      <ns0:c r="P22" s="54" t="n">
        <ns0:v>2</ns0:v>
      </ns0:c>
      <ns0:c r="Q22" s="54" t="n">
        <ns0:v>3</ns0:v>
      </ns0:c>
      <ns0:c r="R22" s="55" t="n">
        <ns0:v>0.02631578947368421</ns0:v>
      </ns0:c>
      <ns0:c r="S22" s="56" t="n"/>
      <ns0:c r="T22" s="56" t="n"/>
      <ns0:c r="U22" s="56" t="n"/>
      <ns0:c r="V22" s="57" t="n"/>
    </ns0:row>
    <ns0:row r="23">
      <ns0:c r="A23" s="49" t="n"/>
      <ns0:c r="B23" s="58" t="n"/>
      <ns0:c r="C23" s="58" t="n"/>
      <ns0:c r="D23" s="48" t="n"/>
      <ns0:c r="E23" s="48" t="n"/>
      <ns0:c r="F23" s="48" t="n"/>
      <ns0:c r="G23" s="59" t="n">
        <ns0:v>0</ns0:v>
      </ns0:c>
      <ns0:c r="H23" s="59" t="n">
        <ns0:v>0</ns0:v>
      </ns0:c>
      <ns0:c r="I23" s="59" t="n">
        <ns0:v>0</ns0:v>
      </ns0:c>
      <ns0:c r="J23" s="59" t="n">
        <ns0:v>0</ns0:v>
      </ns0:c>
      <ns0:c r="K23" s="59" t="n">
        <ns0:v>0.2</ns0:v>
      </ns0:c>
      <ns0:c r="L23" s="59" t="n">
        <ns0:v>0.8</ns0:v>
      </ns0:c>
      <ns0:c r="M23" s="48" t="n"/>
      <ns0:c r="N23" s="48" t="n"/>
      <ns0:c r="O23" s="59" t="n">
        <ns0:v>0.3333333333333333</ns0:v>
      </ns0:c>
      <ns0:c r="P23" s="59" t="n">
        <ns0:v>0.6666666666666666</ns0:v>
      </ns0:c>
      <ns0:c r="Q23" s="48" t="n"/>
      <ns0:c r="R23" s="48" t="n"/>
      <ns0:c r="S23" s="56" t="n"/>
      <ns0:c r="T23" s="56" t="n"/>
      <ns0:c r="U23" s="56" t="n"/>
      <ns0:c r="V23" s="57" t="n"/>
    </ns0:row>
    <ns0:row r="24">
      <ns0:c r="A24" s="49" t="n"/>
      <ns0:c r="B24" s="58" t="n"/>
      <ns0:c r="C24" s="58" t="n"/>
      <ns0:c r="D24" s="52" t="inlineStr">
        <ns0:is>
          <ns0:t>Position 4</ns0:t>
        </ns0:is>
      </ns0:c>
      <ns0:c r="E24" s="53" t="n">
        <ns0:v>120</ns0:v>
      </ns0:c>
      <ns0:c r="F24" s="54" t="n">
        <ns0:v>101</ns0:v>
      </ns0:c>
      <ns0:c r="G24" s="54" t="n">
        <ns0:v>0</ns0:v>
      </ns0:c>
      <ns0:c r="H24" s="54" t="n">
        <ns0:v>1</ns0:v>
      </ns0:c>
      <ns0:c r="I24" s="54" t="n">
        <ns0:v>0</ns0:v>
      </ns0:c>
      <ns0:c r="J24" s="54" t="n">
        <ns0:v>0</ns0:v>
      </ns0:c>
      <ns0:c r="K24" s="54" t="n">
        <ns0:v>0</ns0:v>
      </ns0:c>
      <ns0:c r="L24" s="54" t="n">
        <ns0:v>18</ns0:v>
      </ns0:c>
      <ns0:c r="M24" s="54" t="n">
        <ns0:v>19</ns0:v>
      </ns0:c>
      <ns0:c r="N24" s="55" t="n">
        <ns0:v>0.1583333333333333</ns0:v>
      </ns0:c>
      <ns0:c r="O24" s="54" t="n">
        <ns0:v>0</ns0:v>
      </ns0:c>
      <ns0:c r="P24" s="54" t="n">
        <ns0:v>11</ns0:v>
      </ns0:c>
      <ns0:c r="Q24" s="54" t="n">
        <ns0:v>12</ns0:v>
      </ns0:c>
      <ns0:c r="R24" s="55" t="n">
        <ns0:v>0.1</ns0:v>
      </ns0:c>
      <ns0:c r="S24" s="56" t="n"/>
      <ns0:c r="T24" s="56" t="n"/>
      <ns0:c r="U24" s="56" t="n"/>
      <ns0:c r="V24" s="57" t="n"/>
    </ns0:row>
    <ns0:row r="25">
      <ns0:c r="A25" s="49" t="n"/>
      <ns0:c r="B25" s="58" t="n"/>
      <ns0:c r="C25" s="58" t="n"/>
      <ns0:c r="D25" s="48" t="n"/>
      <ns0:c r="E25" s="48" t="n"/>
      <ns0:c r="F25" s="48" t="n"/>
      <ns0:c r="G25" s="59" t="n">
        <ns0:v>0</ns0:v>
      </ns0:c>
      <ns0:c r="H25" s="59" t="n">
        <ns0:v>0.05263157894736842</ns0:v>
      </ns0:c>
      <ns0:c r="I25" s="59" t="n">
        <ns0:v>0</ns0:v>
      </ns0:c>
      <ns0:c r="J25" s="59" t="n">
        <ns0:v>0</ns0:v>
      </ns0:c>
      <ns0:c r="K25" s="59" t="n">
        <ns0:v>0</ns0:v>
      </ns0:c>
      <ns0:c r="L25" s="59" t="n">
        <ns0:v>0.9473684210526315</ns0:v>
      </ns0:c>
      <ns0:c r="M25" s="48" t="n"/>
      <ns0:c r="N25" s="48" t="n"/>
      <ns0:c r="O25" s="59" t="n">
        <ns0:v>0</ns0:v>
      </ns0:c>
      <ns0:c r="P25" s="59" t="n">
        <ns0:v>0.9166666666666666</ns0:v>
      </ns0:c>
      <ns0:c r="Q25" s="48" t="n"/>
      <ns0:c r="R25" s="48" t="n"/>
      <ns0:c r="S25" s="56" t="n"/>
      <ns0:c r="T25" s="56" t="n"/>
      <ns0:c r="U25" s="56" t="n"/>
      <ns0:c r="V25" s="57" t="n"/>
    </ns0:row>
    <ns0:row r="26">
      <ns0:c r="A26" s="49" t="n"/>
      <ns0:c r="B26" s="58" t="n"/>
      <ns0:c r="C26" s="58" t="n"/>
      <ns0:c r="D26" s="60" t="inlineStr">
        <ns0:is>
          <ns0:t>Total</ns0:t>
        </ns0:is>
      </ns0:c>
      <ns0:c r="E26" s="61" t="n">
        <ns0:v>504</ns0:v>
      </ns0:c>
      <ns0:c r="F26" s="62" t="n">
        <ns0:v>452</ns0:v>
      </ns0:c>
      <ns0:c r="G26" s="62" t="n">
        <ns0:v>0</ns0:v>
      </ns0:c>
      <ns0:c r="H26" s="62" t="n">
        <ns0:v>2</ns0:v>
      </ns0:c>
      <ns0:c r="I26" s="62" t="n">
        <ns0:v>0</ns0:v>
      </ns0:c>
      <ns0:c r="J26" s="62" t="n">
        <ns0:v>0</ns0:v>
      </ns0:c>
      <ns0:c r="K26" s="62" t="n">
        <ns0:v>2</ns0:v>
      </ns0:c>
      <ns0:c r="L26" s="62" t="n">
        <ns0:v>48</ns0:v>
      </ns0:c>
      <ns0:c r="M26" s="62" t="n">
        <ns0:v>52</ns0:v>
      </ns0:c>
      <ns0:c r="N26" s="63" t="n">
        <ns0:v>0.1031746031746032</ns0:v>
      </ns0:c>
      <ns0:c r="O26" s="62" t="n">
        <ns0:v>2</ns0:v>
      </ns0:c>
      <ns0:c r="P26" s="62" t="n">
        <ns0:v>22</ns0:v>
      </ns0:c>
      <ns0:c r="Q26" s="62" t="n">
        <ns0:v>26</ns0:v>
      </ns0:c>
      <ns0:c r="R26" s="63" t="n">
        <ns0:v>0.05158730158730158</ns0:v>
      </ns0:c>
      <ns0:c r="S26" s="56" t="n"/>
      <ns0:c r="T26" s="56" t="n"/>
      <ns0:c r="U26" s="56" t="n"/>
      <ns0:c r="V26" s="57" t="n"/>
    </ns0:row>
    <ns0:row r="27">
      <ns0:c r="A27" s="49" t="n"/>
      <ns0:c r="B27" s="58" t="n"/>
      <ns0:c r="C27" s="48" t="n"/>
      <ns0:c r="D27" s="48" t="n"/>
      <ns0:c r="E27" s="48" t="n"/>
      <ns0:c r="F27" s="48" t="n"/>
      <ns0:c r="G27" s="64" t="n">
        <ns0:v>0</ns0:v>
      </ns0:c>
      <ns0:c r="H27" s="64" t="n">
        <ns0:v>0.03846153846153846</ns0:v>
      </ns0:c>
      <ns0:c r="I27" s="64" t="n">
        <ns0:v>0</ns0:v>
      </ns0:c>
      <ns0:c r="J27" s="64" t="n">
        <ns0:v>0</ns0:v>
      </ns0:c>
      <ns0:c r="K27" s="64" t="n">
        <ns0:v>0.03846153846153846</ns0:v>
      </ns0:c>
      <ns0:c r="L27" s="64" t="n">
        <ns0:v>0.9230769230769231</ns0:v>
      </ns0:c>
      <ns0:c r="M27" s="48" t="n"/>
      <ns0:c r="N27" s="48" t="n"/>
      <ns0:c r="O27" s="64" t="n">
        <ns0:v>0.07692307692307693</ns0:v>
      </ns0:c>
      <ns0:c r="P27" s="64" t="n">
        <ns0:v>0.8461538461538461</ns0:v>
      </ns0:c>
      <ns0:c r="Q27" s="48" t="n"/>
      <ns0:c r="R27" s="48" t="n"/>
      <ns0:c r="S27" s="56" t="n"/>
      <ns0:c r="T27" s="56" t="n"/>
      <ns0:c r="U27" s="56" t="n"/>
      <ns0:c r="V27" s="57" t="n"/>
    </ns0:row>
    <ns0:row r="28">
      <ns0:c r="A28" s="49" t="n"/>
      <ns0:c r="B28" s="58" t="n"/>
      <ns0:c r="C28" s="52" t="inlineStr">
        <ns0:is>
          <ns0:t>Normal</ns0:t>
        </ns0:is>
      </ns0:c>
      <ns0:c r="D28" s="45" t="n"/>
      <ns0:c r="E28" s="53" t="n">
        <ns0:v>730</ns0:v>
      </ns0:c>
      <ns0:c r="F28" s="54" t="n">
        <ns0:v>641</ns0:v>
      </ns0:c>
      <ns0:c r="G28" s="54" t="n">
        <ns0:v>0</ns0:v>
      </ns0:c>
      <ns0:c r="H28" s="54" t="n">
        <ns0:v>4</ns0:v>
      </ns0:c>
      <ns0:c r="I28" s="54" t="n">
        <ns0:v>3</ns0:v>
      </ns0:c>
      <ns0:c r="J28" s="54" t="n">
        <ns0:v>0</ns0:v>
      </ns0:c>
      <ns0:c r="K28" s="54" t="n">
        <ns0:v>10</ns0:v>
      </ns0:c>
      <ns0:c r="L28" s="54" t="n">
        <ns0:v>72</ns0:v>
      </ns0:c>
      <ns0:c r="M28" s="54" t="n">
        <ns0:v>89</ns0:v>
      </ns0:c>
      <ns0:c r="N28" s="55" t="n">
        <ns0:v>0.1219178082191781</ns0:v>
      </ns0:c>
      <ns0:c r="O28" s="54" t="n">
        <ns0:v>7</ns0:v>
      </ns0:c>
      <ns0:c r="P28" s="54" t="n">
        <ns0:v>41</ns0:v>
      </ns0:c>
      <ns0:c r="Q28" s="54" t="n">
        <ns0:v>55</ns0:v>
      </ns0:c>
      <ns0:c r="R28" s="55" t="n">
        <ns0:v>0.07534246575342465</ns0:v>
      </ns0:c>
      <ns0:c r="S28" s="56" t="n"/>
      <ns0:c r="T28" s="56" t="n"/>
      <ns0:c r="U28" s="56" t="n"/>
      <ns0:c r="V28" s="57" t="n"/>
    </ns0:row>
    <ns0:row r="29">
      <ns0:c r="A29" s="49" t="n"/>
      <ns0:c r="B29" s="48" t="n"/>
      <ns0:c r="C29" s="18" t="n"/>
      <ns0:c r="D29" s="17" t="n"/>
      <ns0:c r="E29" s="48" t="n"/>
      <ns0:c r="F29" s="48" t="n"/>
      <ns0:c r="G29" s="59" t="n">
        <ns0:v>0</ns0:v>
      </ns0:c>
      <ns0:c r="H29" s="59" t="n">
        <ns0:v>0.0449438202247191</ns0:v>
      </ns0:c>
      <ns0:c r="I29" s="59" t="n">
        <ns0:v>0.03370786516853932</ns0:v>
      </ns0:c>
      <ns0:c r="J29" s="59" t="n">
        <ns0:v>0</ns0:v>
      </ns0:c>
      <ns0:c r="K29" s="59" t="n">
        <ns0:v>0.1123595505617977</ns0:v>
      </ns0:c>
      <ns0:c r="L29" s="59" t="n">
        <ns0:v>0.8089887640449438</ns0:v>
      </ns0:c>
      <ns0:c r="M29" s="48" t="n"/>
      <ns0:c r="N29" s="48" t="n"/>
      <ns0:c r="O29" s="59" t="n">
        <ns0:v>0.1272727272727273</ns0:v>
      </ns0:c>
      <ns0:c r="P29" s="59" t="n">
        <ns0:v>0.7454545454545455</ns0:v>
      </ns0:c>
      <ns0:c r="Q29" s="48" t="n"/>
      <ns0:c r="R29" s="48" t="n"/>
      <ns0:c r="S29" s="56" t="n"/>
      <ns0:c r="T29" s="56" t="n"/>
      <ns0:c r="U29" s="56" t="n"/>
      <ns0:c r="V29" s="57" t="n"/>
    </ns0:row>
    <ns0:row r="30">
      <ns0:c r="A30" s="49" t="n"/>
      <ns0:c r="B30" s="56" t="n"/>
      <ns0:c r="C30" s="56" t="n"/>
      <ns0:c r="D30" s="56" t="n"/>
      <ns0:c r="E30" s="56" t="n"/>
      <ns0:c r="F30" s="56" t="n"/>
      <ns0:c r="G30" s="56" t="n"/>
      <ns0:c r="H30" s="56" t="n"/>
      <ns0:c r="I30" s="56" t="n"/>
      <ns0:c r="J30" s="56" t="n"/>
      <ns0:c r="K30" s="56" t="n"/>
      <ns0:c r="L30" s="56" t="n"/>
      <ns0:c r="M30" s="56" t="n"/>
      <ns0:c r="N30" s="56" t="n"/>
      <ns0:c r="O30" s="56" t="n"/>
      <ns0:c r="P30" s="56" t="n"/>
      <ns0:c r="Q30" s="56" t="n"/>
      <ns0:c r="R30" s="56" t="n"/>
      <ns0:c r="S30" s="56" t="n"/>
      <ns0:c r="T30" s="56" t="n"/>
      <ns0:c r="U30" s="56" t="n"/>
      <ns0:c r="V30" s="57" t="n"/>
    </ns0:row>
    <ns0:row r="31">
      <ns0:c r="A31" s="49" t="n"/>
      <ns0:c r="B31" s="56" t="n"/>
      <ns0:c r="C31" s="56" t="n"/>
      <ns0:c r="D31" s="56" t="n"/>
      <ns0:c r="E31" s="56" t="n"/>
      <ns0:c r="F31" s="56" t="n"/>
      <ns0:c r="G31" s="56" t="n"/>
      <ns0:c r="H31" s="56" t="n"/>
      <ns0:c r="I31" s="56" t="n"/>
      <ns0:c r="J31" s="56" t="n"/>
      <ns0:c r="K31" s="56" t="n"/>
      <ns0:c r="L31" s="56" t="n"/>
      <ns0:c r="M31" s="56" t="n"/>
      <ns0:c r="N31" s="56" t="n"/>
      <ns0:c r="O31" s="56" t="n"/>
      <ns0:c r="P31" s="56" t="n"/>
      <ns0:c r="Q31" s="56" t="n"/>
      <ns0:c r="R31" s="56" t="n"/>
      <ns0:c r="S31" s="56" t="n"/>
      <ns0:c r="T31" s="56" t="n"/>
      <ns0:c r="U31" s="56" t="n"/>
      <ns0:c r="V31" s="57" t="n"/>
    </ns0:row>
    <ns0:row r="32">
      <ns0:c r="A32" s="49" t="n"/>
      <ns0:c r="B32" s="56" t="n"/>
      <ns0:c r="C32" s="56" t="n"/>
      <ns0:c r="D32" s="56" t="n"/>
      <ns0:c r="E32" s="56" t="n"/>
      <ns0:c r="F32" s="56" t="n"/>
      <ns0:c r="G32" s="56" t="n"/>
      <ns0:c r="H32" s="56" t="n"/>
      <ns0:c r="I32" s="56" t="n"/>
      <ns0:c r="J32" s="56" t="n"/>
      <ns0:c r="K32" s="56" t="n"/>
      <ns0:c r="L32" s="56" t="n"/>
      <ns0:c r="M32" s="56" t="n"/>
      <ns0:c r="N32" s="56" t="n"/>
      <ns0:c r="O32" s="56" t="n"/>
      <ns0:c r="P32" s="56" t="n"/>
      <ns0:c r="Q32" s="56" t="n"/>
      <ns0:c r="R32" s="56" t="n"/>
      <ns0:c r="S32" s="56" t="n"/>
      <ns0:c r="T32" s="56" t="n"/>
      <ns0:c r="U32" s="56" t="n"/>
      <ns0:c r="V32" s="57" t="n"/>
    </ns0:row>
    <ns0:row r="33">
      <ns0:c r="A33" s="49" t="n"/>
      <ns0:c r="B33" s="56" t="n"/>
      <ns0:c r="C33" s="56" t="n"/>
      <ns0:c r="D33" s="56" t="n"/>
      <ns0:c r="E33" s="56" t="n"/>
      <ns0:c r="F33" s="56" t="n"/>
      <ns0:c r="G33" s="56" t="n"/>
      <ns0:c r="H33" s="56" t="n"/>
      <ns0:c r="I33" s="56" t="n"/>
      <ns0:c r="J33" s="56" t="n"/>
      <ns0:c r="K33" s="56" t="n"/>
      <ns0:c r="L33" s="56" t="n"/>
      <ns0:c r="M33" s="56" t="n"/>
      <ns0:c r="N33" s="56" t="n"/>
      <ns0:c r="O33" s="56" t="n"/>
      <ns0:c r="P33" s="56" t="n"/>
      <ns0:c r="Q33" s="56" t="n"/>
      <ns0:c r="R33" s="56" t="n"/>
      <ns0:c r="S33" s="56" t="n"/>
      <ns0:c r="T33" s="56" t="n"/>
      <ns0:c r="U33" s="56" t="n"/>
      <ns0:c r="V33" s="57" t="n"/>
    </ns0:row>
    <ns0:row r="34">
      <ns0:c r="A34" s="49" t="n"/>
      <ns0:c r="B34" s="56" t="n"/>
      <ns0:c r="C34" s="56" t="n"/>
      <ns0:c r="D34" s="56" t="n"/>
      <ns0:c r="E34" s="56" t="n"/>
      <ns0:c r="F34" s="56" t="n"/>
      <ns0:c r="G34" s="56" t="n"/>
      <ns0:c r="H34" s="56" t="n"/>
      <ns0:c r="I34" s="56" t="n"/>
      <ns0:c r="J34" s="56" t="n"/>
      <ns0:c r="K34" s="56" t="n"/>
      <ns0:c r="L34" s="56" t="n"/>
      <ns0:c r="M34" s="56" t="n"/>
      <ns0:c r="N34" s="56" t="n"/>
      <ns0:c r="O34" s="56" t="n"/>
      <ns0:c r="P34" s="56" t="n"/>
      <ns0:c r="Q34" s="56" t="n"/>
      <ns0:c r="R34" s="56" t="n"/>
      <ns0:c r="S34" s="56" t="n"/>
      <ns0:c r="T34" s="56" t="n"/>
      <ns0:c r="U34" s="56" t="n"/>
      <ns0:c r="V34" s="57" t="n"/>
    </ns0:row>
    <ns0:row r="35">
      <ns0:c r="A35" s="49" t="n"/>
      <ns0:c r="B35" s="56" t="n"/>
      <ns0:c r="C35" s="56" t="n"/>
      <ns0:c r="D35" s="56" t="n"/>
      <ns0:c r="E35" s="56" t="n"/>
      <ns0:c r="F35" s="56" t="n"/>
      <ns0:c r="G35" s="56" t="n"/>
      <ns0:c r="H35" s="56" t="n"/>
      <ns0:c r="I35" s="56" t="n"/>
      <ns0:c r="J35" s="56" t="n"/>
      <ns0:c r="K35" s="56" t="n"/>
      <ns0:c r="L35" s="56" t="n"/>
      <ns0:c r="M35" s="56" t="n"/>
      <ns0:c r="N35" s="56" t="n"/>
      <ns0:c r="O35" s="56" t="n"/>
      <ns0:c r="P35" s="56" t="n"/>
      <ns0:c r="Q35" s="56" t="n"/>
      <ns0:c r="R35" s="56" t="n"/>
      <ns0:c r="S35" s="56" t="n"/>
      <ns0:c r="T35" s="56" t="n"/>
      <ns0:c r="U35" s="56" t="n"/>
      <ns0:c r="V35" s="57" t="n"/>
    </ns0:row>
    <ns0:row r="36">
      <ns0:c r="A36" s="49" t="n"/>
      <ns0:c r="B36" s="56" t="n"/>
      <ns0:c r="C36" s="56" t="n"/>
      <ns0:c r="D36" s="56" t="n"/>
      <ns0:c r="E36" s="56" t="n"/>
      <ns0:c r="F36" s="56" t="n"/>
      <ns0:c r="G36" s="56" t="n"/>
      <ns0:c r="H36" s="56" t="n"/>
      <ns0:c r="I36" s="56" t="n"/>
      <ns0:c r="J36" s="56" t="n"/>
      <ns0:c r="K36" s="56" t="n"/>
      <ns0:c r="L36" s="56" t="n"/>
      <ns0:c r="M36" s="56" t="n"/>
      <ns0:c r="N36" s="56" t="n"/>
      <ns0:c r="O36" s="56" t="n"/>
      <ns0:c r="P36" s="56" t="n"/>
      <ns0:c r="Q36" s="56" t="n"/>
      <ns0:c r="R36" s="56" t="n"/>
      <ns0:c r="S36" s="56" t="n"/>
      <ns0:c r="T36" s="56" t="n"/>
      <ns0:c r="U36" s="56" t="n"/>
      <ns0:c r="V36" s="57" t="n"/>
    </ns0:row>
    <ns0:row r="37">
      <ns0:c r="A37" s="49" t="n"/>
      <ns0:c r="B37" s="56" t="n"/>
      <ns0:c r="C37" s="56" t="n"/>
      <ns0:c r="D37" s="56" t="n"/>
      <ns0:c r="E37" s="56" t="n"/>
      <ns0:c r="F37" s="56" t="n"/>
      <ns0:c r="G37" s="56" t="n"/>
      <ns0:c r="H37" s="56" t="n"/>
      <ns0:c r="I37" s="56" t="n"/>
      <ns0:c r="J37" s="56" t="n"/>
      <ns0:c r="K37" s="56" t="n"/>
      <ns0:c r="L37" s="56" t="n"/>
      <ns0:c r="M37" s="56" t="n"/>
      <ns0:c r="N37" s="56" t="n"/>
      <ns0:c r="O37" s="56" t="n"/>
      <ns0:c r="P37" s="56" t="n"/>
      <ns0:c r="Q37" s="56" t="n"/>
      <ns0:c r="R37" s="56" t="n"/>
      <ns0:c r="S37" s="56" t="n"/>
      <ns0:c r="T37" s="56" t="n"/>
      <ns0:c r="U37" s="56" t="n"/>
      <ns0:c r="V37" s="57" t="n"/>
    </ns0:row>
    <ns0:row r="38">
      <ns0:c r="A38" s="49" t="n"/>
      <ns0:c r="B38" s="56" t="n"/>
      <ns0:c r="C38" s="56" t="n"/>
      <ns0:c r="D38" s="56" t="n"/>
      <ns0:c r="E38" s="56" t="n"/>
      <ns0:c r="F38" s="56" t="n"/>
      <ns0:c r="G38" s="56" t="n"/>
      <ns0:c r="H38" s="56" t="n"/>
      <ns0:c r="I38" s="56" t="n"/>
      <ns0:c r="J38" s="56" t="n"/>
      <ns0:c r="K38" s="56" t="n"/>
      <ns0:c r="L38" s="56" t="n"/>
      <ns0:c r="M38" s="56" t="n"/>
      <ns0:c r="N38" s="56" t="n"/>
      <ns0:c r="O38" s="56" t="n"/>
      <ns0:c r="P38" s="56" t="n"/>
      <ns0:c r="Q38" s="56" t="n"/>
      <ns0:c r="R38" s="56" t="n"/>
      <ns0:c r="S38" s="56" t="n"/>
      <ns0:c r="T38" s="56" t="n"/>
      <ns0:c r="U38" s="56" t="n"/>
      <ns0:c r="V38" s="57" t="n"/>
    </ns0:row>
    <ns0:row r="39">
      <ns0:c r="A39" s="49" t="n"/>
      <ns0:c r="B39" s="56" t="n"/>
      <ns0:c r="C39" s="56" t="n"/>
      <ns0:c r="D39" s="56" t="n"/>
      <ns0:c r="E39" s="56" t="n"/>
      <ns0:c r="F39" s="56" t="n"/>
      <ns0:c r="G39" s="56" t="n"/>
      <ns0:c r="H39" s="56" t="n"/>
      <ns0:c r="I39" s="56" t="n"/>
      <ns0:c r="J39" s="56" t="n"/>
      <ns0:c r="K39" s="56" t="n"/>
      <ns0:c r="L39" s="56" t="n"/>
      <ns0:c r="M39" s="56" t="n"/>
      <ns0:c r="N39" s="56" t="n"/>
      <ns0:c r="O39" s="56" t="n"/>
      <ns0:c r="P39" s="56" t="n"/>
      <ns0:c r="Q39" s="56" t="n"/>
      <ns0:c r="R39" s="56" t="n"/>
      <ns0:c r="S39" s="56" t="n"/>
      <ns0:c r="T39" s="56" t="n"/>
      <ns0:c r="U39" s="56" t="n"/>
      <ns0:c r="V39" s="57" t="n"/>
    </ns0:row>
    <ns0:row r="40">
      <ns0:c r="A40" s="49" t="n"/>
      <ns0:c r="B40" s="56" t="n"/>
      <ns0:c r="C40" s="56" t="n"/>
      <ns0:c r="D40" s="56" t="n"/>
      <ns0:c r="E40" s="56" t="n"/>
      <ns0:c r="F40" s="56" t="n"/>
      <ns0:c r="G40" s="56" t="n"/>
      <ns0:c r="H40" s="56" t="n"/>
      <ns0:c r="I40" s="56" t="n"/>
      <ns0:c r="J40" s="56" t="n"/>
      <ns0:c r="K40" s="56" t="n"/>
      <ns0:c r="L40" s="56" t="n"/>
      <ns0:c r="M40" s="56" t="n"/>
      <ns0:c r="N40" s="56" t="n"/>
      <ns0:c r="O40" s="56" t="n"/>
      <ns0:c r="P40" s="56" t="n"/>
      <ns0:c r="Q40" s="56" t="n"/>
      <ns0:c r="R40" s="56" t="n"/>
      <ns0:c r="S40" s="56" t="n"/>
      <ns0:c r="T40" s="56" t="n"/>
      <ns0:c r="U40" s="56" t="n"/>
      <ns0:c r="V40" s="57" t="n"/>
    </ns0:row>
    <ns0:row r="41">
      <ns0:c r="A41" s="49" t="n"/>
      <ns0:c r="B41" s="56" t="n"/>
      <ns0:c r="C41" s="56" t="n"/>
      <ns0:c r="D41" s="56" t="n"/>
      <ns0:c r="E41" s="56" t="n"/>
      <ns0:c r="F41" s="56" t="n"/>
      <ns0:c r="G41" s="56" t="n"/>
      <ns0:c r="H41" s="56" t="n"/>
      <ns0:c r="I41" s="56" t="n"/>
      <ns0:c r="J41" s="56" t="n"/>
      <ns0:c r="K41" s="56" t="n"/>
      <ns0:c r="L41" s="56" t="n"/>
      <ns0:c r="M41" s="56" t="n"/>
      <ns0:c r="N41" s="56" t="n"/>
      <ns0:c r="O41" s="56" t="n"/>
      <ns0:c r="P41" s="56" t="n"/>
      <ns0:c r="Q41" s="56" t="n"/>
      <ns0:c r="R41" s="56" t="n"/>
      <ns0:c r="S41" s="56" t="n"/>
      <ns0:c r="T41" s="56" t="n"/>
      <ns0:c r="U41" s="56" t="n"/>
      <ns0:c r="V41" s="57" t="n"/>
    </ns0:row>
    <ns0:row r="42">
      <ns0:c r="A42" s="49" t="n"/>
      <ns0:c r="B42" s="56" t="n"/>
      <ns0:c r="C42" s="56" t="n"/>
      <ns0:c r="D42" s="56" t="n"/>
      <ns0:c r="E42" s="56" t="n"/>
      <ns0:c r="F42" s="56" t="n"/>
      <ns0:c r="G42" s="56" t="n"/>
      <ns0:c r="H42" s="56" t="n"/>
      <ns0:c r="I42" s="56" t="n"/>
      <ns0:c r="J42" s="56" t="n"/>
      <ns0:c r="K42" s="56" t="n"/>
      <ns0:c r="L42" s="56" t="n"/>
      <ns0:c r="M42" s="56" t="n"/>
      <ns0:c r="N42" s="56" t="n"/>
      <ns0:c r="O42" s="56" t="n"/>
      <ns0:c r="P42" s="56" t="n"/>
      <ns0:c r="Q42" s="56" t="n"/>
      <ns0:c r="R42" s="56" t="n"/>
      <ns0:c r="S42" s="56" t="n"/>
      <ns0:c r="T42" s="56" t="n"/>
      <ns0:c r="U42" s="56" t="n"/>
      <ns0:c r="V42" s="57" t="n"/>
    </ns0:row>
    <ns0:row r="43">
      <ns0:c r="A43" s="49" t="n"/>
      <ns0:c r="B43" s="56" t="n"/>
      <ns0:c r="C43" s="56" t="n"/>
      <ns0:c r="D43" s="56" t="n"/>
      <ns0:c r="E43" s="56" t="n"/>
      <ns0:c r="F43" s="56" t="n"/>
      <ns0:c r="G43" s="56" t="n"/>
      <ns0:c r="H43" s="56" t="n"/>
      <ns0:c r="I43" s="56" t="n"/>
      <ns0:c r="J43" s="56" t="n"/>
      <ns0:c r="K43" s="56" t="n"/>
      <ns0:c r="L43" s="56" t="n"/>
      <ns0:c r="M43" s="56" t="n"/>
      <ns0:c r="N43" s="56" t="n"/>
      <ns0:c r="O43" s="56" t="n"/>
      <ns0:c r="P43" s="56" t="n"/>
      <ns0:c r="Q43" s="56" t="n"/>
      <ns0:c r="R43" s="56" t="n"/>
      <ns0:c r="S43" s="56" t="n"/>
      <ns0:c r="T43" s="56" t="n"/>
      <ns0:c r="U43" s="56" t="n"/>
      <ns0:c r="V43" s="57" t="n"/>
    </ns0:row>
    <ns0:row r="44">
      <ns0:c r="A44" s="49" t="n"/>
      <ns0:c r="B44" s="56" t="n"/>
      <ns0:c r="C44" s="56" t="n"/>
      <ns0:c r="D44" s="56" t="n"/>
      <ns0:c r="E44" s="56" t="n"/>
      <ns0:c r="F44" s="56" t="n"/>
      <ns0:c r="G44" s="56" t="n"/>
      <ns0:c r="H44" s="56" t="n"/>
      <ns0:c r="I44" s="56" t="n"/>
      <ns0:c r="J44" s="56" t="n"/>
      <ns0:c r="K44" s="56" t="n"/>
      <ns0:c r="L44" s="56" t="n"/>
      <ns0:c r="M44" s="56" t="n"/>
      <ns0:c r="N44" s="56" t="n"/>
      <ns0:c r="O44" s="56" t="n"/>
      <ns0:c r="P44" s="56" t="n"/>
      <ns0:c r="Q44" s="56" t="n"/>
      <ns0:c r="R44" s="56" t="n"/>
      <ns0:c r="S44" s="56" t="n"/>
      <ns0:c r="T44" s="56" t="n"/>
      <ns0:c r="U44" s="56" t="n"/>
      <ns0:c r="V44" s="57" t="n"/>
    </ns0:row>
    <ns0:row r="45">
      <ns0:c r="A45" s="49" t="n"/>
      <ns0:c r="B45" s="56" t="n"/>
      <ns0:c r="C45" s="56" t="n"/>
      <ns0:c r="D45" s="56" t="n"/>
      <ns0:c r="E45" s="56" t="n"/>
      <ns0:c r="F45" s="56" t="n"/>
      <ns0:c r="G45" s="56" t="n"/>
      <ns0:c r="H45" s="56" t="n"/>
      <ns0:c r="I45" s="56" t="n"/>
      <ns0:c r="J45" s="56" t="n"/>
      <ns0:c r="K45" s="56" t="n"/>
      <ns0:c r="L45" s="56" t="n"/>
      <ns0:c r="M45" s="56" t="n"/>
      <ns0:c r="N45" s="56" t="n"/>
      <ns0:c r="O45" s="56" t="n"/>
      <ns0:c r="P45" s="56" t="n"/>
      <ns0:c r="Q45" s="56" t="n"/>
      <ns0:c r="R45" s="56" t="n"/>
      <ns0:c r="S45" s="56" t="n"/>
      <ns0:c r="T45" s="56" t="n"/>
      <ns0:c r="U45" s="56" t="n"/>
      <ns0:c r="V45" s="57" t="n"/>
    </ns0:row>
    <ns0:row r="46">
      <ns0:c r="A46" s="49" t="n"/>
      <ns0:c r="B46" s="56" t="n"/>
      <ns0:c r="C46" s="56" t="n"/>
      <ns0:c r="D46" s="56" t="n"/>
      <ns0:c r="E46" s="56" t="n"/>
      <ns0:c r="F46" s="56" t="n"/>
      <ns0:c r="G46" s="56" t="n"/>
      <ns0:c r="H46" s="56" t="n"/>
      <ns0:c r="I46" s="56" t="n"/>
      <ns0:c r="J46" s="56" t="n"/>
      <ns0:c r="K46" s="56" t="n"/>
      <ns0:c r="L46" s="56" t="n"/>
      <ns0:c r="M46" s="56" t="n"/>
      <ns0:c r="N46" s="56" t="n"/>
      <ns0:c r="O46" s="56" t="n"/>
      <ns0:c r="P46" s="56" t="n"/>
      <ns0:c r="Q46" s="56" t="n"/>
      <ns0:c r="R46" s="56" t="n"/>
      <ns0:c r="S46" s="56" t="n"/>
      <ns0:c r="T46" s="56" t="n"/>
      <ns0:c r="U46" s="56" t="n"/>
      <ns0:c r="V46" s="57" t="n"/>
    </ns0:row>
    <ns0:row r="47">
      <ns0:c r="A47" s="49" t="n"/>
      <ns0:c r="B47" s="56" t="n"/>
      <ns0:c r="C47" s="56" t="n"/>
      <ns0:c r="D47" s="56" t="n"/>
      <ns0:c r="E47" s="56" t="n"/>
      <ns0:c r="F47" s="56" t="n"/>
      <ns0:c r="G47" s="56" t="n"/>
      <ns0:c r="H47" s="56" t="n"/>
      <ns0:c r="I47" s="56" t="n"/>
      <ns0:c r="J47" s="56" t="n"/>
      <ns0:c r="K47" s="56" t="n"/>
      <ns0:c r="L47" s="56" t="n"/>
      <ns0:c r="M47" s="56" t="n"/>
      <ns0:c r="N47" s="56" t="n"/>
      <ns0:c r="O47" s="56" t="n"/>
      <ns0:c r="P47" s="56" t="n"/>
      <ns0:c r="Q47" s="56" t="n"/>
      <ns0:c r="R47" s="56" t="n"/>
      <ns0:c r="S47" s="56" t="n"/>
      <ns0:c r="T47" s="56" t="n"/>
      <ns0:c r="U47" s="56" t="n"/>
      <ns0:c r="V47" s="57" t="n"/>
    </ns0:row>
    <ns0:row r="48">
      <ns0:c r="A48" s="49" t="n"/>
      <ns0:c r="B48" s="56" t="n"/>
      <ns0:c r="C48" s="56" t="n"/>
      <ns0:c r="D48" s="56" t="n"/>
      <ns0:c r="E48" s="56" t="n"/>
      <ns0:c r="F48" s="56" t="n"/>
      <ns0:c r="G48" s="56" t="n"/>
      <ns0:c r="H48" s="56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56" t="n"/>
      <ns0:c r="Q48" s="56" t="n"/>
      <ns0:c r="R48" s="56" t="n"/>
      <ns0:c r="S48" s="56" t="n"/>
      <ns0:c r="T48" s="56" t="n"/>
      <ns0:c r="U48" s="56" t="n"/>
      <ns0:c r="V48" s="57" t="n"/>
    </ns0:row>
    <ns0:row r="49">
      <ns0:c r="A49" s="49" t="n"/>
      <ns0:c r="B49" s="56" t="n"/>
      <ns0:c r="C49" s="56" t="n"/>
      <ns0:c r="D49" s="56" t="n"/>
      <ns0:c r="E49" s="56" t="n"/>
      <ns0:c r="F49" s="56" t="n"/>
      <ns0:c r="G49" s="56" t="n"/>
      <ns0:c r="H49" s="56" t="n"/>
      <ns0:c r="I49" s="56" t="n"/>
      <ns0:c r="J49" s="56" t="n"/>
      <ns0:c r="K49" s="56" t="n"/>
      <ns0:c r="L49" s="56" t="n"/>
      <ns0:c r="M49" s="56" t="n"/>
      <ns0:c r="N49" s="56" t="n"/>
      <ns0:c r="O49" s="56" t="n"/>
      <ns0:c r="P49" s="56" t="n"/>
      <ns0:c r="Q49" s="56" t="n"/>
      <ns0:c r="R49" s="56" t="n"/>
      <ns0:c r="S49" s="56" t="n"/>
      <ns0:c r="T49" s="56" t="n"/>
      <ns0:c r="U49" s="56" t="n"/>
      <ns0:c r="V49" s="57" t="n"/>
    </ns0:row>
    <ns0:row r="50">
      <ns0:c r="A50" s="49" t="n"/>
      <ns0:c r="B50" s="56" t="n"/>
      <ns0:c r="C50" s="56" t="n"/>
      <ns0:c r="D50" s="56" t="n"/>
      <ns0:c r="E50" s="56" t="n"/>
      <ns0:c r="F50" s="56" t="n"/>
      <ns0:c r="G50" s="56" t="n"/>
      <ns0:c r="H50" s="56" t="n"/>
      <ns0:c r="I50" s="56" t="n"/>
      <ns0:c r="J50" s="56" t="n"/>
      <ns0:c r="K50" s="56" t="n"/>
      <ns0:c r="L50" s="56" t="n"/>
      <ns0:c r="M50" s="56" t="n"/>
      <ns0:c r="N50" s="56" t="n"/>
      <ns0:c r="O50" s="56" t="n"/>
      <ns0:c r="P50" s="56" t="n"/>
      <ns0:c r="Q50" s="56" t="n"/>
      <ns0:c r="R50" s="56" t="n"/>
      <ns0:c r="S50" s="56" t="n"/>
      <ns0:c r="T50" s="56" t="n"/>
      <ns0:c r="U50" s="56" t="n"/>
      <ns0:c r="V50" s="57" t="n"/>
    </ns0:row>
    <ns0:row r="51">
      <ns0:c r="A51" s="49" t="n"/>
      <ns0:c r="B51" s="56" t="n"/>
      <ns0:c r="C51" s="56" t="n"/>
      <ns0:c r="D51" s="56" t="n"/>
      <ns0:c r="E51" s="56" t="n"/>
      <ns0:c r="F51" s="56" t="n"/>
      <ns0:c r="G51" s="56" t="n"/>
      <ns0:c r="H51" s="56" t="n"/>
      <ns0:c r="I51" s="56" t="n"/>
      <ns0:c r="J51" s="56" t="n"/>
      <ns0:c r="K51" s="56" t="n"/>
      <ns0:c r="L51" s="56" t="n"/>
      <ns0:c r="M51" s="56" t="n"/>
      <ns0:c r="N51" s="56" t="n"/>
      <ns0:c r="O51" s="56" t="n"/>
      <ns0:c r="P51" s="56" t="n"/>
      <ns0:c r="Q51" s="56" t="n"/>
      <ns0:c r="R51" s="56" t="n"/>
      <ns0:c r="S51" s="56" t="n"/>
      <ns0:c r="T51" s="56" t="n"/>
      <ns0:c r="U51" s="56" t="n"/>
      <ns0:c r="V51" s="57" t="n"/>
    </ns0:row>
    <ns0:row r="52">
      <ns0:c r="A52" s="49" t="n"/>
      <ns0:c r="B52" s="56" t="n"/>
      <ns0:c r="C52" s="56" t="n"/>
      <ns0:c r="D52" s="56" t="n"/>
      <ns0:c r="E52" s="56" t="n"/>
      <ns0:c r="F52" s="56" t="n"/>
      <ns0:c r="G52" s="56" t="n"/>
      <ns0:c r="H52" s="56" t="n"/>
      <ns0:c r="I52" s="56" t="n"/>
      <ns0:c r="J52" s="56" t="n"/>
      <ns0:c r="K52" s="56" t="n"/>
      <ns0:c r="L52" s="56" t="n"/>
      <ns0:c r="M52" s="56" t="n"/>
      <ns0:c r="N52" s="56" t="n"/>
      <ns0:c r="O52" s="56" t="n"/>
      <ns0:c r="P52" s="56" t="n"/>
      <ns0:c r="Q52" s="56" t="n"/>
      <ns0:c r="R52" s="56" t="n"/>
      <ns0:c r="S52" s="56" t="n"/>
      <ns0:c r="T52" s="56" t="n"/>
      <ns0:c r="U52" s="56" t="n"/>
      <ns0:c r="V52" s="57" t="n"/>
    </ns0:row>
    <ns0:row r="53">
      <ns0:c r="A53" s="49" t="n"/>
      <ns0:c r="B53" s="56" t="n"/>
      <ns0:c r="C53" s="56" t="n"/>
      <ns0:c r="D53" s="56" t="n"/>
      <ns0:c r="E53" s="56" t="n"/>
      <ns0:c r="F53" s="56" t="n"/>
      <ns0:c r="G53" s="56" t="n"/>
      <ns0:c r="H53" s="56" t="n"/>
      <ns0:c r="I53" s="56" t="n"/>
      <ns0:c r="J53" s="56" t="n"/>
      <ns0:c r="K53" s="56" t="n"/>
      <ns0:c r="L53" s="56" t="n"/>
      <ns0:c r="M53" s="56" t="n"/>
      <ns0:c r="N53" s="56" t="n"/>
      <ns0:c r="O53" s="56" t="n"/>
      <ns0:c r="P53" s="56" t="n"/>
      <ns0:c r="Q53" s="56" t="n"/>
      <ns0:c r="R53" s="56" t="n"/>
      <ns0:c r="S53" s="56" t="n"/>
      <ns0:c r="T53" s="56" t="n"/>
      <ns0:c r="U53" s="56" t="n"/>
      <ns0:c r="V53" s="57" t="n"/>
    </ns0:row>
    <ns0:row r="54">
      <ns0:c r="A54" s="49" t="n"/>
      <ns0:c r="B54" s="56" t="n"/>
      <ns0:c r="C54" s="56" t="n"/>
      <ns0:c r="D54" s="56" t="n"/>
      <ns0:c r="E54" s="56" t="n"/>
      <ns0:c r="F54" s="56" t="n"/>
      <ns0:c r="G54" s="56" t="n"/>
      <ns0:c r="H54" s="56" t="n"/>
      <ns0:c r="I54" s="56" t="n"/>
      <ns0:c r="J54" s="56" t="n"/>
      <ns0:c r="K54" s="56" t="n"/>
      <ns0:c r="L54" s="56" t="n"/>
      <ns0:c r="M54" s="56" t="n"/>
      <ns0:c r="N54" s="56" t="n"/>
      <ns0:c r="O54" s="56" t="n"/>
      <ns0:c r="P54" s="56" t="n"/>
      <ns0:c r="Q54" s="56" t="n"/>
      <ns0:c r="R54" s="56" t="n"/>
      <ns0:c r="S54" s="56" t="n"/>
      <ns0:c r="T54" s="56" t="n"/>
      <ns0:c r="U54" s="56" t="n"/>
      <ns0:c r="V54" s="57" t="n"/>
    </ns0:row>
    <ns0:row r="55">
      <ns0:c r="A55" s="49" t="n"/>
      <ns0:c r="B55" s="56" t="n"/>
      <ns0:c r="C55" s="56" t="n"/>
      <ns0:c r="D55" s="56" t="n"/>
      <ns0:c r="E55" s="56" t="n"/>
      <ns0:c r="F55" s="56" t="n"/>
      <ns0:c r="G55" s="56" t="n"/>
      <ns0:c r="H55" s="56" t="n"/>
      <ns0:c r="I55" s="56" t="n"/>
      <ns0:c r="J55" s="56" t="n"/>
      <ns0:c r="K55" s="56" t="n"/>
      <ns0:c r="L55" s="56" t="n"/>
      <ns0:c r="M55" s="56" t="n"/>
      <ns0:c r="N55" s="56" t="n"/>
      <ns0:c r="O55" s="56" t="n"/>
      <ns0:c r="P55" s="56" t="n"/>
      <ns0:c r="Q55" s="56" t="n"/>
      <ns0:c r="R55" s="56" t="n"/>
      <ns0:c r="S55" s="56" t="n"/>
      <ns0:c r="T55" s="56" t="n"/>
      <ns0:c r="U55" s="56" t="n"/>
      <ns0:c r="V55" s="57" t="n"/>
    </ns0:row>
    <ns0:row r="56">
      <ns0:c r="A56" s="49" t="n"/>
      <ns0:c r="B56" s="56" t="n"/>
      <ns0:c r="C56" s="56" t="n"/>
      <ns0:c r="D56" s="56" t="n"/>
      <ns0:c r="E56" s="56" t="n"/>
      <ns0:c r="F56" s="56" t="n"/>
      <ns0:c r="G56" s="56" t="n"/>
      <ns0:c r="H56" s="56" t="n"/>
      <ns0:c r="I56" s="56" t="n"/>
      <ns0:c r="J56" s="56" t="n"/>
      <ns0:c r="K56" s="56" t="n"/>
      <ns0:c r="L56" s="56" t="n"/>
      <ns0:c r="M56" s="56" t="n"/>
      <ns0:c r="N56" s="56" t="n"/>
      <ns0:c r="O56" s="56" t="n"/>
      <ns0:c r="P56" s="56" t="n"/>
      <ns0:c r="Q56" s="56" t="n"/>
      <ns0:c r="R56" s="56" t="n"/>
      <ns0:c r="S56" s="56" t="n"/>
      <ns0:c r="T56" s="56" t="n"/>
      <ns0:c r="U56" s="56" t="n"/>
      <ns0:c r="V56" s="57" t="n"/>
    </ns0:row>
    <ns0:row r="57">
      <ns0:c r="A57" s="49" t="n"/>
      <ns0:c r="B57" s="56" t="n"/>
      <ns0:c r="C57" s="56" t="n"/>
      <ns0:c r="D57" s="56" t="n"/>
      <ns0:c r="E57" s="56" t="n"/>
      <ns0:c r="F57" s="56" t="n"/>
      <ns0:c r="G57" s="56" t="n"/>
      <ns0:c r="H57" s="56" t="n"/>
      <ns0:c r="I57" s="56" t="n"/>
      <ns0:c r="J57" s="56" t="n"/>
      <ns0:c r="K57" s="56" t="n"/>
      <ns0:c r="L57" s="56" t="n"/>
      <ns0:c r="M57" s="56" t="n"/>
      <ns0:c r="N57" s="56" t="n"/>
      <ns0:c r="O57" s="56" t="n"/>
      <ns0:c r="P57" s="56" t="n"/>
      <ns0:c r="Q57" s="56" t="n"/>
      <ns0:c r="R57" s="56" t="n"/>
      <ns0:c r="S57" s="56" t="n"/>
      <ns0:c r="T57" s="56" t="n"/>
      <ns0:c r="U57" s="56" t="n"/>
      <ns0:c r="V57" s="57" t="n"/>
    </ns0:row>
    <ns0:row r="58">
      <ns0:c r="A58" s="49" t="n"/>
      <ns0:c r="B58" s="56" t="n"/>
      <ns0:c r="C58" s="56" t="n"/>
      <ns0:c r="D58" s="56" t="n"/>
      <ns0:c r="E58" s="56" t="n"/>
      <ns0:c r="F58" s="56" t="n"/>
      <ns0:c r="G58" s="56" t="n"/>
      <ns0:c r="H58" s="56" t="n"/>
      <ns0:c r="I58" s="56" t="n"/>
      <ns0:c r="J58" s="56" t="n"/>
      <ns0:c r="K58" s="56" t="n"/>
      <ns0:c r="L58" s="56" t="n"/>
      <ns0:c r="M58" s="56" t="n"/>
      <ns0:c r="N58" s="56" t="n"/>
      <ns0:c r="O58" s="56" t="n"/>
      <ns0:c r="P58" s="56" t="n"/>
      <ns0:c r="Q58" s="56" t="n"/>
      <ns0:c r="R58" s="56" t="n"/>
      <ns0:c r="S58" s="56" t="n"/>
      <ns0:c r="T58" s="56" t="n"/>
      <ns0:c r="U58" s="56" t="n"/>
      <ns0:c r="V58" s="57" t="n"/>
    </ns0:row>
    <ns0:row r="59">
      <ns0:c r="A59" s="49" t="n"/>
      <ns0:c r="B59" s="56" t="n"/>
      <ns0:c r="C59" s="56" t="n"/>
      <ns0:c r="D59" s="56" t="n"/>
      <ns0:c r="E59" s="56" t="n"/>
      <ns0:c r="F59" s="56" t="n"/>
      <ns0:c r="G59" s="56" t="n"/>
      <ns0:c r="H59" s="56" t="n"/>
      <ns0:c r="I59" s="56" t="n"/>
      <ns0:c r="J59" s="56" t="n"/>
      <ns0:c r="K59" s="56" t="n"/>
      <ns0:c r="L59" s="56" t="n"/>
      <ns0:c r="M59" s="56" t="n"/>
      <ns0:c r="N59" s="56" t="n"/>
      <ns0:c r="O59" s="56" t="n"/>
      <ns0:c r="P59" s="56" t="n"/>
      <ns0:c r="Q59" s="56" t="n"/>
      <ns0:c r="R59" s="56" t="n"/>
      <ns0:c r="S59" s="56" t="n"/>
      <ns0:c r="T59" s="56" t="n"/>
      <ns0:c r="U59" s="56" t="n"/>
      <ns0:c r="V59" s="57" t="n"/>
    </ns0:row>
    <ns0:row r="60">
      <ns0:c r="A60" s="49" t="n"/>
      <ns0:c r="B60" s="56" t="n"/>
      <ns0:c r="C60" s="56" t="n"/>
      <ns0:c r="D60" s="56" t="n"/>
      <ns0:c r="E60" s="56" t="n"/>
      <ns0:c r="F60" s="56" t="n"/>
      <ns0:c r="G60" s="56" t="n"/>
      <ns0:c r="H60" s="56" t="n"/>
      <ns0:c r="I60" s="56" t="n"/>
      <ns0:c r="J60" s="56" t="n"/>
      <ns0:c r="K60" s="56" t="n"/>
      <ns0:c r="L60" s="56" t="n"/>
      <ns0:c r="M60" s="56" t="n"/>
      <ns0:c r="N60" s="56" t="n"/>
      <ns0:c r="O60" s="56" t="n"/>
      <ns0:c r="P60" s="56" t="n"/>
      <ns0:c r="Q60" s="56" t="n"/>
      <ns0:c r="R60" s="56" t="n"/>
      <ns0:c r="S60" s="56" t="n"/>
      <ns0:c r="T60" s="56" t="n"/>
      <ns0:c r="U60" s="56" t="n"/>
      <ns0:c r="V60" s="57" t="n"/>
    </ns0:row>
    <ns0:row r="61">
      <ns0:c r="A61" s="49" t="n"/>
      <ns0:c r="B61" s="56" t="n"/>
      <ns0:c r="C61" s="56" t="n"/>
      <ns0:c r="D61" s="56" t="n"/>
      <ns0:c r="E61" s="56" t="n"/>
      <ns0:c r="F61" s="56" t="n"/>
      <ns0:c r="G61" s="56" t="n"/>
      <ns0:c r="H61" s="56" t="n"/>
      <ns0:c r="I61" s="56" t="n"/>
      <ns0:c r="J61" s="56" t="n"/>
      <ns0:c r="K61" s="56" t="n"/>
      <ns0:c r="L61" s="56" t="n"/>
      <ns0:c r="M61" s="56" t="n"/>
      <ns0:c r="N61" s="56" t="n"/>
      <ns0:c r="O61" s="56" t="n"/>
      <ns0:c r="P61" s="56" t="n"/>
      <ns0:c r="Q61" s="56" t="n"/>
      <ns0:c r="R61" s="56" t="n"/>
      <ns0:c r="S61" s="56" t="n"/>
      <ns0:c r="T61" s="56" t="n"/>
      <ns0:c r="U61" s="56" t="n"/>
      <ns0:c r="V61" s="57" t="n"/>
    </ns0:row>
    <ns0:row r="62">
      <ns0:c r="A62" s="49" t="n"/>
      <ns0:c r="B62" s="56" t="n"/>
      <ns0:c r="C62" s="56" t="n"/>
      <ns0:c r="D62" s="56" t="n"/>
      <ns0:c r="E62" s="56" t="n"/>
      <ns0:c r="F62" s="56" t="n"/>
      <ns0:c r="G62" s="56" t="n"/>
      <ns0:c r="H62" s="56" t="n"/>
      <ns0:c r="I62" s="56" t="n"/>
      <ns0:c r="J62" s="56" t="n"/>
      <ns0:c r="K62" s="56" t="n"/>
      <ns0:c r="L62" s="56" t="n"/>
      <ns0:c r="M62" s="56" t="n"/>
      <ns0:c r="N62" s="56" t="n"/>
      <ns0:c r="O62" s="56" t="n"/>
      <ns0:c r="P62" s="56" t="n"/>
      <ns0:c r="Q62" s="56" t="n"/>
      <ns0:c r="R62" s="56" t="n"/>
      <ns0:c r="S62" s="56" t="n"/>
      <ns0:c r="T62" s="56" t="n"/>
      <ns0:c r="U62" s="56" t="n"/>
      <ns0:c r="V62" s="57" t="n"/>
    </ns0:row>
    <ns0:row r="63">
      <ns0:c r="A63" s="65" t="n"/>
      <ns0:c r="B63" s="66" t="n"/>
      <ns0:c r="C63" s="66" t="n"/>
      <ns0:c r="D63" s="66" t="n"/>
      <ns0:c r="E63" s="66" t="n"/>
      <ns0:c r="F63" s="66" t="n"/>
      <ns0:c r="G63" s="66" t="n"/>
      <ns0:c r="H63" s="66" t="n"/>
      <ns0:c r="I63" s="66" t="n"/>
      <ns0:c r="J63" s="66" t="n"/>
      <ns0:c r="K63" s="66" t="n"/>
      <ns0:c r="L63" s="66" t="n"/>
      <ns0:c r="M63" s="66" t="n"/>
      <ns0:c r="N63" s="66" t="n"/>
      <ns0:c r="O63" s="66" t="n"/>
      <ns0:c r="P63" s="66" t="n"/>
      <ns0:c r="Q63" s="66" t="n"/>
      <ns0:c r="R63" s="66" t="n"/>
      <ns0:c r="S63" s="66" t="n"/>
      <ns0:c r="T63" s="66" t="n"/>
      <ns0:c r="U63" s="66" t="n"/>
      <ns0:c r="V63" s="67" t="n"/>
    </ns0:row>
  </ns0:sheetData>
  <ns0:mergeCells count="60">
    <ns0:mergeCell ref="K16:L16"/>
    <ns0:mergeCell ref="M20:M21"/>
    <ns0:mergeCell ref="N26:N27"/>
    <ns0:mergeCell ref="N22:N23"/>
    <ns0:mergeCell ref="A5:V5"/>
    <ns0:mergeCell ref="N18:N19"/>
    <ns0:mergeCell ref="E20:E21"/>
    <ns0:mergeCell ref="A14:V14"/>
    <ns0:mergeCell ref="Q26:Q27"/>
    <ns0:mergeCell ref="G16:J16"/>
    <ns0:mergeCell ref="R16:R17"/>
    <ns0:mergeCell ref="R28:R29"/>
    <ns0:mergeCell ref="Q18:Q19"/>
    <ns0:mergeCell ref="F20:F21"/>
    <ns0:mergeCell ref="Q20:Q21"/>
    <ns0:mergeCell ref="R24:R25"/>
    <ns0:mergeCell ref="F18:F19"/>
    <ns0:mergeCell ref="C18:C27"/>
    <ns0:mergeCell ref="M22:M23"/>
    <ns0:mergeCell ref="F26:F27"/>
    <ns0:mergeCell ref="Q22:Q23"/>
    <ns0:mergeCell ref="F22:F23"/>
    <ns0:mergeCell ref="E28:E29"/>
    <ns0:mergeCell ref="M16:M17"/>
    <ns0:mergeCell ref="R20:R21"/>
    <ns0:mergeCell ref="M28:M29"/>
    <ns0:mergeCell ref="C2:N4"/>
    <ns0:mergeCell ref="R26:R27"/>
    <ns0:mergeCell ref="D24:D25"/>
    <ns0:mergeCell ref="M24:M25"/>
    <ns0:mergeCell ref="O16:P16"/>
    <ns0:mergeCell ref="C28:D29"/>
    <ns0:mergeCell ref="R22:R23"/>
    <ns0:mergeCell ref="D18:D19"/>
    <ns0:mergeCell ref="R18:R19"/>
    <ns0:mergeCell ref="F28:F29"/>
    <ns0:mergeCell ref="N28:N29"/>
    <ns0:mergeCell ref="M18:M19"/>
    <ns0:mergeCell ref="N24:N25"/>
    <ns0:mergeCell ref="E16:E17"/>
    <ns0:mergeCell ref="B18:B29"/>
    <ns0:mergeCell ref="Q16:Q17"/>
    <ns0:mergeCell ref="D20:D21"/>
    <ns0:mergeCell ref="E26:E27"/>
    <ns0:mergeCell ref="A7:V7"/>
    <ns0:mergeCell ref="M26:M27"/>
    <ns0:mergeCell ref="A2:B4"/>
    <ns0:mergeCell ref="E24:E25"/>
    <ns0:mergeCell ref="C16:D17"/>
    <ns0:mergeCell ref="E18:E19"/>
    <ns0:mergeCell ref="D26:D27"/>
    <ns0:mergeCell ref="E22:E23"/>
    <ns0:mergeCell ref="N20:N21"/>
    <ns0:mergeCell ref="B16:B17"/>
    <ns0:mergeCell ref="N16:N17"/>
    <ns0:mergeCell ref="Q28:Q29"/>
    <ns0:mergeCell ref="F16:F17"/>
    <ns0:mergeCell ref="Q24:Q25"/>
    <ns0:mergeCell ref="F24:F25"/>
    <ns0:mergeCell ref="D22:D23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BP55"/>
  <ns0:sheetViews>
    <ns0:sheetView workbookViewId="0">
      <ns0:selection activeCell="A1" sqref="A1"/>
    </ns0:sheetView>
  </ns0:sheetViews>
  <ns0:sheetFormatPr baseColWidth="8" defaultRowHeight="15"/>
  <ns0:cols>
    <ns0:col width="21.14285714285714" customWidth="1" min="1" max="1"/>
    <ns0:col width="15.42857142857143" customWidth="1" min="2" max="2"/>
    <ns0:col width="15.42857142857143" customWidth="1" min="3" max="3"/>
    <ns0:col width="88.57142857142857" customWidth="1" min="4" max="4"/>
    <ns0:col width="88.57142857142857" customWidth="1" min="5" max="5"/>
    <ns0:col width="22.71428571428572" customWidth="1" min="6" max="6"/>
    <ns0:col width="22.71428571428572" customWidth="1" min="7" max="7"/>
    <ns0:col width="19.85714285714286" customWidth="1" min="8" max="8"/>
    <ns0:col width="19.85714285714286" customWidth="1" min="9" max="9"/>
    <ns0:col width="26.85714285714286" customWidth="1" min="10" max="10"/>
    <ns0:col width="26.85714285714286" customWidth="1" min="11" max="11"/>
    <ns0:col width="17.57142857142857" customWidth="1" min="12" max="12"/>
    <ns0:col width="17.57142857142857" customWidth="1" min="13" max="13"/>
    <ns0:col width="22.28571428571428" customWidth="1" min="14" max="14"/>
    <ns0:col width="26.71428571428572" customWidth="1" min="15" max="15"/>
    <ns0:col width="18.28571428571428" customWidth="1" min="16" max="16"/>
    <ns0:col width="18.28571428571428" customWidth="1" min="17" max="17"/>
    <ns0:col width="18.28571428571428" customWidth="1" min="18" max="18"/>
    <ns0:col width="26.85714285714286" customWidth="1" min="19" max="19"/>
    <ns0:col width="64.57142857142857" customWidth="1" min="20" max="20"/>
    <ns0:col width="64.57142857142857" customWidth="1" min="21" max="21"/>
    <ns0:col width="25.71428571428572" customWidth="1" min="22" max="22"/>
    <ns0:col width="25.71428571428572" customWidth="1" min="23" max="23"/>
    <ns0:col width="25.71428571428572" customWidth="1" min="24" max="24"/>
    <ns0:col width="31.42857142857143" customWidth="1" min="25" max="25"/>
  </ns0:cols>
  <ns0:sheetData>
    <ns0:row r="1" ht="16.5" customHeight="1"/>
    <ns0:row r="2" ht="40.6875" customHeight="1">
      <ns0:c r="A2" s="3" t="inlineStr">
        <ns0:is>
          <ns0:t>TITLE</ns0:t>
        </ns0:is>
      </ns0:c>
      <ns0:c r="B2" s="4" t="n"/>
      <ns0:c r="C2" s="74" t="n"/>
      <ns0:c r="D2" s="5" t="inlineStr">
        <ns0:is>
          <ns0:t>REPORT CHECKING AND TEST REDUCE HEIGHT DIMENSION COIL  OF MODEL BRS-201506</ns0:t>
        </ns0:is>
      </ns0:c>
      <ns0:c r="E2" s="6" t="n"/>
      <ns0:c r="F2" s="6" t="n"/>
      <ns0:c r="G2" s="6" t="n"/>
      <ns0:c r="H2" s="6" t="n"/>
      <ns0:c r="I2" s="6" t="n"/>
      <ns0:c r="J2" s="6" t="n"/>
      <ns0:c r="K2" s="6" t="n"/>
      <ns0:c r="L2" s="6" t="n"/>
      <ns0:c r="M2" s="6" t="n"/>
      <ns0:c r="N2" s="6" t="n"/>
      <ns0:c r="O2" s="6" t="n"/>
      <ns0:c r="P2" s="7" t="n"/>
      <ns0:c r="Q2" s="7" t="n"/>
      <ns0:c r="R2" s="7" t="n"/>
      <ns0:c r="S2" s="7" t="n"/>
      <ns0:c r="T2" s="7" t="n"/>
      <ns0:c r="U2" s="7" t="n"/>
      <ns0:c r="V2" s="7" t="n"/>
      <ns0:c r="W2" s="7" t="n"/>
      <ns0:c r="X2" s="8" t="inlineStr">
        <ns0:is>
          <ns0:t>Dept</ns0:t>
        </ns0:is>
      </ns0:c>
      <ns0:c r="Y2" s="9" t="inlineStr">
        <ns0:is>
          <ns0:t>ME</ns0:t>
        </ns0:is>
      </ns0:c>
    </ns0:row>
    <ns0:row r="3" ht="40.6875" customHeight="1">
      <ns0:c r="A3" s="10" t="n"/>
      <ns0:c r="B3" s="11" t="n"/>
      <ns0:c r="C3" s="75" t="n"/>
      <ns0:c r="D3" s="12" t="n"/>
      <ns0:c r="P3" s="13" t="n"/>
      <ns0:c r="Q3" s="13" t="n"/>
      <ns0:c r="R3" s="13" t="n"/>
      <ns0:c r="S3" s="13" t="n"/>
      <ns0:c r="T3" s="13" t="n"/>
      <ns0:c r="U3" s="13" t="n"/>
      <ns0:c r="V3" s="13" t="n"/>
      <ns0:c r="W3" s="13" t="n"/>
      <ns0:c r="X3" s="14" t="inlineStr">
        <ns0:is>
          <ns0:t>Date</ns0:t>
        </ns0:is>
      </ns0:c>
      <ns0:c r="Y3" s="15" t="n">
        <ns0:v>45457</ns0:v>
      </ns0:c>
    </ns0:row>
    <ns0:row r="4" ht="40.6875" customHeight="1">
      <ns0:c r="A4" s="16" t="n"/>
      <ns0:c r="B4" s="17" t="n"/>
      <ns0:c r="C4" s="76" t="n"/>
      <ns0:c r="D4" s="18" t="n"/>
      <ns0:c r="E4" s="19" t="n"/>
      <ns0:c r="F4" s="19" t="n"/>
      <ns0:c r="G4" s="19" t="n"/>
      <ns0:c r="H4" s="19" t="n"/>
      <ns0:c r="I4" s="19" t="n"/>
      <ns0:c r="J4" s="19" t="n"/>
      <ns0:c r="K4" s="19" t="n"/>
      <ns0:c r="L4" s="19" t="n"/>
      <ns0:c r="M4" s="19" t="n"/>
      <ns0:c r="N4" s="19" t="n"/>
      <ns0:c r="O4" s="19" t="n"/>
      <ns0:c r="P4" s="20" t="n"/>
      <ns0:c r="Q4" s="20" t="n"/>
      <ns0:c r="R4" s="20" t="n"/>
      <ns0:c r="S4" s="20" t="n"/>
      <ns0:c r="T4" s="20" t="n"/>
      <ns0:c r="U4" s="20" t="n"/>
      <ns0:c r="V4" s="20" t="n"/>
      <ns0:c r="W4" s="20" t="n"/>
      <ns0:c r="X4" s="14" t="inlineStr">
        <ns0:is>
          <ns0:t>Marker</ns0:t>
        </ns0:is>
      </ns0:c>
      <ns0:c r="Y4" s="21" t="inlineStr">
        <ns0:is>
          <ns0:t>Thao</ns0:t>
        </ns0:is>
      </ns0:c>
    </ns0:row>
    <ns0:row r="5" ht="40.6875" customHeight="1">
      <ns0:c r="A5" s="22" t="inlineStr">
        <ns0:is>
          <ns0:t>I. Purpose.</ns0:t>
        </ns0:is>
      </ns0:c>
      <ns0:c r="B5" s="23" t="n"/>
      <ns0:c r="C5" s="23" t="n"/>
      <ns0:c r="D5" s="23" t="n"/>
      <ns0:c r="E5" s="23" t="n"/>
      <ns0:c r="F5" s="23" t="n"/>
      <ns0:c r="G5" s="23" t="n"/>
      <ns0:c r="H5" s="23" t="n"/>
      <ns0:c r="I5" s="23" t="n"/>
      <ns0:c r="J5" s="23" t="n"/>
      <ns0:c r="K5" s="23" t="n"/>
      <ns0:c r="L5" s="23" t="n"/>
      <ns0:c r="M5" s="23" t="n"/>
      <ns0:c r="N5" s="23" t="n"/>
      <ns0:c r="O5" s="23" t="n"/>
      <ns0:c r="P5" s="23" t="n"/>
      <ns0:c r="Q5" s="23" t="n"/>
      <ns0:c r="R5" s="23" t="n"/>
      <ns0:c r="S5" s="23" t="n"/>
      <ns0:c r="T5" s="23" t="n"/>
      <ns0:c r="U5" s="23" t="n"/>
      <ns0:c r="V5" s="23" t="n"/>
      <ns0:c r="W5" s="23" t="n"/>
      <ns0:c r="X5" s="23" t="n"/>
      <ns0:c r="Y5" s="24" t="n"/>
    </ns0:row>
    <ns0:row r="6" ht="40.6875" customHeight="1">
      <ns0:c r="A6" s="25" t="inlineStr">
        <ns0:is>
          <ns0:t xml:space="preserve"> - Find reason NG Function</ns0:t>
        </ns0:is>
      </ns0:c>
      <ns0:c r="B6" s="26" t="n"/>
      <ns0:c r="C6" s="26" t="n"/>
      <ns0:c r="D6" s="26" t="n"/>
      <ns0:c r="E6" s="26" t="n"/>
      <ns0:c r="F6" s="26" t="n"/>
      <ns0:c r="G6" s="26" t="n"/>
      <ns0:c r="H6" s="26" t="n"/>
      <ns0:c r="I6" s="26" t="n"/>
      <ns0:c r="J6" s="26" t="n"/>
      <ns0:c r="K6" s="26" t="n"/>
      <ns0:c r="L6" s="26" t="n"/>
      <ns0:c r="M6" s="26" t="n"/>
      <ns0:c r="N6" s="26" t="n"/>
      <ns0:c r="O6" s="26" t="n"/>
      <ns0:c r="P6" s="26" t="n"/>
      <ns0:c r="Q6" s="26" t="n"/>
      <ns0:c r="R6" s="26" t="n"/>
      <ns0:c r="S6" s="26" t="n"/>
      <ns0:c r="T6" s="26" t="n"/>
      <ns0:c r="U6" s="26" t="n"/>
      <ns0:c r="V6" s="26" t="n"/>
      <ns0:c r="W6" s="26" t="n"/>
      <ns0:c r="X6" s="26" t="n"/>
      <ns0:c r="Y6" s="27" t="n"/>
    </ns0:row>
    <ns0:row r="7" ht="40.6875" customHeight="1">
      <ns0:c r="A7" s="22" t="inlineStr">
        <ns0:is>
          <ns0:t>II. Content.</ns0:t>
        </ns0:is>
      </ns0:c>
      <ns0:c r="B7" s="23" t="n"/>
      <ns0:c r="C7" s="23" t="n"/>
      <ns0:c r="D7" s="23" t="n"/>
      <ns0:c r="E7" s="23" t="n"/>
      <ns0:c r="F7" s="23" t="n"/>
      <ns0:c r="G7" s="23" t="n"/>
      <ns0:c r="H7" s="23" t="n"/>
      <ns0:c r="I7" s="23" t="n"/>
      <ns0:c r="J7" s="23" t="n"/>
      <ns0:c r="K7" s="23" t="n"/>
      <ns0:c r="L7" s="23" t="n"/>
      <ns0:c r="M7" s="23" t="n"/>
      <ns0:c r="N7" s="23" t="n"/>
      <ns0:c r="O7" s="23" t="n"/>
      <ns0:c r="P7" s="23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4" t="n"/>
      <ns0:c r="AC7" s="28" t="n"/>
      <ns0:c r="AD7" s="28" t="n"/>
      <ns0:c r="AE7" s="28" t="n"/>
      <ns0:c r="AF7" s="28" t="n"/>
      <ns0:c r="AG7" s="28" t="n"/>
      <ns0:c r="AH7" s="28" t="n"/>
      <ns0:c r="AI7" s="28" t="n"/>
      <ns0:c r="AJ7" s="28" t="n"/>
      <ns0:c r="AK7" s="28" t="n"/>
      <ns0:c r="AL7" s="28" t="n"/>
      <ns0:c r="AM7" s="28" t="n"/>
      <ns0:c r="AN7" s="28" t="n"/>
      <ns0:c r="AO7" s="28" t="n"/>
      <ns0:c r="AP7" s="28" t="n"/>
      <ns0:c r="AQ7" s="28" t="n"/>
      <ns0:c r="AR7" s="28" t="n"/>
      <ns0:c r="AS7" s="28" t="n"/>
      <ns0:c r="AT7" s="28" t="n"/>
      <ns0:c r="AU7" s="28" t="n"/>
      <ns0:c r="AV7" s="28" t="n"/>
      <ns0:c r="AW7" s="28" t="n"/>
      <ns0:c r="AX7" s="28" t="n"/>
      <ns0:c r="AY7" s="28" t="n"/>
      <ns0:c r="AZ7" s="28" t="n"/>
      <ns0:c r="BA7" s="28" t="n"/>
      <ns0:c r="BB7" s="28" t="n"/>
      <ns0:c r="BC7" s="28" t="n"/>
      <ns0:c r="BD7" s="28" t="n"/>
      <ns0:c r="BE7" s="28" t="n"/>
      <ns0:c r="BF7" s="28" t="n"/>
      <ns0:c r="BG7" s="28" t="n"/>
      <ns0:c r="BH7" s="28" t="n"/>
      <ns0:c r="BI7" s="28" t="n"/>
      <ns0:c r="BJ7" s="28" t="n"/>
      <ns0:c r="BK7" s="28" t="n"/>
      <ns0:c r="BL7" s="28" t="n"/>
      <ns0:c r="BM7" s="28" t="n"/>
      <ns0:c r="BN7" s="28" t="n"/>
      <ns0:c r="BO7" s="28" t="n"/>
      <ns0:c r="BP7" s="28" t="n"/>
    </ns0:row>
    <ns0:row r="8" ht="40.6875" customHeight="1">
      <ns0:c r="A8" s="29" t="n"/>
      <ns0:c r="B8" s="30" t="n"/>
      <ns0:c r="C8" s="30" t="n"/>
      <ns0:c r="D8" s="30" t="n"/>
      <ns0:c r="E8" s="30" t="n"/>
      <ns0:c r="F8" s="31" t="n"/>
      <ns0:c r="G8" s="31" t="n"/>
      <ns0:c r="H8" s="31" t="n"/>
      <ns0:c r="I8" s="31" t="n"/>
      <ns0:c r="J8" s="31" t="n"/>
      <ns0:c r="K8" s="31" t="n"/>
      <ns0:c r="L8" s="31" t="n"/>
      <ns0:c r="M8" s="31" t="n"/>
      <ns0:c r="N8" s="31" t="n"/>
      <ns0:c r="O8" s="31" t="n"/>
      <ns0:c r="P8" s="31" t="n"/>
      <ns0:c r="Q8" s="31" t="n"/>
      <ns0:c r="R8" s="31" t="n"/>
      <ns0:c r="S8" s="31" t="n"/>
      <ns0:c r="T8" s="31" t="n"/>
      <ns0:c r="U8" s="31" t="n"/>
      <ns0:c r="V8" s="31" t="n"/>
      <ns0:c r="W8" s="31" t="n"/>
      <ns0:c r="X8" s="31" t="n"/>
      <ns0:c r="Y8" s="32" t="n"/>
      <ns0:c r="AC8" s="28" t="n"/>
      <ns0:c r="AD8" s="28" t="n"/>
      <ns0:c r="AE8" s="28" t="n"/>
      <ns0:c r="AF8" s="28" t="n"/>
      <ns0:c r="AG8" s="28" t="n"/>
      <ns0:c r="AH8" s="28" t="n"/>
      <ns0:c r="AI8" s="28" t="n"/>
      <ns0:c r="AJ8" s="28" t="n"/>
      <ns0:c r="AK8" s="28" t="n"/>
      <ns0:c r="AL8" s="28" t="n"/>
      <ns0:c r="AM8" s="28" t="n"/>
      <ns0:c r="AN8" s="28" t="n"/>
      <ns0:c r="AO8" s="28" t="n"/>
      <ns0:c r="AP8" s="28" t="n"/>
      <ns0:c r="AQ8" s="28" t="n"/>
      <ns0:c r="AR8" s="28" t="n"/>
      <ns0:c r="AS8" s="28" t="n"/>
      <ns0:c r="AT8" s="28" t="n"/>
      <ns0:c r="AU8" s="28" t="n"/>
      <ns0:c r="AV8" s="28" t="n"/>
      <ns0:c r="AW8" s="28" t="n"/>
      <ns0:c r="AX8" s="28" t="n"/>
      <ns0:c r="AY8" s="28" t="n"/>
      <ns0:c r="AZ8" s="28" t="n"/>
      <ns0:c r="BA8" s="28" t="n"/>
      <ns0:c r="BB8" s="28" t="n"/>
      <ns0:c r="BC8" s="28" t="n"/>
      <ns0:c r="BD8" s="28" t="n"/>
      <ns0:c r="BE8" s="28" t="n"/>
      <ns0:c r="BF8" s="28" t="n"/>
      <ns0:c r="BG8" s="28" t="n"/>
      <ns0:c r="BH8" s="28" t="n"/>
      <ns0:c r="BI8" s="28" t="n"/>
      <ns0:c r="BJ8" s="28" t="n"/>
      <ns0:c r="BK8" s="28" t="n"/>
      <ns0:c r="BL8" s="28" t="n"/>
      <ns0:c r="BM8" s="28" t="n"/>
      <ns0:c r="BN8" s="28" t="n"/>
      <ns0:c r="BO8" s="28" t="n"/>
      <ns0:c r="BP8" s="28" t="n"/>
    </ns0:row>
    <ns0:row r="9" ht="40.6875" customHeight="1">
      <ns0:c r="A9" s="29" t="n"/>
      <ns0:c r="B9" s="30" t="n"/>
      <ns0:c r="C9" s="30" t="n"/>
      <ns0:c r="D9" s="30" t="n"/>
      <ns0:c r="E9" s="30" t="n"/>
      <ns0:c r="F9" s="31" t="n"/>
      <ns0:c r="G9" s="31" t="n"/>
      <ns0:c r="H9" s="31" t="n"/>
      <ns0:c r="I9" s="31" t="n"/>
      <ns0:c r="J9" s="31" t="n"/>
      <ns0:c r="K9" s="31" t="n"/>
      <ns0:c r="L9" s="31" t="n"/>
      <ns0:c r="M9" s="31" t="n"/>
      <ns0:c r="N9" s="31" t="n"/>
      <ns0:c r="O9" s="31" t="n"/>
      <ns0:c r="P9" s="31" t="n"/>
      <ns0:c r="Q9" s="31" t="n"/>
      <ns0:c r="R9" s="31" t="n"/>
      <ns0:c r="S9" s="31" t="n"/>
      <ns0:c r="T9" s="31" t="n"/>
      <ns0:c r="U9" s="31" t="n"/>
      <ns0:c r="V9" s="31" t="n"/>
      <ns0:c r="W9" s="31" t="n"/>
      <ns0:c r="X9" s="31" t="n"/>
      <ns0:c r="Y9" s="32" t="n"/>
      <ns0:c r="AC9" s="28" t="n"/>
      <ns0:c r="AD9" s="28" t="n"/>
      <ns0:c r="AE9" s="28" t="n"/>
      <ns0:c r="AF9" s="28" t="n"/>
      <ns0:c r="AG9" s="28" t="n"/>
      <ns0:c r="AH9" s="28" t="n"/>
      <ns0:c r="AI9" s="28" t="n"/>
      <ns0:c r="AJ9" s="28" t="n"/>
      <ns0:c r="AK9" s="28" t="n"/>
      <ns0:c r="AL9" s="28" t="n"/>
      <ns0:c r="AM9" s="28" t="n"/>
      <ns0:c r="AN9" s="28" t="n"/>
      <ns0:c r="AO9" s="28" t="n"/>
      <ns0:c r="AP9" s="28" t="n"/>
      <ns0:c r="AQ9" s="28" t="n"/>
      <ns0:c r="AR9" s="28" t="n"/>
      <ns0:c r="AS9" s="28" t="n"/>
      <ns0:c r="AT9" s="28" t="n"/>
      <ns0:c r="AU9" s="28" t="n"/>
      <ns0:c r="AV9" s="28" t="n"/>
      <ns0:c r="AW9" s="28" t="n"/>
      <ns0:c r="AX9" s="28" t="n"/>
      <ns0:c r="AY9" s="28" t="n"/>
      <ns0:c r="AZ9" s="28" t="n"/>
      <ns0:c r="BA9" s="28" t="n"/>
      <ns0:c r="BB9" s="28" t="n"/>
      <ns0:c r="BC9" s="28" t="n"/>
      <ns0:c r="BD9" s="28" t="n"/>
      <ns0:c r="BE9" s="28" t="n"/>
      <ns0:c r="BF9" s="28" t="n"/>
      <ns0:c r="BG9" s="28" t="n"/>
      <ns0:c r="BH9" s="28" t="n"/>
      <ns0:c r="BI9" s="28" t="n"/>
      <ns0:c r="BJ9" s="28" t="n"/>
      <ns0:c r="BK9" s="28" t="n"/>
      <ns0:c r="BL9" s="28" t="n"/>
      <ns0:c r="BM9" s="28" t="n"/>
      <ns0:c r="BN9" s="28" t="n"/>
      <ns0:c r="BO9" s="28" t="n"/>
      <ns0:c r="BP9" s="28" t="n"/>
    </ns0:row>
    <ns0:row r="10" ht="40.6875" customHeight="1">
      <ns0:c r="A10" s="29" t="n"/>
      <ns0:c r="B10" s="30" t="n"/>
      <ns0:c r="C10" s="30" t="n"/>
      <ns0:c r="D10" s="30" t="n"/>
      <ns0:c r="E10" s="30" t="n"/>
      <ns0:c r="F10" s="31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1" t="n"/>
      <ns0:c r="T10" s="31" t="n"/>
      <ns0:c r="U10" s="31" t="n"/>
      <ns0:c r="V10" s="31" t="n"/>
      <ns0:c r="W10" s="31" t="n"/>
      <ns0:c r="X10" s="31" t="n"/>
      <ns0:c r="Y10" s="32" t="n"/>
      <ns0:c r="AC10" s="28" t="n"/>
      <ns0:c r="AD10" s="28" t="n"/>
      <ns0:c r="AE10" s="28" t="n"/>
      <ns0:c r="AF10" s="28" t="n"/>
      <ns0:c r="AG10" s="28" t="n"/>
      <ns0:c r="AH10" s="28" t="n"/>
      <ns0:c r="AI10" s="28" t="n"/>
      <ns0:c r="AJ10" s="28" t="n"/>
      <ns0:c r="AK10" s="28" t="n"/>
      <ns0:c r="AL10" s="28" t="n"/>
      <ns0:c r="AM10" s="28" t="n"/>
      <ns0:c r="AN10" s="28" t="n"/>
      <ns0:c r="AO10" s="28" t="n"/>
      <ns0:c r="AP10" s="28" t="n"/>
      <ns0:c r="AQ10" s="28" t="n"/>
      <ns0:c r="AR10" s="28" t="n"/>
      <ns0:c r="AS10" s="28" t="n"/>
      <ns0:c r="AT10" s="28" t="n"/>
      <ns0:c r="AU10" s="28" t="n"/>
      <ns0:c r="AV10" s="28" t="n"/>
      <ns0:c r="AW10" s="28" t="n"/>
      <ns0:c r="AX10" s="28" t="n"/>
      <ns0:c r="AY10" s="28" t="n"/>
      <ns0:c r="AZ10" s="28" t="n"/>
      <ns0:c r="BA10" s="28" t="n"/>
      <ns0:c r="BB10" s="28" t="n"/>
      <ns0:c r="BC10" s="28" t="n"/>
      <ns0:c r="BD10" s="28" t="n"/>
      <ns0:c r="BE10" s="28" t="n"/>
      <ns0:c r="BF10" s="28" t="n"/>
      <ns0:c r="BG10" s="28" t="n"/>
      <ns0:c r="BH10" s="28" t="n"/>
      <ns0:c r="BI10" s="28" t="n"/>
      <ns0:c r="BJ10" s="28" t="n"/>
      <ns0:c r="BK10" s="28" t="n"/>
      <ns0:c r="BL10" s="28" t="n"/>
      <ns0:c r="BM10" s="28" t="n"/>
      <ns0:c r="BN10" s="28" t="n"/>
      <ns0:c r="BO10" s="28" t="n"/>
      <ns0:c r="BP10" s="28" t="n"/>
    </ns0:row>
    <ns0:row r="11" ht="40.6875" customHeight="1">
      <ns0:c r="A11" s="29" t="n"/>
      <ns0:c r="B11" s="30" t="n"/>
      <ns0:c r="C11" s="30" t="n"/>
      <ns0:c r="D11" s="30" t="n"/>
      <ns0:c r="E11" s="30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1" t="n"/>
      <ns0:c r="X11" s="31" t="n"/>
      <ns0:c r="Y11" s="32" t="n"/>
      <ns0:c r="AC11" s="28" t="n"/>
      <ns0:c r="AD11" s="28" t="n"/>
      <ns0:c r="AE11" s="28" t="n"/>
      <ns0:c r="AF11" s="28" t="n"/>
      <ns0:c r="AG11" s="28" t="n"/>
      <ns0:c r="AH11" s="28" t="n"/>
      <ns0:c r="AI11" s="28" t="n"/>
      <ns0:c r="AJ11" s="28" t="n"/>
      <ns0:c r="AK11" s="28" t="n"/>
      <ns0:c r="AL11" s="28" t="n"/>
      <ns0:c r="AM11" s="28" t="n"/>
      <ns0:c r="AN11" s="28" t="n"/>
      <ns0:c r="AO11" s="28" t="n"/>
      <ns0:c r="AP11" s="28" t="n"/>
      <ns0:c r="AQ11" s="28" t="n"/>
      <ns0:c r="AR11" s="28" t="n"/>
      <ns0:c r="AS11" s="28" t="n"/>
      <ns0:c r="AT11" s="28" t="n"/>
      <ns0:c r="AU11" s="28" t="n"/>
      <ns0:c r="AV11" s="28" t="n"/>
      <ns0:c r="AW11" s="28" t="n"/>
      <ns0:c r="AX11" s="28" t="n"/>
      <ns0:c r="AY11" s="28" t="n"/>
      <ns0:c r="AZ11" s="28" t="n"/>
      <ns0:c r="BA11" s="28" t="n"/>
      <ns0:c r="BB11" s="28" t="n"/>
      <ns0:c r="BC11" s="28" t="n"/>
      <ns0:c r="BD11" s="28" t="n"/>
      <ns0:c r="BE11" s="28" t="n"/>
      <ns0:c r="BF11" s="28" t="n"/>
      <ns0:c r="BG11" s="28" t="n"/>
      <ns0:c r="BH11" s="28" t="n"/>
      <ns0:c r="BI11" s="28" t="n"/>
      <ns0:c r="BJ11" s="28" t="n"/>
      <ns0:c r="BK11" s="28" t="n"/>
      <ns0:c r="BL11" s="28" t="n"/>
      <ns0:c r="BM11" s="28" t="n"/>
      <ns0:c r="BN11" s="28" t="n"/>
      <ns0:c r="BO11" s="28" t="n"/>
      <ns0:c r="BP11" s="28" t="n"/>
    </ns0:row>
    <ns0:row r="12" ht="40.6875" customHeight="1">
      <ns0:c r="A12" s="29" t="n"/>
      <ns0:c r="B12" s="30" t="n"/>
      <ns0:c r="C12" s="30" t="n"/>
      <ns0:c r="D12" s="30" t="n"/>
      <ns0:c r="E12" s="30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1" t="n"/>
      <ns0:c r="W12" s="31" t="n"/>
      <ns0:c r="X12" s="31" t="n"/>
      <ns0:c r="Y12" s="32" t="n"/>
      <ns0:c r="AC12" s="28" t="n"/>
      <ns0:c r="AD12" s="28" t="n"/>
      <ns0:c r="AE12" s="28" t="n"/>
      <ns0:c r="AF12" s="28" t="n"/>
      <ns0:c r="AG12" s="28" t="n"/>
      <ns0:c r="AH12" s="28" t="n"/>
      <ns0:c r="AI12" s="28" t="n"/>
      <ns0:c r="AJ12" s="28" t="n"/>
      <ns0:c r="AK12" s="28" t="n"/>
      <ns0:c r="AL12" s="28" t="n"/>
      <ns0:c r="AM12" s="28" t="n"/>
      <ns0:c r="AN12" s="28" t="n"/>
      <ns0:c r="AO12" s="28" t="n"/>
      <ns0:c r="AP12" s="28" t="n"/>
      <ns0:c r="AQ12" s="28" t="n"/>
      <ns0:c r="AR12" s="28" t="n"/>
      <ns0:c r="AS12" s="28" t="n"/>
      <ns0:c r="AT12" s="28" t="n"/>
      <ns0:c r="AU12" s="28" t="n"/>
      <ns0:c r="AV12" s="28" t="n"/>
      <ns0:c r="AW12" s="28" t="n"/>
      <ns0:c r="AX12" s="28" t="n"/>
      <ns0:c r="AY12" s="28" t="n"/>
      <ns0:c r="AZ12" s="28" t="n"/>
      <ns0:c r="BA12" s="28" t="n"/>
      <ns0:c r="BB12" s="28" t="n"/>
      <ns0:c r="BC12" s="28" t="n"/>
      <ns0:c r="BD12" s="28" t="n"/>
      <ns0:c r="BE12" s="28" t="n"/>
      <ns0:c r="BF12" s="28" t="n"/>
      <ns0:c r="BG12" s="28" t="n"/>
      <ns0:c r="BH12" s="28" t="n"/>
      <ns0:c r="BI12" s="28" t="n"/>
      <ns0:c r="BJ12" s="28" t="n"/>
      <ns0:c r="BK12" s="28" t="n"/>
      <ns0:c r="BL12" s="28" t="n"/>
      <ns0:c r="BM12" s="28" t="n"/>
      <ns0:c r="BN12" s="28" t="n"/>
      <ns0:c r="BO12" s="28" t="n"/>
      <ns0:c r="BP12" s="28" t="n"/>
    </ns0:row>
    <ns0:row r="13" ht="40.6875" customHeight="1">
      <ns0:c r="A13" s="29" t="n"/>
      <ns0:c r="B13" s="30" t="n"/>
      <ns0:c r="C13" s="30" t="n"/>
      <ns0:c r="D13" s="30" t="n"/>
      <ns0:c r="E13" s="30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2" t="n"/>
      <ns0:c r="AC13" s="28" t="n"/>
      <ns0:c r="AD13" s="28" t="n"/>
      <ns0:c r="AE13" s="28" t="n"/>
      <ns0:c r="AF13" s="28" t="n"/>
      <ns0:c r="AG13" s="28" t="n"/>
      <ns0:c r="AH13" s="28" t="n"/>
      <ns0:c r="AI13" s="28" t="n"/>
      <ns0:c r="AJ13" s="28" t="n"/>
      <ns0:c r="AK13" s="28" t="n"/>
      <ns0:c r="AL13" s="28" t="n"/>
      <ns0:c r="AM13" s="28" t="n"/>
      <ns0:c r="AN13" s="28" t="n"/>
      <ns0:c r="AO13" s="28" t="n"/>
      <ns0:c r="AP13" s="28" t="n"/>
      <ns0:c r="AQ13" s="28" t="n"/>
      <ns0:c r="AR13" s="28" t="n"/>
      <ns0:c r="AS13" s="28" t="n"/>
      <ns0:c r="AT13" s="28" t="n"/>
      <ns0:c r="AU13" s="28" t="n"/>
      <ns0:c r="AV13" s="28" t="n"/>
      <ns0:c r="AW13" s="28" t="n"/>
      <ns0:c r="AX13" s="28" t="n"/>
      <ns0:c r="AY13" s="28" t="n"/>
      <ns0:c r="AZ13" s="28" t="n"/>
      <ns0:c r="BA13" s="28" t="n"/>
      <ns0:c r="BB13" s="28" t="n"/>
      <ns0:c r="BC13" s="28" t="n"/>
      <ns0:c r="BD13" s="28" t="n"/>
      <ns0:c r="BE13" s="28" t="n"/>
      <ns0:c r="BF13" s="28" t="n"/>
      <ns0:c r="BG13" s="28" t="n"/>
      <ns0:c r="BH13" s="28" t="n"/>
      <ns0:c r="BI13" s="28" t="n"/>
      <ns0:c r="BJ13" s="28" t="n"/>
      <ns0:c r="BK13" s="28" t="n"/>
      <ns0:c r="BL13" s="28" t="n"/>
      <ns0:c r="BM13" s="28" t="n"/>
      <ns0:c r="BN13" s="28" t="n"/>
      <ns0:c r="BO13" s="28" t="n"/>
      <ns0:c r="BP13" s="28" t="n"/>
    </ns0:row>
    <ns0:row r="14" ht="40.6875" customHeight="1">
      <ns0:c r="A14" s="33" t="inlineStr">
        <ns0:is>
          <ns0:t xml:space="preserve">3.Result </ns0:t>
        </ns0:is>
      </ns0:c>
      <ns0:c r="B14" s="34" t="n"/>
      <ns0:c r="C14" s="34" t="n"/>
      <ns0:c r="D14" s="34" t="n"/>
      <ns0:c r="E14" s="34" t="n"/>
      <ns0:c r="F14" s="34" t="n"/>
      <ns0:c r="G14" s="34" t="n"/>
      <ns0:c r="H14" s="34" t="n"/>
      <ns0:c r="I14" s="34" t="n"/>
      <ns0:c r="J14" s="34" t="n"/>
      <ns0:c r="K14" s="34" t="n"/>
      <ns0:c r="L14" s="34" t="n"/>
      <ns0:c r="M14" s="34" t="n"/>
      <ns0:c r="N14" s="34" t="n"/>
      <ns0:c r="O14" s="34" t="n"/>
      <ns0:c r="P14" s="34" t="n"/>
      <ns0:c r="Q14" s="34" t="n"/>
      <ns0:c r="R14" s="34" t="n"/>
      <ns0:c r="S14" s="34" t="n"/>
      <ns0:c r="T14" s="34" t="n"/>
      <ns0:c r="U14" s="34" t="n"/>
      <ns0:c r="V14" s="34" t="n"/>
      <ns0:c r="W14" s="34" t="n"/>
      <ns0:c r="X14" s="34" t="n"/>
      <ns0:c r="Y14" s="35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  <ns0:c r="AX14" s="28" t="n"/>
      <ns0:c r="AY14" s="28" t="n"/>
      <ns0:c r="AZ14" s="28" t="n"/>
      <ns0:c r="BA14" s="28" t="n"/>
      <ns0:c r="BB14" s="28" t="n"/>
      <ns0:c r="BC14" s="28" t="n"/>
      <ns0:c r="BD14" s="28" t="n"/>
      <ns0:c r="BE14" s="28" t="n"/>
      <ns0:c r="BF14" s="28" t="n"/>
      <ns0:c r="BG14" s="28" t="n"/>
      <ns0:c r="BH14" s="28" t="n"/>
      <ns0:c r="BI14" s="28" t="n"/>
      <ns0:c r="BJ14" s="28" t="n"/>
      <ns0:c r="BK14" s="28" t="n"/>
      <ns0:c r="BL14" s="28" t="n"/>
      <ns0:c r="BM14" s="28" t="n"/>
      <ns0:c r="BN14" s="28" t="n"/>
      <ns0:c r="BO14" s="28" t="n"/>
      <ns0:c r="BP14" s="28" t="n"/>
    </ns0:row>
    <ns0:row r="15" ht="48" customHeight="1">
      <ns0:c r="A15" s="36" t="n"/>
      <ns0:c r="B15" s="37" t="inlineStr">
        <ns0:is>
          <ns0:t>RESULT CHECKING FUNCTION OF MODEL BRS-2015</ns0:t>
        </ns0:is>
      </ns0:c>
      <ns0:c r="C15" s="37" t="n"/>
      <ns0:c r="D15" s="37" t="n"/>
      <ns0:c r="E15" s="38" t="n"/>
      <ns0:c r="F15" s="39" t="n"/>
      <ns0:c r="G15" s="40" t="n"/>
      <ns0:c r="H15" s="40" t="n"/>
      <ns0:c r="I15" s="40" t="n"/>
      <ns0:c r="J15" s="40" t="n"/>
      <ns0:c r="K15" s="40" t="n"/>
      <ns0:c r="L15" s="40" t="n"/>
      <ns0:c r="M15" s="40" t="n"/>
      <ns0:c r="N15" s="41" t="n"/>
      <ns0:c r="O15" s="39" t="n"/>
      <ns0:c r="P15" s="39" t="n"/>
      <ns0:c r="Q15" s="39" t="n"/>
      <ns0:c r="R15" s="39" t="n"/>
      <ns0:c r="S15" s="39" t="n"/>
      <ns0:c r="T15" s="39" t="n"/>
      <ns0:c r="U15" s="39" t="n"/>
      <ns0:c r="V15" s="39" t="n"/>
      <ns0:c r="W15" s="39" t="n"/>
      <ns0:c r="X15" s="42" t="n"/>
      <ns0:c r="Y15" s="43" t="n"/>
      <ns0:c r="Z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  <ns0:c r="BH15" s="28" t="n"/>
      <ns0:c r="BI15" s="28" t="n"/>
      <ns0:c r="BJ15" s="28" t="n"/>
      <ns0:c r="BK15" s="28" t="n"/>
      <ns0:c r="BL15" s="28" t="n"/>
      <ns0:c r="BM15" s="28" t="n"/>
      <ns0:c r="BN15" s="28" t="n"/>
      <ns0:c r="BO15" s="28" t="n"/>
      <ns0:c r="BP15" s="28" t="n"/>
    </ns0:row>
    <ns0:row r="16" ht="48" customHeight="1">
      <ns0:c r="A16" s="36" t="n"/>
      <ns0:c r="B16" s="44" t="inlineStr">
        <ns0:is>
          <ns0:t>Date</ns0:t>
        </ns0:is>
      </ns0:c>
      <ns0:c r="C16" s="44" t="inlineStr">
        <ns0:is>
          <ns0:t>No</ns0:t>
        </ns0:is>
      </ns0:c>
      <ns0:c r="D16" s="44" t="inlineStr">
        <ns0:is>
          <ns0:t>Type</ns0:t>
        </ns0:is>
      </ns0:c>
      <ns0:c r="E16" s="45" t="n"/>
      <ns0:c r="F16" s="46" t="inlineStr">
        <ns0:is>
          <ns0:t xml:space="preserve">Input </ns0:t>
        </ns0:is>
      </ns0:c>
      <ns0:c r="G16" s="44" t="inlineStr">
        <ns0:is>
          <ns0:t xml:space="preserve">OK </ns0:t>
        </ns0:is>
      </ns0:c>
      <ns0:c r="H16" s="44" t="inlineStr">
        <ns0:is>
          <ns0:t xml:space="preserve">Sigma </ns0:t>
        </ns0:is>
      </ns0:c>
      <ns0:c r="I16" s="23" t="n"/>
      <ns0:c r="J16" s="23" t="n"/>
      <ns0:c r="K16" s="47" t="n"/>
      <ns0:c r="L16" s="44" t="inlineStr">
        <ns0:is>
          <ns0:t xml:space="preserve">Hearing </ns0:t>
        </ns0:is>
      </ns0:c>
      <ns0:c r="M16" s="47" t="n"/>
      <ns0:c r="N16" s="44" t="inlineStr">
        <ns0:is>
          <ns0:t>Total NG</ns0:t>
        </ns0:is>
      </ns0:c>
      <ns0:c r="O16" s="44" t="inlineStr">
        <ns0:is>
          <ns0:t>Total NG rate</ns0:t>
        </ns0:is>
      </ns0:c>
      <ns0:c r="P16" s="44" t="inlineStr">
        <ns0:is>
          <ns0:t>Recheck Hearing</ns0:t>
        </ns0:is>
      </ns0:c>
      <ns0:c r="Q16" s="47" t="n"/>
      <ns0:c r="R16" s="44" t="inlineStr">
        <ns0:is>
          <ns0:t>Total NG</ns0:t>
        </ns0:is>
      </ns0:c>
      <ns0:c r="S16" s="44" t="inlineStr">
        <ns0:is>
          <ns0:t>Total NG rate</ns0:t>
        </ns0:is>
      </ns0:c>
      <ns0:c r="T16" s="44" t="inlineStr">
        <ns0:is>
          <ns0:t>Note</ns0:t>
        </ns0:is>
      </ns0:c>
      <ns0:c r="U16" s="45" t="n"/>
      <ns0:c r="V16" s="39" t="n"/>
      <ns0:c r="W16" s="39" t="n"/>
      <ns0:c r="X16" s="42" t="n"/>
      <ns0:c r="Y16" s="43" t="n"/>
      <ns0:c r="Z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  <ns0:c r="BI16" s="28" t="n"/>
      <ns0:c r="BJ16" s="28" t="n"/>
      <ns0:c r="BK16" s="28" t="n"/>
      <ns0:c r="BL16" s="28" t="n"/>
      <ns0:c r="BM16" s="28" t="n"/>
      <ns0:c r="BN16" s="28" t="n"/>
      <ns0:c r="BO16" s="28" t="n"/>
      <ns0:c r="BP16" s="28" t="n"/>
    </ns0:row>
    <ns0:row r="17" ht="48" customHeight="1">
      <ns0:c r="A17" s="36" t="n"/>
      <ns0:c r="B17" s="48" t="n"/>
      <ns0:c r="C17" s="48" t="n"/>
      <ns0:c r="D17" s="18" t="n"/>
      <ns0:c r="E17" s="17" t="n"/>
      <ns0:c r="F17" s="48" t="n"/>
      <ns0:c r="G17" s="48" t="n"/>
      <ns0:c r="H17" s="44" t="inlineStr">
        <ns0:is>
          <ns0:t xml:space="preserve">SPL </ns0:t>
        </ns0:is>
      </ns0:c>
      <ns0:c r="I17" s="44" t="inlineStr">
        <ns0:is>
          <ns0:t xml:space="preserve">THD </ns0:t>
        </ns0:is>
      </ns0:c>
      <ns0:c r="J17" s="44" t="inlineStr">
        <ns0:is>
          <ns0:t xml:space="preserve">SPL+THD </ns0:t>
        </ns0:is>
      </ns0:c>
      <ns0:c r="K17" s="44" t="inlineStr">
        <ns0:is>
          <ns0:t>SPL+THD+F0</ns0:t>
        </ns0:is>
      </ns0:c>
      <ns0:c r="L17" s="44" t="inlineStr">
        <ns0:is>
          <ns0:t xml:space="preserve">Noise </ns0:t>
        </ns0:is>
      </ns0:c>
      <ns0:c r="M17" s="44" t="inlineStr">
        <ns0:is>
          <ns0:t xml:space="preserve">Touch </ns0:t>
        </ns0:is>
      </ns0:c>
      <ns0:c r="N17" s="48" t="n"/>
      <ns0:c r="O17" s="48" t="n"/>
      <ns0:c r="P17" s="44" t="inlineStr">
        <ns0:is>
          <ns0:t xml:space="preserve">Noise </ns0:t>
        </ns0:is>
      </ns0:c>
      <ns0:c r="Q17" s="44" t="inlineStr">
        <ns0:is>
          <ns0:t xml:space="preserve">Touch </ns0:t>
        </ns0:is>
      </ns0:c>
      <ns0:c r="R17" s="48" t="n"/>
      <ns0:c r="S17" s="48" t="n"/>
      <ns0:c r="T17" s="18" t="n"/>
      <ns0:c r="U17" s="17" t="n"/>
      <ns0:c r="V17" s="39" t="n"/>
      <ns0:c r="W17" s="39" t="n"/>
      <ns0:c r="X17" s="42" t="n"/>
      <ns0:c r="Y17" s="43" t="n"/>
      <ns0:c r="Z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  <ns0:c r="BI17" s="28" t="n"/>
      <ns0:c r="BJ17" s="28" t="n"/>
      <ns0:c r="BK17" s="28" t="n"/>
      <ns0:c r="BL17" s="28" t="n"/>
      <ns0:c r="BM17" s="28" t="n"/>
      <ns0:c r="BN17" s="28" t="n"/>
      <ns0:c r="BO17" s="28" t="n"/>
      <ns0:c r="BP17" s="28" t="n"/>
    </ns0:row>
    <ns0:row r="18">
      <ns0:c r="A18" s="49" t="n"/>
      <ns0:c r="B18" s="50" t="n">
        <ns0:v>45483</ns0:v>
      </ns0:c>
      <ns0:c r="C18" s="77" t="n">
        <ns0:v>1</ns0:v>
      </ns0:c>
      <ns0:c r="D18" s="52" t="inlineStr">
        <ns0:is>
          <ns0:t>VP IR 40614037-00005 ( Ngày ) + Frame sus date 4/7 (K1 ) ( Ngày ) + Yoke 8/7 Line ( Ngày ) + Coil  ( Ngày )</ns0:t>
        </ns0:is>
      </ns0:c>
      <ns0:c r="E18" s="45" t="n"/>
      <ns0:c r="F18" s="53" t="n">
        <ns0:v>490</ns0:v>
      </ns0:c>
      <ns0:c r="G18" s="54" t="n">
        <ns0:v>442</ns0:v>
      </ns0:c>
      <ns0:c r="H18" s="54" t="n">
        <ns0:v>0</ns0:v>
      </ns0:c>
      <ns0:c r="I18" s="54" t="n">
        <ns0:v>0</ns0:v>
      </ns0:c>
      <ns0:c r="J18" s="54" t="n">
        <ns0:v>1</ns0:v>
      </ns0:c>
      <ns0:c r="K18" s="54" t="n">
        <ns0:v>0</ns0:v>
      </ns0:c>
      <ns0:c r="L18" s="54" t="n">
        <ns0:v>11</ns0:v>
      </ns0:c>
      <ns0:c r="M18" s="54" t="n">
        <ns0:v>36</ns0:v>
      </ns0:c>
      <ns0:c r="N18" s="54" t="n">
        <ns0:v>48</ns0:v>
      </ns0:c>
      <ns0:c r="O18" s="55" t="n">
        <ns0:v>0.09795918367346938</ns0:v>
      </ns0:c>
      <ns0:c r="P18" s="54" t="n">
        <ns0:v>7</ns0:v>
      </ns0:c>
      <ns0:c r="Q18" s="54" t="n">
        <ns0:v>12</ns0:v>
      </ns0:c>
      <ns0:c r="R18" s="54" t="n">
        <ns0:v>20</ns0:v>
      </ns0:c>
      <ns0:c r="S18" s="55" t="n">
        <ns0:v>0.04081632653061224</ns0:v>
      </ns0:c>
      <ns0:c r="T18" s="54" t="n"/>
      <ns0:c r="U18" s="45" t="n"/>
      <ns0:c r="V18" s="56" t="n"/>
      <ns0:c r="W18" s="56" t="n"/>
      <ns0:c r="X18" s="56" t="n"/>
      <ns0:c r="Y18" s="57" t="n"/>
    </ns0:row>
    <ns0:row r="19">
      <ns0:c r="A19" s="49" t="n"/>
      <ns0:c r="B19" s="58" t="n"/>
      <ns0:c r="C19" s="48" t="n"/>
      <ns0:c r="D19" s="18" t="n"/>
      <ns0:c r="E19" s="17" t="n"/>
      <ns0:c r="F19" s="48" t="n"/>
      <ns0:c r="G19" s="48" t="n"/>
      <ns0:c r="H19" s="59" t="n">
        <ns0:v>0</ns0:v>
      </ns0:c>
      <ns0:c r="I19" s="59" t="n">
        <ns0:v>0</ns0:v>
      </ns0:c>
      <ns0:c r="J19" s="59" t="n">
        <ns0:v>0.02083333333333333</ns0:v>
      </ns0:c>
      <ns0:c r="K19" s="59" t="n">
        <ns0:v>0</ns0:v>
      </ns0:c>
      <ns0:c r="L19" s="59" t="n">
        <ns0:v>0.2291666666666667</ns0:v>
      </ns0:c>
      <ns0:c r="M19" s="59" t="n">
        <ns0:v>0.75</ns0:v>
      </ns0:c>
      <ns0:c r="N19" s="48" t="n"/>
      <ns0:c r="O19" s="48" t="n"/>
      <ns0:c r="P19" s="59" t="n">
        <ns0:v>0.35</ns0:v>
      </ns0:c>
      <ns0:c r="Q19" s="59" t="n">
        <ns0:v>0.6</ns0:v>
      </ns0:c>
      <ns0:c r="R19" s="48" t="n"/>
      <ns0:c r="S19" s="48" t="n"/>
      <ns0:c r="T19" s="12" t="n"/>
      <ns0:c r="U19" s="11" t="n"/>
      <ns0:c r="V19" s="56" t="n"/>
      <ns0:c r="W19" s="56" t="n"/>
      <ns0:c r="X19" s="56" t="n"/>
      <ns0:c r="Y19" s="57" t="n"/>
    </ns0:row>
    <ns0:row r="20">
      <ns0:c r="A20" s="49" t="n"/>
      <ns0:c r="B20" s="58" t="n"/>
      <ns0:c r="C20" s="77" t="n">
        <ns0:v>2</ns0:v>
      </ns0:c>
      <ns0:c r="D20" s="52" t="inlineStr">
        <ns0:is>
          <ns0:t>VP IR 40614037-00005 ( Ngày ) + Frame sus date 4/7 (K1 ) ( Ngày ) + Yoke 8/7 ( Ngày ) + Coil ( Đêm )</ns0:t>
        </ns0:is>
      </ns0:c>
      <ns0:c r="E20" s="45" t="n"/>
      <ns0:c r="F20" s="53" t="n">
        <ns0:v>489</ns0:v>
      </ns0:c>
      <ns0:c r="G20" s="54" t="n">
        <ns0:v>422</ns0:v>
      </ns0:c>
      <ns0:c r="H20" s="54" t="n">
        <ns0:v>0</ns0:v>
      </ns0:c>
      <ns0:c r="I20" s="54" t="n">
        <ns0:v>0</ns0:v>
      </ns0:c>
      <ns0:c r="J20" s="54" t="n">
        <ns0:v>2</ns0:v>
      </ns0:c>
      <ns0:c r="K20" s="54" t="n">
        <ns0:v>0</ns0:v>
      </ns0:c>
      <ns0:c r="L20" s="54" t="n">
        <ns0:v>13</ns0:v>
      </ns0:c>
      <ns0:c r="M20" s="54" t="n">
        <ns0:v>52</ns0:v>
      </ns0:c>
      <ns0:c r="N20" s="54" t="n">
        <ns0:v>67</ns0:v>
      </ns0:c>
      <ns0:c r="O20" s="55" t="n">
        <ns0:v>0.1370143149284254</ns0:v>
      </ns0:c>
      <ns0:c r="P20" s="54" t="n">
        <ns0:v>11</ns0:v>
      </ns0:c>
      <ns0:c r="Q20" s="54" t="n">
        <ns0:v>21</ns0:v>
      </ns0:c>
      <ns0:c r="R20" s="54" t="n">
        <ns0:v>34</ns0:v>
      </ns0:c>
      <ns0:c r="S20" s="55" t="n">
        <ns0:v>0.06952965235173825</ns0:v>
      </ns0:c>
      <ns0:c r="T20" s="12" t="n"/>
      <ns0:c r="U20" s="11" t="n"/>
      <ns0:c r="V20" s="56" t="n"/>
      <ns0:c r="W20" s="56" t="n"/>
      <ns0:c r="X20" s="56" t="n"/>
      <ns0:c r="Y20" s="57" t="n"/>
    </ns0:row>
    <ns0:row r="21">
      <ns0:c r="A21" s="49" t="n"/>
      <ns0:c r="B21" s="48" t="n"/>
      <ns0:c r="C21" s="48" t="n"/>
      <ns0:c r="D21" s="18" t="n"/>
      <ns0:c r="E21" s="17" t="n"/>
      <ns0:c r="F21" s="48" t="n"/>
      <ns0:c r="G21" s="48" t="n"/>
      <ns0:c r="H21" s="59" t="n">
        <ns0:v>0</ns0:v>
      </ns0:c>
      <ns0:c r="I21" s="59" t="n">
        <ns0:v>0</ns0:v>
      </ns0:c>
      <ns0:c r="J21" s="59" t="n">
        <ns0:v>0.02985074626865672</ns0:v>
      </ns0:c>
      <ns0:c r="K21" s="59" t="n">
        <ns0:v>0</ns0:v>
      </ns0:c>
      <ns0:c r="L21" s="59" t="n">
        <ns0:v>0.1940298507462687</ns0:v>
      </ns0:c>
      <ns0:c r="M21" s="59" t="n">
        <ns0:v>0.7761194029850746</ns0:v>
      </ns0:c>
      <ns0:c r="N21" s="48" t="n"/>
      <ns0:c r="O21" s="48" t="n"/>
      <ns0:c r="P21" s="59" t="n">
        <ns0:v>0.3235294117647059</ns0:v>
      </ns0:c>
      <ns0:c r="Q21" s="59" t="n">
        <ns0:v>0.6176470588235294</ns0:v>
      </ns0:c>
      <ns0:c r="R21" s="48" t="n"/>
      <ns0:c r="S21" s="48" t="n"/>
      <ns0:c r="T21" s="18" t="n"/>
      <ns0:c r="U21" s="17" t="n"/>
      <ns0:c r="V21" s="56" t="n"/>
      <ns0:c r="W21" s="56" t="n"/>
      <ns0:c r="X21" s="56" t="n"/>
      <ns0:c r="Y21" s="57" t="n"/>
    </ns0:row>
    <ns0:row r="22">
      <ns0:c r="A22" s="49" t="n"/>
      <ns0:c r="B22" s="56" t="n"/>
      <ns0:c r="C22" s="56" t="n"/>
      <ns0:c r="D22" s="56" t="n"/>
      <ns0:c r="E22" s="56" t="n"/>
      <ns0:c r="F22" s="56" t="n"/>
      <ns0:c r="G22" s="56" t="n"/>
      <ns0:c r="H22" s="56" t="n"/>
      <ns0:c r="I22" s="56" t="n"/>
      <ns0:c r="J22" s="56" t="n"/>
      <ns0:c r="K22" s="56" t="n"/>
      <ns0:c r="L22" s="56" t="n"/>
      <ns0:c r="M22" s="56" t="n"/>
      <ns0:c r="N22" s="56" t="n"/>
      <ns0:c r="O22" s="56" t="n"/>
      <ns0:c r="P22" s="56" t="n"/>
      <ns0:c r="Q22" s="56" t="n"/>
      <ns0:c r="R22" s="56" t="n"/>
      <ns0:c r="S22" s="56" t="n"/>
      <ns0:c r="T22" s="56" t="n"/>
      <ns0:c r="U22" s="56" t="n"/>
      <ns0:c r="V22" s="56" t="n"/>
      <ns0:c r="W22" s="56" t="n"/>
      <ns0:c r="X22" s="56" t="n"/>
      <ns0:c r="Y22" s="57" t="n"/>
    </ns0:row>
    <ns0:row r="23">
      <ns0:c r="A23" s="49" t="n"/>
      <ns0:c r="B23" s="56" t="n"/>
      <ns0:c r="C23" s="56" t="n"/>
      <ns0:c r="D23" s="56" t="n"/>
      <ns0:c r="E23" s="56" t="n"/>
      <ns0:c r="F23" s="56" t="n"/>
      <ns0:c r="G23" s="56" t="n"/>
      <ns0:c r="H23" s="56" t="n"/>
      <ns0:c r="I23" s="56" t="n"/>
      <ns0:c r="J23" s="56" t="n"/>
      <ns0:c r="K23" s="56" t="n"/>
      <ns0:c r="L23" s="56" t="n"/>
      <ns0:c r="M23" s="56" t="n"/>
      <ns0:c r="N23" s="56" t="n"/>
      <ns0:c r="O23" s="56" t="n"/>
      <ns0:c r="P23" s="56" t="n"/>
      <ns0:c r="Q23" s="56" t="n"/>
      <ns0:c r="R23" s="56" t="n"/>
      <ns0:c r="S23" s="56" t="n"/>
      <ns0:c r="T23" s="56" t="n"/>
      <ns0:c r="U23" s="56" t="n"/>
      <ns0:c r="V23" s="56" t="n"/>
      <ns0:c r="W23" s="56" t="n"/>
      <ns0:c r="X23" s="56" t="n"/>
      <ns0:c r="Y23" s="57" t="n"/>
    </ns0:row>
    <ns0:row r="24">
      <ns0:c r="A24" s="49" t="n"/>
      <ns0:c r="B24" s="56" t="n"/>
      <ns0:c r="C24" s="56" t="n"/>
      <ns0:c r="D24" s="56" t="n"/>
      <ns0:c r="E24" s="56" t="n"/>
      <ns0:c r="F24" s="56" t="n"/>
      <ns0:c r="G24" s="56" t="n"/>
      <ns0:c r="H24" s="56" t="n"/>
      <ns0:c r="I24" s="56" t="n"/>
      <ns0:c r="J24" s="56" t="n"/>
      <ns0:c r="K24" s="56" t="n"/>
      <ns0:c r="L24" s="56" t="n"/>
      <ns0:c r="M24" s="56" t="n"/>
      <ns0:c r="N24" s="56" t="n"/>
      <ns0:c r="O24" s="56" t="n"/>
      <ns0:c r="P24" s="56" t="n"/>
      <ns0:c r="Q24" s="56" t="n"/>
      <ns0:c r="R24" s="56" t="n"/>
      <ns0:c r="S24" s="56" t="n"/>
      <ns0:c r="T24" s="56" t="n"/>
      <ns0:c r="U24" s="56" t="n"/>
      <ns0:c r="V24" s="56" t="n"/>
      <ns0:c r="W24" s="56" t="n"/>
      <ns0:c r="X24" s="56" t="n"/>
      <ns0:c r="Y24" s="57" t="n"/>
    </ns0:row>
    <ns0:row r="25">
      <ns0:c r="A25" s="49" t="n"/>
      <ns0:c r="B25" s="56" t="n"/>
      <ns0:c r="C25" s="56" t="n"/>
      <ns0:c r="D25" s="56" t="n"/>
      <ns0:c r="E25" s="56" t="n"/>
      <ns0:c r="F25" s="56" t="n"/>
      <ns0:c r="G25" s="56" t="n"/>
      <ns0:c r="H25" s="56" t="n"/>
      <ns0:c r="I25" s="56" t="n"/>
      <ns0:c r="J25" s="56" t="n"/>
      <ns0:c r="K25" s="56" t="n"/>
      <ns0:c r="L25" s="56" t="n"/>
      <ns0:c r="M25" s="56" t="n"/>
      <ns0:c r="N25" s="56" t="n"/>
      <ns0:c r="O25" s="56" t="n"/>
      <ns0:c r="P25" s="56" t="n"/>
      <ns0:c r="Q25" s="56" t="n"/>
      <ns0:c r="R25" s="56" t="n"/>
      <ns0:c r="S25" s="56" t="n"/>
      <ns0:c r="T25" s="56" t="n"/>
      <ns0:c r="U25" s="56" t="n"/>
      <ns0:c r="V25" s="56" t="n"/>
      <ns0:c r="W25" s="56" t="n"/>
      <ns0:c r="X25" s="56" t="n"/>
      <ns0:c r="Y25" s="57" t="n"/>
    </ns0:row>
    <ns0:row r="26">
      <ns0:c r="A26" s="49" t="n"/>
      <ns0:c r="B26" s="56" t="n"/>
      <ns0:c r="C26" s="56" t="n"/>
      <ns0:c r="D26" s="56" t="n"/>
      <ns0:c r="E26" s="56" t="n"/>
      <ns0:c r="F26" s="56" t="n"/>
      <ns0:c r="G26" s="56" t="n"/>
      <ns0:c r="H26" s="56" t="n"/>
      <ns0:c r="I26" s="56" t="n"/>
      <ns0:c r="J26" s="56" t="n"/>
      <ns0:c r="K26" s="56" t="n"/>
      <ns0:c r="L26" s="56" t="n"/>
      <ns0:c r="M26" s="56" t="n"/>
      <ns0:c r="N26" s="56" t="n"/>
      <ns0:c r="O26" s="56" t="n"/>
      <ns0:c r="P26" s="56" t="n"/>
      <ns0:c r="Q26" s="56" t="n"/>
      <ns0:c r="R26" s="56" t="n"/>
      <ns0:c r="S26" s="56" t="n"/>
      <ns0:c r="T26" s="56" t="n"/>
      <ns0:c r="U26" s="56" t="n"/>
      <ns0:c r="V26" s="56" t="n"/>
      <ns0:c r="W26" s="56" t="n"/>
      <ns0:c r="X26" s="56" t="n"/>
      <ns0:c r="Y26" s="57" t="n"/>
    </ns0:row>
    <ns0:row r="27">
      <ns0:c r="A27" s="49" t="n"/>
      <ns0:c r="B27" s="56" t="n"/>
      <ns0:c r="C27" s="56" t="n"/>
      <ns0:c r="D27" s="56" t="n"/>
      <ns0:c r="E27" s="56" t="n"/>
      <ns0:c r="F27" s="56" t="n"/>
      <ns0:c r="G27" s="56" t="n"/>
      <ns0:c r="H27" s="56" t="n"/>
      <ns0:c r="I27" s="56" t="n"/>
      <ns0:c r="J27" s="56" t="n"/>
      <ns0:c r="K27" s="56" t="n"/>
      <ns0:c r="L27" s="56" t="n"/>
      <ns0:c r="M27" s="56" t="n"/>
      <ns0:c r="N27" s="56" t="n"/>
      <ns0:c r="O27" s="56" t="n"/>
      <ns0:c r="P27" s="56" t="n"/>
      <ns0:c r="Q27" s="56" t="n"/>
      <ns0:c r="R27" s="56" t="n"/>
      <ns0:c r="S27" s="56" t="n"/>
      <ns0:c r="T27" s="56" t="n"/>
      <ns0:c r="U27" s="56" t="n"/>
      <ns0:c r="V27" s="56" t="n"/>
      <ns0:c r="W27" s="56" t="n"/>
      <ns0:c r="X27" s="56" t="n"/>
      <ns0:c r="Y27" s="57" t="n"/>
    </ns0:row>
    <ns0:row r="28">
      <ns0:c r="A28" s="49" t="n"/>
      <ns0:c r="B28" s="56" t="n"/>
      <ns0:c r="C28" s="56" t="n"/>
      <ns0:c r="D28" s="56" t="n"/>
      <ns0:c r="E28" s="56" t="n"/>
      <ns0:c r="F28" s="56" t="n"/>
      <ns0:c r="G28" s="56" t="n"/>
      <ns0:c r="H28" s="56" t="n"/>
      <ns0:c r="I28" s="56" t="n"/>
      <ns0:c r="J28" s="56" t="n"/>
      <ns0:c r="K28" s="56" t="n"/>
      <ns0:c r="L28" s="56" t="n"/>
      <ns0:c r="M28" s="56" t="n"/>
      <ns0:c r="N28" s="56" t="n"/>
      <ns0:c r="O28" s="56" t="n"/>
      <ns0:c r="P28" s="56" t="n"/>
      <ns0:c r="Q28" s="56" t="n"/>
      <ns0:c r="R28" s="56" t="n"/>
      <ns0:c r="S28" s="56" t="n"/>
      <ns0:c r="T28" s="56" t="n"/>
      <ns0:c r="U28" s="56" t="n"/>
      <ns0:c r="V28" s="56" t="n"/>
      <ns0:c r="W28" s="56" t="n"/>
      <ns0:c r="X28" s="56" t="n"/>
      <ns0:c r="Y28" s="57" t="n"/>
    </ns0:row>
    <ns0:row r="29">
      <ns0:c r="A29" s="49" t="n"/>
      <ns0:c r="B29" s="56" t="n"/>
      <ns0:c r="C29" s="56" t="n"/>
      <ns0:c r="D29" s="56" t="n"/>
      <ns0:c r="E29" s="56" t="n"/>
      <ns0:c r="F29" s="56" t="n"/>
      <ns0:c r="G29" s="56" t="n"/>
      <ns0:c r="H29" s="56" t="n"/>
      <ns0:c r="I29" s="56" t="n"/>
      <ns0:c r="J29" s="56" t="n"/>
      <ns0:c r="K29" s="56" t="n"/>
      <ns0:c r="L29" s="56" t="n"/>
      <ns0:c r="M29" s="56" t="n"/>
      <ns0:c r="N29" s="56" t="n"/>
      <ns0:c r="O29" s="56" t="n"/>
      <ns0:c r="P29" s="56" t="n"/>
      <ns0:c r="Q29" s="56" t="n"/>
      <ns0:c r="R29" s="56" t="n"/>
      <ns0:c r="S29" s="56" t="n"/>
      <ns0:c r="T29" s="56" t="n"/>
      <ns0:c r="U29" s="56" t="n"/>
      <ns0:c r="V29" s="56" t="n"/>
      <ns0:c r="W29" s="56" t="n"/>
      <ns0:c r="X29" s="56" t="n"/>
      <ns0:c r="Y29" s="57" t="n"/>
    </ns0:row>
    <ns0:row r="30">
      <ns0:c r="A30" s="49" t="n"/>
      <ns0:c r="B30" s="56" t="n"/>
      <ns0:c r="C30" s="56" t="n"/>
      <ns0:c r="D30" s="56" t="n"/>
      <ns0:c r="E30" s="56" t="n"/>
      <ns0:c r="F30" s="56" t="n"/>
      <ns0:c r="G30" s="56" t="n"/>
      <ns0:c r="H30" s="56" t="n"/>
      <ns0:c r="I30" s="56" t="n"/>
      <ns0:c r="J30" s="56" t="n"/>
      <ns0:c r="K30" s="56" t="n"/>
      <ns0:c r="L30" s="56" t="n"/>
      <ns0:c r="M30" s="56" t="n"/>
      <ns0:c r="N30" s="56" t="n"/>
      <ns0:c r="O30" s="56" t="n"/>
      <ns0:c r="P30" s="56" t="n"/>
      <ns0:c r="Q30" s="56" t="n"/>
      <ns0:c r="R30" s="56" t="n"/>
      <ns0:c r="S30" s="56" t="n"/>
      <ns0:c r="T30" s="56" t="n"/>
      <ns0:c r="U30" s="56" t="n"/>
      <ns0:c r="V30" s="56" t="n"/>
      <ns0:c r="W30" s="56" t="n"/>
      <ns0:c r="X30" s="56" t="n"/>
      <ns0:c r="Y30" s="57" t="n"/>
    </ns0:row>
    <ns0:row r="31">
      <ns0:c r="A31" s="49" t="n"/>
      <ns0:c r="B31" s="56" t="n"/>
      <ns0:c r="C31" s="56" t="n"/>
      <ns0:c r="D31" s="56" t="n"/>
      <ns0:c r="E31" s="56" t="n"/>
      <ns0:c r="F31" s="56" t="n"/>
      <ns0:c r="G31" s="56" t="n"/>
      <ns0:c r="H31" s="56" t="n"/>
      <ns0:c r="I31" s="56" t="n"/>
      <ns0:c r="J31" s="56" t="n"/>
      <ns0:c r="K31" s="56" t="n"/>
      <ns0:c r="L31" s="56" t="n"/>
      <ns0:c r="M31" s="56" t="n"/>
      <ns0:c r="N31" s="56" t="n"/>
      <ns0:c r="O31" s="56" t="n"/>
      <ns0:c r="P31" s="56" t="n"/>
      <ns0:c r="Q31" s="56" t="n"/>
      <ns0:c r="R31" s="56" t="n"/>
      <ns0:c r="S31" s="56" t="n"/>
      <ns0:c r="T31" s="56" t="n"/>
      <ns0:c r="U31" s="56" t="n"/>
      <ns0:c r="V31" s="56" t="n"/>
      <ns0:c r="W31" s="56" t="n"/>
      <ns0:c r="X31" s="56" t="n"/>
      <ns0:c r="Y31" s="57" t="n"/>
    </ns0:row>
    <ns0:row r="32">
      <ns0:c r="A32" s="49" t="n"/>
      <ns0:c r="B32" s="56" t="n"/>
      <ns0:c r="C32" s="56" t="n"/>
      <ns0:c r="D32" s="56" t="n"/>
      <ns0:c r="E32" s="56" t="n"/>
      <ns0:c r="F32" s="56" t="n"/>
      <ns0:c r="G32" s="56" t="n"/>
      <ns0:c r="H32" s="56" t="n"/>
      <ns0:c r="I32" s="56" t="n"/>
      <ns0:c r="J32" s="56" t="n"/>
      <ns0:c r="K32" s="56" t="n"/>
      <ns0:c r="L32" s="56" t="n"/>
      <ns0:c r="M32" s="56" t="n"/>
      <ns0:c r="N32" s="56" t="n"/>
      <ns0:c r="O32" s="56" t="n"/>
      <ns0:c r="P32" s="56" t="n"/>
      <ns0:c r="Q32" s="56" t="n"/>
      <ns0:c r="R32" s="56" t="n"/>
      <ns0:c r="S32" s="56" t="n"/>
      <ns0:c r="T32" s="56" t="n"/>
      <ns0:c r="U32" s="56" t="n"/>
      <ns0:c r="V32" s="56" t="n"/>
      <ns0:c r="W32" s="56" t="n"/>
      <ns0:c r="X32" s="56" t="n"/>
      <ns0:c r="Y32" s="57" t="n"/>
    </ns0:row>
    <ns0:row r="33">
      <ns0:c r="A33" s="49" t="n"/>
      <ns0:c r="B33" s="56" t="n"/>
      <ns0:c r="C33" s="56" t="n"/>
      <ns0:c r="D33" s="56" t="n"/>
      <ns0:c r="E33" s="56" t="n"/>
      <ns0:c r="F33" s="56" t="n"/>
      <ns0:c r="G33" s="56" t="n"/>
      <ns0:c r="H33" s="56" t="n"/>
      <ns0:c r="I33" s="56" t="n"/>
      <ns0:c r="J33" s="56" t="n"/>
      <ns0:c r="K33" s="56" t="n"/>
      <ns0:c r="L33" s="56" t="n"/>
      <ns0:c r="M33" s="56" t="n"/>
      <ns0:c r="N33" s="56" t="n"/>
      <ns0:c r="O33" s="56" t="n"/>
      <ns0:c r="P33" s="56" t="n"/>
      <ns0:c r="Q33" s="56" t="n"/>
      <ns0:c r="R33" s="56" t="n"/>
      <ns0:c r="S33" s="56" t="n"/>
      <ns0:c r="T33" s="56" t="n"/>
      <ns0:c r="U33" s="56" t="n"/>
      <ns0:c r="V33" s="56" t="n"/>
      <ns0:c r="W33" s="56" t="n"/>
      <ns0:c r="X33" s="56" t="n"/>
      <ns0:c r="Y33" s="57" t="n"/>
    </ns0:row>
    <ns0:row r="34">
      <ns0:c r="A34" s="49" t="n"/>
      <ns0:c r="B34" s="56" t="n"/>
      <ns0:c r="C34" s="56" t="n"/>
      <ns0:c r="D34" s="56" t="n"/>
      <ns0:c r="E34" s="56" t="n"/>
      <ns0:c r="F34" s="56" t="n"/>
      <ns0:c r="G34" s="56" t="n"/>
      <ns0:c r="H34" s="56" t="n"/>
      <ns0:c r="I34" s="56" t="n"/>
      <ns0:c r="J34" s="56" t="n"/>
      <ns0:c r="K34" s="56" t="n"/>
      <ns0:c r="L34" s="56" t="n"/>
      <ns0:c r="M34" s="56" t="n"/>
      <ns0:c r="N34" s="56" t="n"/>
      <ns0:c r="O34" s="56" t="n"/>
      <ns0:c r="P34" s="56" t="n"/>
      <ns0:c r="Q34" s="56" t="n"/>
      <ns0:c r="R34" s="56" t="n"/>
      <ns0:c r="S34" s="56" t="n"/>
      <ns0:c r="T34" s="56" t="n"/>
      <ns0:c r="U34" s="56" t="n"/>
      <ns0:c r="V34" s="56" t="n"/>
      <ns0:c r="W34" s="56" t="n"/>
      <ns0:c r="X34" s="56" t="n"/>
      <ns0:c r="Y34" s="57" t="n"/>
    </ns0:row>
    <ns0:row r="35">
      <ns0:c r="A35" s="49" t="n"/>
      <ns0:c r="B35" s="56" t="n"/>
      <ns0:c r="C35" s="56" t="n"/>
      <ns0:c r="D35" s="56" t="n"/>
      <ns0:c r="E35" s="56" t="n"/>
      <ns0:c r="F35" s="56" t="n"/>
      <ns0:c r="G35" s="56" t="n"/>
      <ns0:c r="H35" s="56" t="n"/>
      <ns0:c r="I35" s="56" t="n"/>
      <ns0:c r="J35" s="56" t="n"/>
      <ns0:c r="K35" s="56" t="n"/>
      <ns0:c r="L35" s="56" t="n"/>
      <ns0:c r="M35" s="56" t="n"/>
      <ns0:c r="N35" s="56" t="n"/>
      <ns0:c r="O35" s="56" t="n"/>
      <ns0:c r="P35" s="56" t="n"/>
      <ns0:c r="Q35" s="56" t="n"/>
      <ns0:c r="R35" s="56" t="n"/>
      <ns0:c r="S35" s="56" t="n"/>
      <ns0:c r="T35" s="56" t="n"/>
      <ns0:c r="U35" s="56" t="n"/>
      <ns0:c r="V35" s="56" t="n"/>
      <ns0:c r="W35" s="56" t="n"/>
      <ns0:c r="X35" s="56" t="n"/>
      <ns0:c r="Y35" s="57" t="n"/>
    </ns0:row>
    <ns0:row r="36">
      <ns0:c r="A36" s="49" t="n"/>
      <ns0:c r="B36" s="56" t="n"/>
      <ns0:c r="C36" s="56" t="n"/>
      <ns0:c r="D36" s="56" t="n"/>
      <ns0:c r="E36" s="56" t="n"/>
      <ns0:c r="F36" s="56" t="n"/>
      <ns0:c r="G36" s="56" t="n"/>
      <ns0:c r="H36" s="56" t="n"/>
      <ns0:c r="I36" s="56" t="n"/>
      <ns0:c r="J36" s="56" t="n"/>
      <ns0:c r="K36" s="56" t="n"/>
      <ns0:c r="L36" s="56" t="n"/>
      <ns0:c r="M36" s="56" t="n"/>
      <ns0:c r="N36" s="56" t="n"/>
      <ns0:c r="O36" s="56" t="n"/>
      <ns0:c r="P36" s="56" t="n"/>
      <ns0:c r="Q36" s="56" t="n"/>
      <ns0:c r="R36" s="56" t="n"/>
      <ns0:c r="S36" s="56" t="n"/>
      <ns0:c r="T36" s="56" t="n"/>
      <ns0:c r="U36" s="56" t="n"/>
      <ns0:c r="V36" s="56" t="n"/>
      <ns0:c r="W36" s="56" t="n"/>
      <ns0:c r="X36" s="56" t="n"/>
      <ns0:c r="Y36" s="57" t="n"/>
    </ns0:row>
    <ns0:row r="37">
      <ns0:c r="A37" s="49" t="n"/>
      <ns0:c r="B37" s="56" t="n"/>
      <ns0:c r="C37" s="56" t="n"/>
      <ns0:c r="D37" s="56" t="n"/>
      <ns0:c r="E37" s="56" t="n"/>
      <ns0:c r="F37" s="56" t="n"/>
      <ns0:c r="G37" s="56" t="n"/>
      <ns0:c r="H37" s="56" t="n"/>
      <ns0:c r="I37" s="56" t="n"/>
      <ns0:c r="J37" s="56" t="n"/>
      <ns0:c r="K37" s="56" t="n"/>
      <ns0:c r="L37" s="56" t="n"/>
      <ns0:c r="M37" s="56" t="n"/>
      <ns0:c r="N37" s="56" t="n"/>
      <ns0:c r="O37" s="56" t="n"/>
      <ns0:c r="P37" s="56" t="n"/>
      <ns0:c r="Q37" s="56" t="n"/>
      <ns0:c r="R37" s="56" t="n"/>
      <ns0:c r="S37" s="56" t="n"/>
      <ns0:c r="T37" s="56" t="n"/>
      <ns0:c r="U37" s="56" t="n"/>
      <ns0:c r="V37" s="56" t="n"/>
      <ns0:c r="W37" s="56" t="n"/>
      <ns0:c r="X37" s="56" t="n"/>
      <ns0:c r="Y37" s="57" t="n"/>
    </ns0:row>
    <ns0:row r="38">
      <ns0:c r="A38" s="49" t="n"/>
      <ns0:c r="B38" s="56" t="n"/>
      <ns0:c r="C38" s="56" t="n"/>
      <ns0:c r="D38" s="56" t="n"/>
      <ns0:c r="E38" s="56" t="n"/>
      <ns0:c r="F38" s="56" t="n"/>
      <ns0:c r="G38" s="56" t="n"/>
      <ns0:c r="H38" s="56" t="n"/>
      <ns0:c r="I38" s="56" t="n"/>
      <ns0:c r="J38" s="56" t="n"/>
      <ns0:c r="K38" s="56" t="n"/>
      <ns0:c r="L38" s="56" t="n"/>
      <ns0:c r="M38" s="56" t="n"/>
      <ns0:c r="N38" s="56" t="n"/>
      <ns0:c r="O38" s="56" t="n"/>
      <ns0:c r="P38" s="56" t="n"/>
      <ns0:c r="Q38" s="56" t="n"/>
      <ns0:c r="R38" s="56" t="n"/>
      <ns0:c r="S38" s="56" t="n"/>
      <ns0:c r="T38" s="56" t="n"/>
      <ns0:c r="U38" s="56" t="n"/>
      <ns0:c r="V38" s="56" t="n"/>
      <ns0:c r="W38" s="56" t="n"/>
      <ns0:c r="X38" s="56" t="n"/>
      <ns0:c r="Y38" s="57" t="n"/>
    </ns0:row>
    <ns0:row r="39">
      <ns0:c r="A39" s="49" t="n"/>
      <ns0:c r="B39" s="56" t="n"/>
      <ns0:c r="C39" s="56" t="n"/>
      <ns0:c r="D39" s="56" t="n"/>
      <ns0:c r="E39" s="56" t="n"/>
      <ns0:c r="F39" s="56" t="n"/>
      <ns0:c r="G39" s="56" t="n"/>
      <ns0:c r="H39" s="56" t="n"/>
      <ns0:c r="I39" s="56" t="n"/>
      <ns0:c r="J39" s="56" t="n"/>
      <ns0:c r="K39" s="56" t="n"/>
      <ns0:c r="L39" s="56" t="n"/>
      <ns0:c r="M39" s="56" t="n"/>
      <ns0:c r="N39" s="56" t="n"/>
      <ns0:c r="O39" s="56" t="n"/>
      <ns0:c r="P39" s="56" t="n"/>
      <ns0:c r="Q39" s="56" t="n"/>
      <ns0:c r="R39" s="56" t="n"/>
      <ns0:c r="S39" s="56" t="n"/>
      <ns0:c r="T39" s="56" t="n"/>
      <ns0:c r="U39" s="56" t="n"/>
      <ns0:c r="V39" s="56" t="n"/>
      <ns0:c r="W39" s="56" t="n"/>
      <ns0:c r="X39" s="56" t="n"/>
      <ns0:c r="Y39" s="57" t="n"/>
    </ns0:row>
    <ns0:row r="40">
      <ns0:c r="A40" s="49" t="n"/>
      <ns0:c r="B40" s="56" t="n"/>
      <ns0:c r="C40" s="56" t="n"/>
      <ns0:c r="D40" s="56" t="n"/>
      <ns0:c r="E40" s="56" t="n"/>
      <ns0:c r="F40" s="56" t="n"/>
      <ns0:c r="G40" s="56" t="n"/>
      <ns0:c r="H40" s="56" t="n"/>
      <ns0:c r="I40" s="56" t="n"/>
      <ns0:c r="J40" s="56" t="n"/>
      <ns0:c r="K40" s="56" t="n"/>
      <ns0:c r="L40" s="56" t="n"/>
      <ns0:c r="M40" s="56" t="n"/>
      <ns0:c r="N40" s="56" t="n"/>
      <ns0:c r="O40" s="56" t="n"/>
      <ns0:c r="P40" s="56" t="n"/>
      <ns0:c r="Q40" s="56" t="n"/>
      <ns0:c r="R40" s="56" t="n"/>
      <ns0:c r="S40" s="56" t="n"/>
      <ns0:c r="T40" s="56" t="n"/>
      <ns0:c r="U40" s="56" t="n"/>
      <ns0:c r="V40" s="56" t="n"/>
      <ns0:c r="W40" s="56" t="n"/>
      <ns0:c r="X40" s="56" t="n"/>
      <ns0:c r="Y40" s="57" t="n"/>
    </ns0:row>
    <ns0:row r="41">
      <ns0:c r="A41" s="49" t="n"/>
      <ns0:c r="B41" s="56" t="n"/>
      <ns0:c r="C41" s="56" t="n"/>
      <ns0:c r="D41" s="56" t="n"/>
      <ns0:c r="E41" s="56" t="n"/>
      <ns0:c r="F41" s="56" t="n"/>
      <ns0:c r="G41" s="56" t="n"/>
      <ns0:c r="H41" s="56" t="n"/>
      <ns0:c r="I41" s="56" t="n"/>
      <ns0:c r="J41" s="56" t="n"/>
      <ns0:c r="K41" s="56" t="n"/>
      <ns0:c r="L41" s="56" t="n"/>
      <ns0:c r="M41" s="56" t="n"/>
      <ns0:c r="N41" s="56" t="n"/>
      <ns0:c r="O41" s="56" t="n"/>
      <ns0:c r="P41" s="56" t="n"/>
      <ns0:c r="Q41" s="56" t="n"/>
      <ns0:c r="R41" s="56" t="n"/>
      <ns0:c r="S41" s="56" t="n"/>
      <ns0:c r="T41" s="56" t="n"/>
      <ns0:c r="U41" s="56" t="n"/>
      <ns0:c r="V41" s="56" t="n"/>
      <ns0:c r="W41" s="56" t="n"/>
      <ns0:c r="X41" s="56" t="n"/>
      <ns0:c r="Y41" s="57" t="n"/>
    </ns0:row>
    <ns0:row r="42">
      <ns0:c r="A42" s="49" t="n"/>
      <ns0:c r="B42" s="56" t="n"/>
      <ns0:c r="C42" s="56" t="n"/>
      <ns0:c r="D42" s="56" t="n"/>
      <ns0:c r="E42" s="56" t="n"/>
      <ns0:c r="F42" s="56" t="n"/>
      <ns0:c r="G42" s="56" t="n"/>
      <ns0:c r="H42" s="56" t="n"/>
      <ns0:c r="I42" s="56" t="n"/>
      <ns0:c r="J42" s="56" t="n"/>
      <ns0:c r="K42" s="56" t="n"/>
      <ns0:c r="L42" s="56" t="n"/>
      <ns0:c r="M42" s="56" t="n"/>
      <ns0:c r="N42" s="56" t="n"/>
      <ns0:c r="O42" s="56" t="n"/>
      <ns0:c r="P42" s="56" t="n"/>
      <ns0:c r="Q42" s="56" t="n"/>
      <ns0:c r="R42" s="56" t="n"/>
      <ns0:c r="S42" s="56" t="n"/>
      <ns0:c r="T42" s="56" t="n"/>
      <ns0:c r="U42" s="56" t="n"/>
      <ns0:c r="V42" s="56" t="n"/>
      <ns0:c r="W42" s="56" t="n"/>
      <ns0:c r="X42" s="56" t="n"/>
      <ns0:c r="Y42" s="57" t="n"/>
    </ns0:row>
    <ns0:row r="43">
      <ns0:c r="A43" s="49" t="n"/>
      <ns0:c r="B43" s="56" t="n"/>
      <ns0:c r="C43" s="56" t="n"/>
      <ns0:c r="D43" s="56" t="n"/>
      <ns0:c r="E43" s="56" t="n"/>
      <ns0:c r="F43" s="56" t="n"/>
      <ns0:c r="G43" s="56" t="n"/>
      <ns0:c r="H43" s="56" t="n"/>
      <ns0:c r="I43" s="56" t="n"/>
      <ns0:c r="J43" s="56" t="n"/>
      <ns0:c r="K43" s="56" t="n"/>
      <ns0:c r="L43" s="56" t="n"/>
      <ns0:c r="M43" s="56" t="n"/>
      <ns0:c r="N43" s="56" t="n"/>
      <ns0:c r="O43" s="56" t="n"/>
      <ns0:c r="P43" s="56" t="n"/>
      <ns0:c r="Q43" s="56" t="n"/>
      <ns0:c r="R43" s="56" t="n"/>
      <ns0:c r="S43" s="56" t="n"/>
      <ns0:c r="T43" s="56" t="n"/>
      <ns0:c r="U43" s="56" t="n"/>
      <ns0:c r="V43" s="56" t="n"/>
      <ns0:c r="W43" s="56" t="n"/>
      <ns0:c r="X43" s="56" t="n"/>
      <ns0:c r="Y43" s="57" t="n"/>
    </ns0:row>
    <ns0:row r="44">
      <ns0:c r="A44" s="49" t="n"/>
      <ns0:c r="B44" s="56" t="n"/>
      <ns0:c r="C44" s="56" t="n"/>
      <ns0:c r="D44" s="56" t="n"/>
      <ns0:c r="E44" s="56" t="n"/>
      <ns0:c r="F44" s="56" t="n"/>
      <ns0:c r="G44" s="56" t="n"/>
      <ns0:c r="H44" s="56" t="n"/>
      <ns0:c r="I44" s="56" t="n"/>
      <ns0:c r="J44" s="56" t="n"/>
      <ns0:c r="K44" s="56" t="n"/>
      <ns0:c r="L44" s="56" t="n"/>
      <ns0:c r="M44" s="56" t="n"/>
      <ns0:c r="N44" s="56" t="n"/>
      <ns0:c r="O44" s="56" t="n"/>
      <ns0:c r="P44" s="56" t="n"/>
      <ns0:c r="Q44" s="56" t="n"/>
      <ns0:c r="R44" s="56" t="n"/>
      <ns0:c r="S44" s="56" t="n"/>
      <ns0:c r="T44" s="56" t="n"/>
      <ns0:c r="U44" s="56" t="n"/>
      <ns0:c r="V44" s="56" t="n"/>
      <ns0:c r="W44" s="56" t="n"/>
      <ns0:c r="X44" s="56" t="n"/>
      <ns0:c r="Y44" s="57" t="n"/>
    </ns0:row>
    <ns0:row r="45">
      <ns0:c r="A45" s="49" t="n"/>
      <ns0:c r="B45" s="56" t="n"/>
      <ns0:c r="C45" s="56" t="n"/>
      <ns0:c r="D45" s="56" t="n"/>
      <ns0:c r="E45" s="56" t="n"/>
      <ns0:c r="F45" s="56" t="n"/>
      <ns0:c r="G45" s="56" t="n"/>
      <ns0:c r="H45" s="56" t="n"/>
      <ns0:c r="I45" s="56" t="n"/>
      <ns0:c r="J45" s="56" t="n"/>
      <ns0:c r="K45" s="56" t="n"/>
      <ns0:c r="L45" s="56" t="n"/>
      <ns0:c r="M45" s="56" t="n"/>
      <ns0:c r="N45" s="56" t="n"/>
      <ns0:c r="O45" s="56" t="n"/>
      <ns0:c r="P45" s="56" t="n"/>
      <ns0:c r="Q45" s="56" t="n"/>
      <ns0:c r="R45" s="56" t="n"/>
      <ns0:c r="S45" s="56" t="n"/>
      <ns0:c r="T45" s="56" t="n"/>
      <ns0:c r="U45" s="56" t="n"/>
      <ns0:c r="V45" s="56" t="n"/>
      <ns0:c r="W45" s="56" t="n"/>
      <ns0:c r="X45" s="56" t="n"/>
      <ns0:c r="Y45" s="57" t="n"/>
    </ns0:row>
    <ns0:row r="46">
      <ns0:c r="A46" s="49" t="n"/>
      <ns0:c r="B46" s="56" t="n"/>
      <ns0:c r="C46" s="56" t="n"/>
      <ns0:c r="D46" s="56" t="n"/>
      <ns0:c r="E46" s="56" t="n"/>
      <ns0:c r="F46" s="56" t="n"/>
      <ns0:c r="G46" s="56" t="n"/>
      <ns0:c r="H46" s="56" t="n"/>
      <ns0:c r="I46" s="56" t="n"/>
      <ns0:c r="J46" s="56" t="n"/>
      <ns0:c r="K46" s="56" t="n"/>
      <ns0:c r="L46" s="56" t="n"/>
      <ns0:c r="M46" s="56" t="n"/>
      <ns0:c r="N46" s="56" t="n"/>
      <ns0:c r="O46" s="56" t="n"/>
      <ns0:c r="P46" s="56" t="n"/>
      <ns0:c r="Q46" s="56" t="n"/>
      <ns0:c r="R46" s="56" t="n"/>
      <ns0:c r="S46" s="56" t="n"/>
      <ns0:c r="T46" s="56" t="n"/>
      <ns0:c r="U46" s="56" t="n"/>
      <ns0:c r="V46" s="56" t="n"/>
      <ns0:c r="W46" s="56" t="n"/>
      <ns0:c r="X46" s="56" t="n"/>
      <ns0:c r="Y46" s="57" t="n"/>
    </ns0:row>
    <ns0:row r="47">
      <ns0:c r="A47" s="49" t="n"/>
      <ns0:c r="B47" s="56" t="n"/>
      <ns0:c r="C47" s="56" t="n"/>
      <ns0:c r="D47" s="56" t="n"/>
      <ns0:c r="E47" s="56" t="n"/>
      <ns0:c r="F47" s="56" t="n"/>
      <ns0:c r="G47" s="56" t="n"/>
      <ns0:c r="H47" s="56" t="n"/>
      <ns0:c r="I47" s="56" t="n"/>
      <ns0:c r="J47" s="56" t="n"/>
      <ns0:c r="K47" s="56" t="n"/>
      <ns0:c r="L47" s="56" t="n"/>
      <ns0:c r="M47" s="56" t="n"/>
      <ns0:c r="N47" s="56" t="n"/>
      <ns0:c r="O47" s="56" t="n"/>
      <ns0:c r="P47" s="56" t="n"/>
      <ns0:c r="Q47" s="56" t="n"/>
      <ns0:c r="R47" s="56" t="n"/>
      <ns0:c r="S47" s="56" t="n"/>
      <ns0:c r="T47" s="56" t="n"/>
      <ns0:c r="U47" s="56" t="n"/>
      <ns0:c r="V47" s="56" t="n"/>
      <ns0:c r="W47" s="56" t="n"/>
      <ns0:c r="X47" s="56" t="n"/>
      <ns0:c r="Y47" s="57" t="n"/>
    </ns0:row>
    <ns0:row r="48">
      <ns0:c r="A48" s="49" t="n"/>
      <ns0:c r="B48" s="56" t="n"/>
      <ns0:c r="C48" s="56" t="n"/>
      <ns0:c r="D48" s="56" t="n"/>
      <ns0:c r="E48" s="56" t="n"/>
      <ns0:c r="F48" s="56" t="n"/>
      <ns0:c r="G48" s="56" t="n"/>
      <ns0:c r="H48" s="56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56" t="n"/>
      <ns0:c r="Q48" s="56" t="n"/>
      <ns0:c r="R48" s="56" t="n"/>
      <ns0:c r="S48" s="56" t="n"/>
      <ns0:c r="T48" s="56" t="n"/>
      <ns0:c r="U48" s="56" t="n"/>
      <ns0:c r="V48" s="56" t="n"/>
      <ns0:c r="W48" s="56" t="n"/>
      <ns0:c r="X48" s="56" t="n"/>
      <ns0:c r="Y48" s="57" t="n"/>
    </ns0:row>
    <ns0:row r="49">
      <ns0:c r="A49" s="49" t="n"/>
      <ns0:c r="B49" s="56" t="n"/>
      <ns0:c r="C49" s="56" t="n"/>
      <ns0:c r="D49" s="56" t="n"/>
      <ns0:c r="E49" s="56" t="n"/>
      <ns0:c r="F49" s="56" t="n"/>
      <ns0:c r="G49" s="56" t="n"/>
      <ns0:c r="H49" s="56" t="n"/>
      <ns0:c r="I49" s="56" t="n"/>
      <ns0:c r="J49" s="56" t="n"/>
      <ns0:c r="K49" s="56" t="n"/>
      <ns0:c r="L49" s="56" t="n"/>
      <ns0:c r="M49" s="56" t="n"/>
      <ns0:c r="N49" s="56" t="n"/>
      <ns0:c r="O49" s="56" t="n"/>
      <ns0:c r="P49" s="56" t="n"/>
      <ns0:c r="Q49" s="56" t="n"/>
      <ns0:c r="R49" s="56" t="n"/>
      <ns0:c r="S49" s="56" t="n"/>
      <ns0:c r="T49" s="56" t="n"/>
      <ns0:c r="U49" s="56" t="n"/>
      <ns0:c r="V49" s="56" t="n"/>
      <ns0:c r="W49" s="56" t="n"/>
      <ns0:c r="X49" s="56" t="n"/>
      <ns0:c r="Y49" s="57" t="n"/>
    </ns0:row>
    <ns0:row r="50">
      <ns0:c r="A50" s="49" t="n"/>
      <ns0:c r="B50" s="56" t="n"/>
      <ns0:c r="C50" s="56" t="n"/>
      <ns0:c r="D50" s="56" t="n"/>
      <ns0:c r="E50" s="56" t="n"/>
      <ns0:c r="F50" s="56" t="n"/>
      <ns0:c r="G50" s="56" t="n"/>
      <ns0:c r="H50" s="56" t="n"/>
      <ns0:c r="I50" s="56" t="n"/>
      <ns0:c r="J50" s="56" t="n"/>
      <ns0:c r="K50" s="56" t="n"/>
      <ns0:c r="L50" s="56" t="n"/>
      <ns0:c r="M50" s="56" t="n"/>
      <ns0:c r="N50" s="56" t="n"/>
      <ns0:c r="O50" s="56" t="n"/>
      <ns0:c r="P50" s="56" t="n"/>
      <ns0:c r="Q50" s="56" t="n"/>
      <ns0:c r="R50" s="56" t="n"/>
      <ns0:c r="S50" s="56" t="n"/>
      <ns0:c r="T50" s="56" t="n"/>
      <ns0:c r="U50" s="56" t="n"/>
      <ns0:c r="V50" s="56" t="n"/>
      <ns0:c r="W50" s="56" t="n"/>
      <ns0:c r="X50" s="56" t="n"/>
      <ns0:c r="Y50" s="57" t="n"/>
    </ns0:row>
    <ns0:row r="51">
      <ns0:c r="A51" s="49" t="n"/>
      <ns0:c r="B51" s="56" t="n"/>
      <ns0:c r="C51" s="56" t="n"/>
      <ns0:c r="D51" s="56" t="n"/>
      <ns0:c r="E51" s="56" t="n"/>
      <ns0:c r="F51" s="56" t="n"/>
      <ns0:c r="G51" s="56" t="n"/>
      <ns0:c r="H51" s="56" t="n"/>
      <ns0:c r="I51" s="56" t="n"/>
      <ns0:c r="J51" s="56" t="n"/>
      <ns0:c r="K51" s="56" t="n"/>
      <ns0:c r="L51" s="56" t="n"/>
      <ns0:c r="M51" s="56" t="n"/>
      <ns0:c r="N51" s="56" t="n"/>
      <ns0:c r="O51" s="56" t="n"/>
      <ns0:c r="P51" s="56" t="n"/>
      <ns0:c r="Q51" s="56" t="n"/>
      <ns0:c r="R51" s="56" t="n"/>
      <ns0:c r="S51" s="56" t="n"/>
      <ns0:c r="T51" s="56" t="n"/>
      <ns0:c r="U51" s="56" t="n"/>
      <ns0:c r="V51" s="56" t="n"/>
      <ns0:c r="W51" s="56" t="n"/>
      <ns0:c r="X51" s="56" t="n"/>
      <ns0:c r="Y51" s="57" t="n"/>
    </ns0:row>
    <ns0:row r="52">
      <ns0:c r="A52" s="49" t="n"/>
      <ns0:c r="B52" s="56" t="n"/>
      <ns0:c r="C52" s="56" t="n"/>
      <ns0:c r="D52" s="56" t="n"/>
      <ns0:c r="E52" s="56" t="n"/>
      <ns0:c r="F52" s="56" t="n"/>
      <ns0:c r="G52" s="56" t="n"/>
      <ns0:c r="H52" s="56" t="n"/>
      <ns0:c r="I52" s="56" t="n"/>
      <ns0:c r="J52" s="56" t="n"/>
      <ns0:c r="K52" s="56" t="n"/>
      <ns0:c r="L52" s="56" t="n"/>
      <ns0:c r="M52" s="56" t="n"/>
      <ns0:c r="N52" s="56" t="n"/>
      <ns0:c r="O52" s="56" t="n"/>
      <ns0:c r="P52" s="56" t="n"/>
      <ns0:c r="Q52" s="56" t="n"/>
      <ns0:c r="R52" s="56" t="n"/>
      <ns0:c r="S52" s="56" t="n"/>
      <ns0:c r="T52" s="56" t="n"/>
      <ns0:c r="U52" s="56" t="n"/>
      <ns0:c r="V52" s="56" t="n"/>
      <ns0:c r="W52" s="56" t="n"/>
      <ns0:c r="X52" s="56" t="n"/>
      <ns0:c r="Y52" s="57" t="n"/>
    </ns0:row>
    <ns0:row r="53">
      <ns0:c r="A53" s="49" t="n"/>
      <ns0:c r="B53" s="56" t="n"/>
      <ns0:c r="C53" s="56" t="n"/>
      <ns0:c r="D53" s="56" t="n"/>
      <ns0:c r="E53" s="56" t="n"/>
      <ns0:c r="F53" s="56" t="n"/>
      <ns0:c r="G53" s="56" t="n"/>
      <ns0:c r="H53" s="56" t="n"/>
      <ns0:c r="I53" s="56" t="n"/>
      <ns0:c r="J53" s="56" t="n"/>
      <ns0:c r="K53" s="56" t="n"/>
      <ns0:c r="L53" s="56" t="n"/>
      <ns0:c r="M53" s="56" t="n"/>
      <ns0:c r="N53" s="56" t="n"/>
      <ns0:c r="O53" s="56" t="n"/>
      <ns0:c r="P53" s="56" t="n"/>
      <ns0:c r="Q53" s="56" t="n"/>
      <ns0:c r="R53" s="56" t="n"/>
      <ns0:c r="S53" s="56" t="n"/>
      <ns0:c r="T53" s="56" t="n"/>
      <ns0:c r="U53" s="56" t="n"/>
      <ns0:c r="V53" s="56" t="n"/>
      <ns0:c r="W53" s="56" t="n"/>
      <ns0:c r="X53" s="56" t="n"/>
      <ns0:c r="Y53" s="57" t="n"/>
    </ns0:row>
    <ns0:row r="54">
      <ns0:c r="A54" s="49" t="n"/>
      <ns0:c r="B54" s="56" t="n"/>
      <ns0:c r="C54" s="56" t="n"/>
      <ns0:c r="D54" s="56" t="n"/>
      <ns0:c r="E54" s="56" t="n"/>
      <ns0:c r="F54" s="56" t="n"/>
      <ns0:c r="G54" s="56" t="n"/>
      <ns0:c r="H54" s="56" t="n"/>
      <ns0:c r="I54" s="56" t="n"/>
      <ns0:c r="J54" s="56" t="n"/>
      <ns0:c r="K54" s="56" t="n"/>
      <ns0:c r="L54" s="56" t="n"/>
      <ns0:c r="M54" s="56" t="n"/>
      <ns0:c r="N54" s="56" t="n"/>
      <ns0:c r="O54" s="56" t="n"/>
      <ns0:c r="P54" s="56" t="n"/>
      <ns0:c r="Q54" s="56" t="n"/>
      <ns0:c r="R54" s="56" t="n"/>
      <ns0:c r="S54" s="56" t="n"/>
      <ns0:c r="T54" s="56" t="n"/>
      <ns0:c r="U54" s="56" t="n"/>
      <ns0:c r="V54" s="56" t="n"/>
      <ns0:c r="W54" s="56" t="n"/>
      <ns0:c r="X54" s="56" t="n"/>
      <ns0:c r="Y54" s="57" t="n"/>
    </ns0:row>
    <ns0:row r="55">
      <ns0:c r="A55" s="65" t="n"/>
      <ns0:c r="B55" s="66" t="n"/>
      <ns0:c r="C55" s="66" t="n"/>
      <ns0:c r="D55" s="66" t="n"/>
      <ns0:c r="E55" s="66" t="n"/>
      <ns0:c r="F55" s="66" t="n"/>
      <ns0:c r="G55" s="66" t="n"/>
      <ns0:c r="H55" s="66" t="n"/>
      <ns0:c r="I55" s="66" t="n"/>
      <ns0:c r="J55" s="66" t="n"/>
      <ns0:c r="K55" s="66" t="n"/>
      <ns0:c r="L55" s="66" t="n"/>
      <ns0:c r="M55" s="66" t="n"/>
      <ns0:c r="N55" s="66" t="n"/>
      <ns0:c r="O55" s="66" t="n"/>
      <ns0:c r="P55" s="66" t="n"/>
      <ns0:c r="Q55" s="66" t="n"/>
      <ns0:c r="R55" s="66" t="n"/>
      <ns0:c r="S55" s="66" t="n"/>
      <ns0:c r="T55" s="66" t="n"/>
      <ns0:c r="U55" s="66" t="n"/>
      <ns0:c r="V55" s="66" t="n"/>
      <ns0:c r="W55" s="66" t="n"/>
      <ns0:c r="X55" s="66" t="n"/>
      <ns0:c r="Y55" s="67" t="n"/>
    </ns0:row>
  </ns0:sheetData>
  <ns0:mergeCells count="36">
    <ns0:mergeCell ref="O18:O19"/>
    <ns0:mergeCell ref="S18:S19"/>
    <ns0:mergeCell ref="D16:E17"/>
    <ns0:mergeCell ref="L16:M16"/>
    <ns0:mergeCell ref="D2:O4"/>
    <ns0:mergeCell ref="A14:Y14"/>
    <ns0:mergeCell ref="N18:N19"/>
    <ns0:mergeCell ref="B18:B21"/>
    <ns0:mergeCell ref="A5:Y5"/>
    <ns0:mergeCell ref="C20:C21"/>
    <ns0:mergeCell ref="O20:O21"/>
    <ns0:mergeCell ref="R16:R17"/>
    <ns0:mergeCell ref="C16:C17"/>
    <ns0:mergeCell ref="F20:F21"/>
    <ns0:mergeCell ref="O16:O17"/>
    <ns0:mergeCell ref="D18:E19"/>
    <ns0:mergeCell ref="F18:F19"/>
    <ns0:mergeCell ref="D20:E21"/>
    <ns0:mergeCell ref="R20:R21"/>
    <ns0:mergeCell ref="T16:U17"/>
    <ns0:mergeCell ref="G18:G19"/>
    <ns0:mergeCell ref="G20:G21"/>
    <ns0:mergeCell ref="P16:Q16"/>
    <ns0:mergeCell ref="R18:R19"/>
    <ns0:mergeCell ref="T18:U21"/>
    <ns0:mergeCell ref="S20:S21"/>
    <ns0:mergeCell ref="G16:G17"/>
    <ns0:mergeCell ref="S16:S17"/>
    <ns0:mergeCell ref="A7:Y7"/>
    <ns0:mergeCell ref="A2:B4"/>
    <ns0:mergeCell ref="N20:N21"/>
    <ns0:mergeCell ref="H16:K16"/>
    <ns0:mergeCell ref="B16:B17"/>
    <ns0:mergeCell ref="N16:N17"/>
    <ns0:mergeCell ref="C18:C19"/>
    <ns0:mergeCell ref="F16:F17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1:F17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3" max="3"/>
    <ns0:col width="13.28571428571429" customWidth="1" min="4" max="4"/>
    <ns0:col width="13.28571428571429" customWidth="1" min="5" max="5"/>
    <ns0:col width="13.28571428571429" customWidth="1" min="6" max="6"/>
  </ns0:cols>
  <ns0:sheetData>
    <ns0:row r="1">
      <ns0:c r="B1" s="78" t="n"/>
      <ns0:c r="C1" s="19" t="n"/>
      <ns0:c r="D1" s="19" t="n"/>
      <ns0:c r="E1" s="19" t="n"/>
      <ns0:c r="F1" s="19" t="n"/>
    </ns0:row>
    <ns0:row r="2">
      <ns0:c r="B2" s="79" t="inlineStr">
        <ns0:is>
          <ns0:t>RESULT CHECKING DIMENSION MG-A/B OF 201506 SPEC 0.73 +0/-0.05</ns0:t>
        </ns0:is>
      </ns0:c>
      <ns0:c r="C2" s="80" t="n"/>
      <ns0:c r="D2" s="80" t="n"/>
      <ns0:c r="E2" s="80" t="n"/>
      <ns0:c r="F2" s="45" t="n"/>
    </ns0:row>
    <ns0:row r="3">
      <ns0:c r="B3" s="18" t="n"/>
      <ns0:c r="C3" s="19" t="n"/>
      <ns0:c r="D3" s="19" t="n"/>
      <ns0:c r="E3" s="19" t="n"/>
      <ns0:c r="F3" s="17" t="n"/>
    </ns0:row>
    <ns0:row r="4">
      <ns0:c r="B4" s="79" t="inlineStr">
        <ns0:is>
          <ns0:t>No</ns0:t>
        </ns0:is>
      </ns0:c>
      <ns0:c r="C4" s="81" t="inlineStr">
        <ns0:is>
          <ns0:t>MG - A ( Short )</ns0:t>
        </ns0:is>
      </ns0:c>
      <ns0:c r="D4" s="47" t="n"/>
      <ns0:c r="E4" s="81" t="inlineStr">
        <ns0:is>
          <ns0:t>MG-B ( Long )</ns0:t>
        </ns0:is>
      </ns0:c>
      <ns0:c r="F4" s="47" t="n"/>
    </ns0:row>
    <ns0:row r="5">
      <ns0:c r="B5" s="82" t="n">
        <ns0:v>1</ns0:v>
      </ns0:c>
      <ns0:c r="C5" s="83" t="n">
        <ns0:v>0.7</ns0:v>
      </ns0:c>
      <ns0:c r="D5" s="47" t="n"/>
      <ns0:c r="E5" s="83" t="n">
        <ns0:v>0.7</ns0:v>
      </ns0:c>
      <ns0:c r="F5" s="47" t="n"/>
    </ns0:row>
    <ns0:row r="6">
      <ns0:c r="B6" s="82" t="n">
        <ns0:v>2</ns0:v>
      </ns0:c>
      <ns0:c r="C6" s="84" t="n">
        <ns0:v>0.71</ns0:v>
      </ns0:c>
      <ns0:c r="D6" s="47" t="n"/>
      <ns0:c r="E6" s="83" t="n">
        <ns0:v>0.7</ns0:v>
      </ns0:c>
      <ns0:c r="F6" s="47" t="n"/>
    </ns0:row>
    <ns0:row r="7">
      <ns0:c r="B7" s="82" t="n">
        <ns0:v>3</ns0:v>
      </ns0:c>
      <ns0:c r="C7" s="84" t="n">
        <ns0:v>0.71</ns0:v>
      </ns0:c>
      <ns0:c r="D7" s="47" t="n"/>
      <ns0:c r="E7" s="83" t="n">
        <ns0:v>0.68</ns0:v>
      </ns0:c>
      <ns0:c r="F7" s="47" t="n"/>
    </ns0:row>
    <ns0:row r="8">
      <ns0:c r="B8" s="82" t="n">
        <ns0:v>4</ns0:v>
      </ns0:c>
      <ns0:c r="C8" s="84" t="n">
        <ns0:v>0.71</ns0:v>
      </ns0:c>
      <ns0:c r="D8" s="47" t="n"/>
      <ns0:c r="E8" s="83" t="n">
        <ns0:v>0.7</ns0:v>
      </ns0:c>
      <ns0:c r="F8" s="47" t="n"/>
    </ns0:row>
    <ns0:row r="9">
      <ns0:c r="B9" s="82" t="n">
        <ns0:v>5</ns0:v>
      </ns0:c>
      <ns0:c r="C9" s="83" t="n">
        <ns0:v>0.7</ns0:v>
      </ns0:c>
      <ns0:c r="D9" s="47" t="n"/>
      <ns0:c r="E9" s="83" t="n">
        <ns0:v>0.7</ns0:v>
      </ns0:c>
      <ns0:c r="F9" s="47" t="n"/>
    </ns0:row>
    <ns0:row r="10">
      <ns0:c r="B10" s="82" t="n">
        <ns0:v>6</ns0:v>
      </ns0:c>
      <ns0:c r="C10" s="84" t="n">
        <ns0:v>0.71</ns0:v>
      </ns0:c>
      <ns0:c r="D10" s="47" t="n"/>
      <ns0:c r="E10" s="83" t="n">
        <ns0:v>0.6899999999999999</ns0:v>
      </ns0:c>
      <ns0:c r="F10" s="47" t="n"/>
    </ns0:row>
    <ns0:row r="11">
      <ns0:c r="B11" s="82" t="n">
        <ns0:v>7</ns0:v>
      </ns0:c>
      <ns0:c r="C11" s="84" t="n">
        <ns0:v>0.71</ns0:v>
      </ns0:c>
      <ns0:c r="D11" s="47" t="n"/>
      <ns0:c r="E11" s="83" t="n">
        <ns0:v>0.6899999999999999</ns0:v>
      </ns0:c>
      <ns0:c r="F11" s="47" t="n"/>
    </ns0:row>
    <ns0:row r="12">
      <ns0:c r="B12" s="82" t="n">
        <ns0:v>8</ns0:v>
      </ns0:c>
      <ns0:c r="C12" s="84" t="n">
        <ns0:v>0.7</ns0:v>
      </ns0:c>
      <ns0:c r="D12" s="47" t="n"/>
      <ns0:c r="E12" s="83" t="n">
        <ns0:v>0.7</ns0:v>
      </ns0:c>
      <ns0:c r="F12" s="47" t="n"/>
    </ns0:row>
    <ns0:row r="13">
      <ns0:c r="B13" s="82" t="n">
        <ns0:v>9</ns0:v>
      </ns0:c>
      <ns0:c r="C13" s="84" t="n">
        <ns0:v>0.71</ns0:v>
      </ns0:c>
      <ns0:c r="D13" s="47" t="n"/>
      <ns0:c r="E13" s="83" t="n">
        <ns0:v>0.7</ns0:v>
      </ns0:c>
      <ns0:c r="F13" s="47" t="n"/>
    </ns0:row>
    <ns0:row r="14">
      <ns0:c r="B14" s="82" t="n">
        <ns0:v>10</ns0:v>
      </ns0:c>
      <ns0:c r="C14" s="84" t="n">
        <ns0:v>0.71</ns0:v>
      </ns0:c>
      <ns0:c r="D14" s="47" t="n"/>
      <ns0:c r="E14" s="83" t="n">
        <ns0:v>0.7</ns0:v>
      </ns0:c>
      <ns0:c r="F14" s="47" t="n"/>
    </ns0:row>
    <ns0:row r="15">
      <ns0:c r="B15" s="85" t="inlineStr">
        <ns0:is>
          <ns0:t>MIN</ns0:t>
        </ns0:is>
      </ns0:c>
      <ns0:c r="C15" s="86" t="n">
        <ns0:v>0.7</ns0:v>
      </ns0:c>
      <ns0:c r="D15" s="47" t="n"/>
      <ns0:c r="E15" s="87" t="n">
        <ns0:v>0.68</ns0:v>
      </ns0:c>
      <ns0:c r="F15" s="47" t="n"/>
    </ns0:row>
    <ns0:row r="16">
      <ns0:c r="B16" s="85" t="inlineStr">
        <ns0:is>
          <ns0:t>MAX</ns0:t>
        </ns0:is>
      </ns0:c>
      <ns0:c r="C16" s="86" t="n">
        <ns0:v>0.71</ns0:v>
      </ns0:c>
      <ns0:c r="D16" s="47" t="n"/>
      <ns0:c r="E16" s="86" t="n">
        <ns0:v>0.7</ns0:v>
      </ns0:c>
      <ns0:c r="F16" s="47" t="n"/>
    </ns0:row>
    <ns0:row r="17">
      <ns0:c r="B17" s="85" t="inlineStr">
        <ns0:is>
          <ns0:t>AVG</ns0:t>
        </ns0:is>
      </ns0:c>
      <ns0:c r="C17" s="86" t="n">
        <ns0:v>0.7070000000000001</ns0:v>
      </ns0:c>
      <ns0:c r="D17" s="47" t="n"/>
      <ns0:c r="E17" s="86" t="n">
        <ns0:v>0.696</ns0:v>
      </ns0:c>
      <ns0:c r="F17" s="47" t="n"/>
    </ns0:row>
  </ns0:sheetData>
  <ns0:mergeCells count="30">
    <ns0:mergeCell ref="E12:F12"/>
    <ns0:mergeCell ref="C6:D6"/>
    <ns0:mergeCell ref="C15:D15"/>
    <ns0:mergeCell ref="C5:D5"/>
    <ns0:mergeCell ref="E5:F5"/>
    <ns0:mergeCell ref="C14:D14"/>
    <ns0:mergeCell ref="E14:F14"/>
    <ns0:mergeCell ref="E17:F17"/>
    <ns0:mergeCell ref="E8:F8"/>
    <ns0:mergeCell ref="C4:D4"/>
    <ns0:mergeCell ref="E4:F4"/>
    <ns0:mergeCell ref="C10:D10"/>
    <ns0:mergeCell ref="C16:D16"/>
    <ns0:mergeCell ref="E10:F10"/>
    <ns0:mergeCell ref="E13:F13"/>
    <ns0:mergeCell ref="B1:F1"/>
    <ns0:mergeCell ref="C9:D9"/>
    <ns0:mergeCell ref="E9:F9"/>
    <ns0:mergeCell ref="C12:D12"/>
    <ns0:mergeCell ref="E6:F6"/>
    <ns0:mergeCell ref="E15:F15"/>
    <ns0:mergeCell ref="C11:D11"/>
    <ns0:mergeCell ref="E11:F11"/>
    <ns0:mergeCell ref="C17:D17"/>
    <ns0:mergeCell ref="C8:D8"/>
    <ns0:mergeCell ref="C7:D7"/>
    <ns0:mergeCell ref="E16:F16"/>
    <ns0:mergeCell ref="E7:F7"/>
    <ns0:mergeCell ref="B2:F3"/>
    <ns0:mergeCell ref="C13:D13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2:Q22"/>
  <ns0:sheetViews>
    <ns0:sheetView workbookViewId="0">
      <ns0:selection activeCell="A1" sqref="A1"/>
    </ns0:sheetView>
  </ns0:sheetViews>
  <ns0:sheetFormatPr baseColWidth="8" defaultRowHeight="15"/>
  <ns0:cols>
    <ns0:col width="12.14285714285714" customWidth="1" min="3" max="3"/>
    <ns0:col width="13.14285714285714" customWidth="1" min="4" max="4"/>
    <ns0:col width="11.28571428571429" customWidth="1" min="6" max="6"/>
    <ns0:col width="11.28571428571429" customWidth="1" min="7" max="7"/>
    <ns0:col width="11.85714285714286" customWidth="1" min="9" max="9"/>
    <ns0:col width="11.42857142857143" customWidth="1" min="10" max="10"/>
    <ns0:col width="11.42857142857143" customWidth="1" min="11" max="11"/>
    <ns0:col width="11.42857142857143" customWidth="1" min="12" max="12"/>
    <ns0:col width="11.42857142857143" customWidth="1" min="13" max="13"/>
    <ns0:col width="11.42857142857143" customWidth="1" min="14" max="14"/>
    <ns0:col width="11.42857142857143" customWidth="1" min="15" max="15"/>
  </ns0:cols>
  <ns0:sheetData>
    <ns0:row r="2">
      <ns0:c r="B2" s="88" t="inlineStr">
        <ns0:is>
          <ns0:t>* R-PT Wing Width</ns0:t>
        </ns0:is>
      </ns0:c>
    </ns0:row>
    <ns0:row r="3">
      <ns0:c r="B3" s="89" t="inlineStr">
        <ns0:is>
          <ns0:t>Mold</ns0:t>
        </ns0:is>
      </ns0:c>
      <ns0:c r="C3" s="90" t="inlineStr">
        <ns0:is>
          <ns0:t>Input</ns0:t>
        </ns0:is>
      </ns0:c>
      <ns0:c r="D3" s="91" t="inlineStr">
        <ns0:is>
          <ns0:t>Small (~2.51)</ns0:t>
        </ns0:is>
      </ns0:c>
      <ns0:c r="E3" s="47" t="n"/>
      <ns0:c r="F3" s="92" t="inlineStr">
        <ns0:is>
          <ns0:t>Medium (2.52)</ns0:t>
        </ns0:is>
      </ns0:c>
      <ns0:c r="G3" s="47" t="n"/>
      <ns0:c r="H3" s="93" t="inlineStr">
        <ns0:is>
          <ns0:t>BIG (2.53)</ns0:t>
        </ns0:is>
      </ns0:c>
      <ns0:c r="I3" s="47" t="n"/>
    </ns0:row>
    <ns0:row r="4">
      <ns0:c r="B4" s="89" t="inlineStr">
        <ns0:is>
          <ns0:t>G2</ns0:t>
        </ns0:is>
      </ns0:c>
      <ns0:c r="C4" s="91" t="n">
        <ns0:v>300</ns0:v>
      </ns0:c>
      <ns0:c r="D4" s="91" t="n">
        <ns0:v>151</ns0:v>
      </ns0:c>
      <ns0:c r="E4" s="94" t="n">
        <ns0:v>0.5033333333333333</ns0:v>
      </ns0:c>
      <ns0:c r="F4" s="92" t="n">
        <ns0:v>109</ns0:v>
      </ns0:c>
      <ns0:c r="G4" s="95" t="n">
        <ns0:v>0.3633333333333333</ns0:v>
      </ns0:c>
      <ns0:c r="H4" s="93" t="n">
        <ns0:v>40</ns0:v>
      </ns0:c>
      <ns0:c r="I4" s="96" t="n">
        <ns0:v>0.1333333333333333</ns0:v>
      </ns0:c>
    </ns0:row>
    <ns0:row r="6">
      <ns0:c r="B6" s="97" t="inlineStr">
        <ns0:is>
          <ns0:t>RESULT CHECKING PROCESS SUB3</ns0:t>
        </ns0:is>
      </ns0:c>
    </ns0:row>
    <ns0:row r="7">
      <ns0:c r="B7" s="98" t="inlineStr">
        <ns0:is>
          <ns0:t>Date</ns0:t>
        </ns0:is>
      </ns0:c>
      <ns0:c r="C7" s="98" t="inlineStr">
        <ns0:is>
          <ns0:t>Type</ns0:t>
        </ns0:is>
      </ns0:c>
      <ns0:c r="D7" s="45" t="n"/>
      <ns0:c r="E7" s="99" t="inlineStr">
        <ns0:is>
          <ns0:t xml:space="preserve">Input </ns0:t>
        </ns0:is>
      </ns0:c>
      <ns0:c r="F7" s="98" t="inlineStr">
        <ns0:is>
          <ns0:t xml:space="preserve">OK </ns0:t>
        </ns0:is>
      </ns0:c>
      <ns0:c r="G7" s="98" t="inlineStr">
        <ns0:is>
          <ns0:t xml:space="preserve">NG </ns0:t>
        </ns0:is>
      </ns0:c>
      <ns0:c r="H7" s="47" t="n"/>
      <ns0:c r="I7" s="98" t="inlineStr">
        <ns0:is>
          <ns0:t>Total NG</ns0:t>
        </ns0:is>
      </ns0:c>
      <ns0:c r="J7" s="98" t="inlineStr">
        <ns0:is>
          <ns0:t>Total NG Rate</ns0:t>
        </ns0:is>
      </ns0:c>
    </ns0:row>
    <ns0:row r="8">
      <ns0:c r="B8" s="48" t="n"/>
      <ns0:c r="C8" s="18" t="n"/>
      <ns0:c r="D8" s="17" t="n"/>
      <ns0:c r="E8" s="48" t="n"/>
      <ns0:c r="F8" s="48" t="n"/>
      <ns0:c r="G8" s="100" t="inlineStr">
        <ns0:is>
          <ns0:t>Over Glue</ns0:t>
        </ns0:is>
      </ns0:c>
      <ns0:c r="H8" s="100" t="inlineStr">
        <ns0:is>
          <ns0:t>SP Separate</ns0:t>
        </ns0:is>
      </ns0:c>
      <ns0:c r="I8" s="48" t="n"/>
      <ns0:c r="J8" s="48" t="n"/>
    </ns0:row>
    <ns0:row r="9" ht="18.9375" customHeight="1">
      <ns0:c r="B9" s="101" t="n">
        <ns0:v>45475</ns0:v>
      </ns0:c>
      <ns0:c r="C9" s="102" t="inlineStr">
        <ns0:is>
          <ns0:t>Small (~2.51)</ns0:t>
        </ns0:is>
      </ns0:c>
      <ns0:c r="D9" s="47" t="n"/>
      <ns0:c r="E9" s="103" t="n">
        <ns0:v>151</ns0:v>
      </ns0:c>
      <ns0:c r="F9" s="103" t="n">
        <ns0:v>149</ns0:v>
      </ns0:c>
      <ns0:c r="G9" s="103" t="n">
        <ns0:v>0</ns0:v>
      </ns0:c>
      <ns0:c r="H9" s="103" t="n">
        <ns0:v>2</ns0:v>
      </ns0:c>
      <ns0:c r="I9" s="103" t="n">
        <ns0:v>2</ns0:v>
      </ns0:c>
      <ns0:c r="J9" s="104" t="n">
        <ns0:v>0.01324503311258278</ns0:v>
      </ns0:c>
    </ns0:row>
    <ns0:row r="10" ht="18.9375" customHeight="1">
      <ns0:c r="B10" s="58" t="n"/>
      <ns0:c r="C10" s="102" t="inlineStr">
        <ns0:is>
          <ns0:t>Medium (2.52)</ns0:t>
        </ns0:is>
      </ns0:c>
      <ns0:c r="D10" s="47" t="n"/>
      <ns0:c r="E10" s="103" t="n">
        <ns0:v>107</ns0:v>
      </ns0:c>
      <ns0:c r="F10" s="103" t="n">
        <ns0:v>106</ns0:v>
      </ns0:c>
      <ns0:c r="G10" s="103" t="n">
        <ns0:v>0</ns0:v>
      </ns0:c>
      <ns0:c r="H10" s="103" t="n">
        <ns0:v>1</ns0:v>
      </ns0:c>
      <ns0:c r="I10" s="103" t="n">
        <ns0:v>1</ns0:v>
      </ns0:c>
      <ns0:c r="J10" s="104" t="n">
        <ns0:v>0.009345794392523364</ns0:v>
      </ns0:c>
    </ns0:row>
    <ns0:row r="11" ht="18.9375" customHeight="1">
      <ns0:c r="B11" s="48" t="n"/>
      <ns0:c r="C11" s="102" t="inlineStr">
        <ns0:is>
          <ns0:t>BIG (2.53)</ns0:t>
        </ns0:is>
      </ns0:c>
      <ns0:c r="D11" s="47" t="n"/>
      <ns0:c r="E11" s="103" t="n">
        <ns0:v>40</ns0:v>
      </ns0:c>
      <ns0:c r="F11" s="103" t="n">
        <ns0:v>40</ns0:v>
      </ns0:c>
      <ns0:c r="G11" s="103" t="n">
        <ns0:v>0</ns0:v>
      </ns0:c>
      <ns0:c r="H11" s="103" t="n">
        <ns0:v>0</ns0:v>
      </ns0:c>
      <ns0:c r="I11" s="103" t="n">
        <ns0:v>0</ns0:v>
      </ns0:c>
      <ns0:c r="J11" s="104" t="n">
        <ns0:v>0</ns0:v>
      </ns0:c>
    </ns0:row>
    <ns0:row r="12">
      <ns0:c r="B12" t="inlineStr">
        <ns0:is>
          <ns0:t>RESULT CHECKING FUNCTION</ns0:t>
        </ns0:is>
      </ns0:c>
    </ns0:row>
    <ns0:row r="13">
      <ns0:c r="B13" s="98" t="inlineStr">
        <ns0:is>
          <ns0:t>Date</ns0:t>
        </ns0:is>
      </ns0:c>
      <ns0:c r="C13" s="105" t="inlineStr">
        <ns0:is>
          <ns0:t>Type</ns0:t>
        </ns0:is>
      </ns0:c>
      <ns0:c r="D13" s="98" t="inlineStr">
        <ns0:is>
          <ns0:t>Mold</ns0:t>
        </ns0:is>
      </ns0:c>
      <ns0:c r="E13" s="98" t="inlineStr">
        <ns0:is>
          <ns0:t>R-PT</ns0:t>
        </ns0:is>
      </ns0:c>
      <ns0:c r="F13" s="99" t="inlineStr">
        <ns0:is>
          <ns0:t xml:space="preserve">Input </ns0:t>
        </ns0:is>
      </ns0:c>
      <ns0:c r="G13" s="98" t="inlineStr">
        <ns0:is>
          <ns0:t xml:space="preserve">OK </ns0:t>
        </ns0:is>
      </ns0:c>
      <ns0:c r="H13" s="98" t="inlineStr">
        <ns0:is>
          <ns0:t xml:space="preserve">Sigma </ns0:t>
        </ns0:is>
      </ns0:c>
      <ns0:c r="I13" s="23" t="n"/>
      <ns0:c r="J13" s="23" t="n"/>
      <ns0:c r="K13" s="47" t="n"/>
      <ns0:c r="L13" s="98" t="inlineStr">
        <ns0:is>
          <ns0:t xml:space="preserve">Hearing </ns0:t>
        </ns0:is>
      </ns0:c>
      <ns0:c r="M13" s="47" t="n"/>
      <ns0:c r="N13" s="98" t="inlineStr">
        <ns0:is>
          <ns0:t>Total NG</ns0:t>
        </ns0:is>
      </ns0:c>
      <ns0:c r="O13" s="98" t="inlineStr">
        <ns0:is>
          <ns0:t>Total NG rate</ns0:t>
        </ns0:is>
      </ns0:c>
      <ns0:c r="P13" s="98" t="inlineStr">
        <ns0:is>
          <ns0:t>Note</ns0:t>
        </ns0:is>
      </ns0:c>
      <ns0:c r="Q13" s="45" t="n"/>
    </ns0:row>
    <ns0:row r="14">
      <ns0:c r="B14" s="48" t="n"/>
      <ns0:c r="C14" s="18" t="n"/>
      <ns0:c r="D14" s="48" t="n"/>
      <ns0:c r="E14" s="48" t="n"/>
      <ns0:c r="F14" s="48" t="n"/>
      <ns0:c r="G14" s="48" t="n"/>
      <ns0:c r="H14" s="98" t="inlineStr">
        <ns0:is>
          <ns0:t xml:space="preserve">SPL </ns0:t>
        </ns0:is>
      </ns0:c>
      <ns0:c r="I14" s="98" t="inlineStr">
        <ns0:is>
          <ns0:t xml:space="preserve">THD </ns0:t>
        </ns0:is>
      </ns0:c>
      <ns0:c r="J14" s="98" t="inlineStr">
        <ns0:is>
          <ns0:t xml:space="preserve">SPL+THD </ns0:t>
        </ns0:is>
      </ns0:c>
      <ns0:c r="K14" s="98" t="inlineStr">
        <ns0:is>
          <ns0:t>SPL+THD+F0</ns0:t>
        </ns0:is>
      </ns0:c>
      <ns0:c r="L14" s="98" t="inlineStr">
        <ns0:is>
          <ns0:t xml:space="preserve">Noise </ns0:t>
        </ns0:is>
      </ns0:c>
      <ns0:c r="M14" s="98" t="inlineStr">
        <ns0:is>
          <ns0:t xml:space="preserve">Touch </ns0:t>
        </ns0:is>
      </ns0:c>
      <ns0:c r="N14" s="48" t="n"/>
      <ns0:c r="O14" s="48" t="n"/>
      <ns0:c r="P14" s="18" t="n"/>
      <ns0:c r="Q14" s="17" t="n"/>
    </ns0:row>
    <ns0:row r="15" ht="12" customHeight="1">
      <ns0:c r="B15" s="106" t="n">
        <ns0:v>45478</ns0:v>
      </ns0:c>
      <ns0:c r="C15" s="107" t="inlineStr">
        <ns0:is>
          <ns0:t>Material Frame</ns0:t>
        </ns0:is>
      </ns0:c>
      <ns0:c r="D15" s="108" t="inlineStr">
        <ns0:is>
          <ns0:t>G2</ns0:t>
        </ns0:is>
      </ns0:c>
      <ns0:c r="E15" s="108" t="inlineStr">
        <ns0:is>
          <ns0:t>Big</ns0:t>
        </ns0:is>
      </ns0:c>
      <ns0:c r="F15" s="109" t="n">
        <ns0:v>40</ns0:v>
      </ns0:c>
      <ns0:c r="G15" s="110" t="n">
        <ns0:v>36</ns0:v>
      </ns0:c>
      <ns0:c r="H15" s="110" t="n">
        <ns0:v>0</ns0:v>
      </ns0:c>
      <ns0:c r="I15" s="110" t="n">
        <ns0:v>0</ns0:v>
      </ns0:c>
      <ns0:c r="J15" s="110" t="n">
        <ns0:v>0</ns0:v>
      </ns0:c>
      <ns0:c r="K15" s="110" t="n">
        <ns0:v>0</ns0:v>
      </ns0:c>
      <ns0:c r="L15" s="110" t="n">
        <ns0:v>3</ns0:v>
      </ns0:c>
      <ns0:c r="M15" s="110" t="n">
        <ns0:v>1</ns0:v>
      </ns0:c>
      <ns0:c r="N15" s="110" t="n">
        <ns0:v>4</ns0:v>
      </ns0:c>
      <ns0:c r="O15" s="111" t="n">
        <ns0:v>0.1</ns0:v>
      </ns0:c>
      <ns0:c r="P15" s="110" t="n"/>
      <ns0:c r="Q15" s="45" t="n"/>
    </ns0:row>
    <ns0:row r="16" ht="12" customHeight="1">
      <ns0:c r="B16" s="58" t="n"/>
      <ns0:c r="C16" s="58" t="n"/>
      <ns0:c r="D16" s="58" t="n"/>
      <ns0:c r="E16" s="48" t="n"/>
      <ns0:c r="F16" s="48" t="n"/>
      <ns0:c r="G16" s="48" t="n"/>
      <ns0:c r="H16" s="112" t="n">
        <ns0:v>0</ns0:v>
      </ns0:c>
      <ns0:c r="I16" s="112" t="n">
        <ns0:v>0</ns0:v>
      </ns0:c>
      <ns0:c r="J16" s="112" t="n">
        <ns0:v>0</ns0:v>
      </ns0:c>
      <ns0:c r="K16" s="112" t="n">
        <ns0:v>0</ns0:v>
      </ns0:c>
      <ns0:c r="L16" s="112" t="n">
        <ns0:v>0.075</ns0:v>
      </ns0:c>
      <ns0:c r="M16" s="112" t="n">
        <ns0:v>0.025</ns0:v>
      </ns0:c>
      <ns0:c r="N16" s="48" t="n"/>
      <ns0:c r="O16" s="48" t="n"/>
      <ns0:c r="P16" s="18" t="n"/>
      <ns0:c r="Q16" s="17" t="n"/>
    </ns0:row>
    <ns0:row r="17" ht="12" customHeight="1">
      <ns0:c r="B17" s="58" t="n"/>
      <ns0:c r="C17" s="58" t="n"/>
      <ns0:c r="D17" s="58" t="n"/>
      <ns0:c r="E17" s="108" t="inlineStr">
        <ns0:is>
          <ns0:t>Medium</ns0:t>
        </ns0:is>
      </ns0:c>
      <ns0:c r="F17" s="109" t="n">
        <ns0:v>106</ns0:v>
      </ns0:c>
      <ns0:c r="G17" s="110" t="n">
        <ns0:v>105</ns0:v>
      </ns0:c>
      <ns0:c r="H17" s="110" t="n">
        <ns0:v>0</ns0:v>
      </ns0:c>
      <ns0:c r="I17" s="110" t="n">
        <ns0:v>0</ns0:v>
      </ns0:c>
      <ns0:c r="J17" s="110" t="n">
        <ns0:v>0</ns0:v>
      </ns0:c>
      <ns0:c r="K17" s="110" t="n">
        <ns0:v>0</ns0:v>
      </ns0:c>
      <ns0:c r="L17" s="110" t="n">
        <ns0:v>0</ns0:v>
      </ns0:c>
      <ns0:c r="M17" s="110" t="n">
        <ns0:v>1</ns0:v>
      </ns0:c>
      <ns0:c r="N17" s="110" t="n">
        <ns0:v>1</ns0:v>
      </ns0:c>
      <ns0:c r="O17" s="111" t="n">
        <ns0:v>0.009433962264150943</ns0:v>
      </ns0:c>
      <ns0:c r="P17" s="110" t="n"/>
      <ns0:c r="Q17" s="45" t="n"/>
    </ns0:row>
    <ns0:row r="18" ht="12" customHeight="1">
      <ns0:c r="B18" s="58" t="n"/>
      <ns0:c r="C18" s="58" t="n"/>
      <ns0:c r="D18" s="58" t="n"/>
      <ns0:c r="E18" s="48" t="n"/>
      <ns0:c r="F18" s="48" t="n"/>
      <ns0:c r="G18" s="48" t="n"/>
      <ns0:c r="H18" s="112" t="n">
        <ns0:v>0</ns0:v>
      </ns0:c>
      <ns0:c r="I18" s="112" t="n">
        <ns0:v>0</ns0:v>
      </ns0:c>
      <ns0:c r="J18" s="112" t="n">
        <ns0:v>0</ns0:v>
      </ns0:c>
      <ns0:c r="K18" s="112" t="n">
        <ns0:v>0</ns0:v>
      </ns0:c>
      <ns0:c r="L18" s="112" t="n">
        <ns0:v>0</ns0:v>
      </ns0:c>
      <ns0:c r="M18" s="112" t="n">
        <ns0:v>0.009433962264150943</ns0:v>
      </ns0:c>
      <ns0:c r="N18" s="48" t="n"/>
      <ns0:c r="O18" s="48" t="n"/>
      <ns0:c r="P18" s="18" t="n"/>
      <ns0:c r="Q18" s="17" t="n"/>
    </ns0:row>
    <ns0:row r="19" ht="12" customHeight="1">
      <ns0:c r="B19" s="58" t="n"/>
      <ns0:c r="C19" s="58" t="n"/>
      <ns0:c r="D19" s="58" t="n"/>
      <ns0:c r="E19" s="108" t="inlineStr">
        <ns0:is>
          <ns0:t>Small</ns0:t>
        </ns0:is>
      </ns0:c>
      <ns0:c r="F19" s="109" t="n">
        <ns0:v>142</ns0:v>
      </ns0:c>
      <ns0:c r="G19" s="110" t="n">
        <ns0:v>128</ns0:v>
      </ns0:c>
      <ns0:c r="H19" s="110" t="n">
        <ns0:v>0</ns0:v>
      </ns0:c>
      <ns0:c r="I19" s="110" t="n">
        <ns0:v>0</ns0:v>
      </ns0:c>
      <ns0:c r="J19" s="110" t="n">
        <ns0:v>0</ns0:v>
      </ns0:c>
      <ns0:c r="K19" s="110" t="n">
        <ns0:v>0</ns0:v>
      </ns0:c>
      <ns0:c r="L19" s="110" t="n">
        <ns0:v>6</ns0:v>
      </ns0:c>
      <ns0:c r="M19" s="110" t="n">
        <ns0:v>8</ns0:v>
      </ns0:c>
      <ns0:c r="N19" s="110" t="n">
        <ns0:v>14</ns0:v>
      </ns0:c>
      <ns0:c r="O19" s="111" t="n">
        <ns0:v>0.09859154929577464</ns0:v>
      </ns0:c>
      <ns0:c r="P19" s="110" t="n"/>
      <ns0:c r="Q19" s="45" t="n"/>
    </ns0:row>
    <ns0:row r="20" ht="12" customHeight="1">
      <ns0:c r="B20" s="58" t="n"/>
      <ns0:c r="C20" s="58" t="n"/>
      <ns0:c r="D20" s="48" t="n"/>
      <ns0:c r="E20" s="48" t="n"/>
      <ns0:c r="F20" s="48" t="n"/>
      <ns0:c r="G20" s="48" t="n"/>
      <ns0:c r="H20" s="112" t="n">
        <ns0:v>0</ns0:v>
      </ns0:c>
      <ns0:c r="I20" s="112" t="n">
        <ns0:v>0</ns0:v>
      </ns0:c>
      <ns0:c r="J20" s="112" t="n">
        <ns0:v>0</ns0:v>
      </ns0:c>
      <ns0:c r="K20" s="112" t="n">
        <ns0:v>0</ns0:v>
      </ns0:c>
      <ns0:c r="L20" s="112" t="n">
        <ns0:v>0.04225352112676056</ns0:v>
      </ns0:c>
      <ns0:c r="M20" s="112" t="n">
        <ns0:v>0.05633802816901409</ns0:v>
      </ns0:c>
      <ns0:c r="N20" s="48" t="n"/>
      <ns0:c r="O20" s="48" t="n"/>
      <ns0:c r="P20" s="18" t="n"/>
      <ns0:c r="Q20" s="17" t="n"/>
    </ns0:row>
    <ns0:row r="21" ht="12" customHeight="1">
      <ns0:c r="B21" s="58" t="n"/>
      <ns0:c r="C21" s="58" t="n"/>
      <ns0:c r="D21" s="108" t="inlineStr">
        <ns0:is>
          <ns0:t>Normal</ns0:t>
        </ns0:is>
      </ns0:c>
      <ns0:c r="E21" s="45" t="n"/>
      <ns0:c r="F21" s="109" t="n">
        <ns0:v>798</ns0:v>
      </ns0:c>
      <ns0:c r="G21" s="110" t="n">
        <ns0:v>680</ns0:v>
      </ns0:c>
      <ns0:c r="H21" s="110" t="n">
        <ns0:v>0</ns0:v>
      </ns0:c>
      <ns0:c r="I21" s="110" t="n">
        <ns0:v>5</ns0:v>
      </ns0:c>
      <ns0:c r="J21" s="110" t="n">
        <ns0:v>1</ns0:v>
      </ns0:c>
      <ns0:c r="K21" s="110" t="n">
        <ns0:v>0</ns0:v>
      </ns0:c>
      <ns0:c r="L21" s="110" t="n">
        <ns0:v>14</ns0:v>
      </ns0:c>
      <ns0:c r="M21" s="110" t="n">
        <ns0:v>98</ns0:v>
      </ns0:c>
      <ns0:c r="N21" s="110" t="n">
        <ns0:v>118</ns0:v>
      </ns0:c>
      <ns0:c r="O21" s="111" t="n">
        <ns0:v>0.1478696741854637</ns0:v>
      </ns0:c>
      <ns0:c r="P21" s="110" t="n"/>
      <ns0:c r="Q21" s="45" t="n"/>
    </ns0:row>
    <ns0:row r="22" ht="12" customHeight="1">
      <ns0:c r="B22" s="48" t="n"/>
      <ns0:c r="C22" s="48" t="n"/>
      <ns0:c r="D22" s="18" t="n"/>
      <ns0:c r="E22" s="17" t="n"/>
      <ns0:c r="F22" s="48" t="n"/>
      <ns0:c r="G22" s="48" t="n"/>
      <ns0:c r="H22" s="112" t="n">
        <ns0:v>0</ns0:v>
      </ns0:c>
      <ns0:c r="I22" s="112" t="n">
        <ns0:v>0.006265664160401002</ns0:v>
      </ns0:c>
      <ns0:c r="J22" s="112" t="n">
        <ns0:v>0.0012531328320802</ns0:v>
      </ns0:c>
      <ns0:c r="K22" s="112" t="n">
        <ns0:v>0</ns0:v>
      </ns0:c>
      <ns0:c r="L22" s="112" t="n">
        <ns0:v>0.01754385964912281</ns0:v>
      </ns0:c>
      <ns0:c r="M22" s="112" t="n">
        <ns0:v>0.1228070175438596</ns0:v>
      </ns0:c>
      <ns0:c r="N22" s="48" t="n"/>
      <ns0:c r="O22" s="48" t="n"/>
      <ns0:c r="P22" s="18" t="n"/>
      <ns0:c r="Q22" s="17" t="n"/>
    </ns0:row>
  </ns0:sheetData>
  <ns0:mergeCells count="53">
    <ns0:mergeCell ref="F15:F16"/>
    <ns0:mergeCell ref="E17:E18"/>
    <ns0:mergeCell ref="H13:K13"/>
    <ns0:mergeCell ref="G17:G18"/>
    <ns0:mergeCell ref="P17:Q18"/>
    <ns0:mergeCell ref="E13:E14"/>
    <ns0:mergeCell ref="G13:G14"/>
    <ns0:mergeCell ref="B6:H6"/>
    <ns0:mergeCell ref="C15:C22"/>
    <ns0:mergeCell ref="I7:I8"/>
    <ns0:mergeCell ref="N21:N22"/>
    <ns0:mergeCell ref="E19:E20"/>
    <ns0:mergeCell ref="P13:Q14"/>
    <ns0:mergeCell ref="G19:G20"/>
    <ns0:mergeCell ref="L13:M13"/>
    <ns0:mergeCell ref="P19:Q20"/>
    <ns0:mergeCell ref="F3:G3"/>
    <ns0:mergeCell ref="F21:F22"/>
    <ns0:mergeCell ref="C10:D10"/>
    <ns0:mergeCell ref="G7:H7"/>
    <ns0:mergeCell ref="C7:D8"/>
    <ns0:mergeCell ref="B13:B14"/>
    <ns0:mergeCell ref="N17:N18"/>
    <ns0:mergeCell ref="D13:D14"/>
    <ns0:mergeCell ref="P15:Q16"/>
    <ns0:mergeCell ref="F17:F18"/>
    <ns0:mergeCell ref="E15:E16"/>
    <ns0:mergeCell ref="G15:G16"/>
    <ns0:mergeCell ref="C9:D9"/>
    <ns0:mergeCell ref="J7:J8"/>
    <ns0:mergeCell ref="O21:O22"/>
    <ns0:mergeCell ref="N19:N20"/>
    <ns0:mergeCell ref="F13:F14"/>
    <ns0:mergeCell ref="N13:N14"/>
    <ns0:mergeCell ref="C11:D11"/>
    <ns0:mergeCell ref="O17:O18"/>
    <ns0:mergeCell ref="E7:E8"/>
    <ns0:mergeCell ref="N15:N16"/>
    <ns0:mergeCell ref="D3:E3"/>
    <ns0:mergeCell ref="C13:C14"/>
    <ns0:mergeCell ref="H3:I3"/>
    <ns0:mergeCell ref="O19:O20"/>
    <ns0:mergeCell ref="D21:E22"/>
    <ns0:mergeCell ref="F19:F20"/>
    <ns0:mergeCell ref="O13:O14"/>
    <ns0:mergeCell ref="P21:Q22"/>
    <ns0:mergeCell ref="D15:D20"/>
    <ns0:mergeCell ref="B7:B8"/>
    <ns0:mergeCell ref="B15:B22"/>
    <ns0:mergeCell ref="B9:B11"/>
    <ns0:mergeCell ref="G21:G22"/>
    <ns0:mergeCell ref="F7:F8"/>
    <ns0:mergeCell ref="O15:O16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2:BL57"/>
  <ns0:sheetViews>
    <ns0:sheetView workbookViewId="0">
      <ns0:selection activeCell="A1" sqref="A1"/>
    </ns0:sheetView>
  </ns0:sheetViews>
  <ns0:sheetFormatPr baseColWidth="8" defaultRowHeight="15"/>
  <ns0:cols>
    <ns0:col width="21.28571428571428" customWidth="1" min="1" max="1"/>
    <ns0:col width="21.28571428571428" customWidth="1" min="2" max="2"/>
    <ns0:col width="56.14285714285715" customWidth="1" min="3" max="3"/>
    <ns0:col width="34.28571428571428" customWidth="1" min="4" max="4"/>
    <ns0:col width="44.71428571428572" customWidth="1" min="5" max="5"/>
    <ns0:col width="44.71428571428572" customWidth="1" min="6" max="6"/>
    <ns0:col width="31.57142857142857" customWidth="1" min="7" max="7"/>
    <ns0:col width="31.57142857142857" customWidth="1" min="8" max="8"/>
    <ns0:col width="31.57142857142857" customWidth="1" min="9" max="9"/>
    <ns0:col width="31.57142857142857" customWidth="1" min="10" max="10"/>
    <ns0:col width="31.57142857142857" customWidth="1" min="11" max="11"/>
    <ns0:col width="28.71428571428572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5.57142857142857" customWidth="1" min="16" max="16"/>
    <ns0:col width="25.57142857142857" customWidth="1" min="17" max="17"/>
    <ns0:col width="25.57142857142857" customWidth="1" min="18" max="18"/>
    <ns0:col width="25.71428571428572" customWidth="1" min="19" max="19"/>
    <ns0:col width="25.85714285714286" customWidth="1" min="20" max="20"/>
    <ns0:col width="31.57142857142857" customWidth="1" min="21" max="21"/>
  </ns0:cols>
  <ns0:sheetData>
    <ns0:row r="1" ht="16.5" customHeight="1"/>
    <ns0:row r="2" ht="40.6875" customHeight="1">
      <ns0:c r="A2" s="3" t="inlineStr">
        <ns0:is>
          <ns0:t>TITLE</ns0:t>
        </ns0:is>
      </ns0:c>
      <ns0:c r="B2" s="4" t="n"/>
      <ns0:c r="C2" s="5" t="inlineStr">
        <ns0:is>
          <ns0:t>REPORT CHECKING AND TEST COIL OFFSET  OF MODEL BRS-201506</ns0:t>
        </ns0:is>
      </ns0:c>
      <ns0:c r="D2" s="6" t="n"/>
      <ns0:c r="E2" s="6" t="n"/>
      <ns0:c r="F2" s="6" t="n"/>
      <ns0:c r="G2" s="6" t="n"/>
      <ns0:c r="H2" s="6" t="n"/>
      <ns0:c r="I2" s="6" t="n"/>
      <ns0:c r="J2" s="6" t="n"/>
      <ns0:c r="K2" s="6" t="n"/>
      <ns0:c r="L2" s="6" t="n"/>
      <ns0:c r="M2" s="6" t="n"/>
      <ns0:c r="N2" s="6" t="n"/>
      <ns0:c r="O2" s="6" t="n"/>
      <ns0:c r="P2" s="6" t="n"/>
      <ns0:c r="Q2" s="6" t="n"/>
      <ns0:c r="R2" s="6" t="n"/>
      <ns0:c r="S2" s="6" t="n"/>
      <ns0:c r="T2" s="8" t="inlineStr">
        <ns0:is>
          <ns0:t>Dept</ns0:t>
        </ns0:is>
      </ns0:c>
      <ns0:c r="U2" s="9" t="inlineStr">
        <ns0:is>
          <ns0:t>ME</ns0:t>
        </ns0:is>
      </ns0:c>
    </ns0:row>
    <ns0:row r="3" ht="40.6875" customHeight="1">
      <ns0:c r="A3" s="10" t="n"/>
      <ns0:c r="B3" s="11" t="n"/>
      <ns0:c r="C3" s="12" t="n"/>
      <ns0:c r="T3" s="14" t="inlineStr">
        <ns0:is>
          <ns0:t>Date</ns0:t>
        </ns0:is>
      </ns0:c>
      <ns0:c r="U3" s="15" t="n">
        <ns0:v>45467</ns0:v>
      </ns0:c>
    </ns0:row>
    <ns0:row r="4" ht="40.6875" customHeight="1">
      <ns0:c r="A4" s="16" t="n"/>
      <ns0:c r="B4" s="17" t="n"/>
      <ns0:c r="C4" s="18" t="n"/>
      <ns0:c r="D4" s="19" t="n"/>
      <ns0:c r="E4" s="19" t="n"/>
      <ns0:c r="F4" s="19" t="n"/>
      <ns0:c r="G4" s="19" t="n"/>
      <ns0:c r="H4" s="19" t="n"/>
      <ns0:c r="I4" s="19" t="n"/>
      <ns0:c r="J4" s="19" t="n"/>
      <ns0:c r="K4" s="19" t="n"/>
      <ns0:c r="L4" s="19" t="n"/>
      <ns0:c r="M4" s="19" t="n"/>
      <ns0:c r="N4" s="19" t="n"/>
      <ns0:c r="O4" s="19" t="n"/>
      <ns0:c r="P4" s="19" t="n"/>
      <ns0:c r="Q4" s="19" t="n"/>
      <ns0:c r="R4" s="19" t="n"/>
      <ns0:c r="S4" s="19" t="n"/>
      <ns0:c r="T4" s="14" t="inlineStr">
        <ns0:is>
          <ns0:t>Marker</ns0:t>
        </ns0:is>
      </ns0:c>
      <ns0:c r="U4" s="21" t="inlineStr">
        <ns0:is>
          <ns0:t>Thao</ns0:t>
        </ns0:is>
      </ns0:c>
    </ns0:row>
    <ns0:row r="5" ht="40.6875" customHeight="1">
      <ns0:c r="A5" s="22" t="inlineStr">
        <ns0:is>
          <ns0:t>I. Purpose.</ns0:t>
        </ns0:is>
      </ns0:c>
      <ns0:c r="B5" s="23" t="n"/>
      <ns0:c r="C5" s="23" t="n"/>
      <ns0:c r="D5" s="23" t="n"/>
      <ns0:c r="E5" s="23" t="n"/>
      <ns0:c r="F5" s="23" t="n"/>
      <ns0:c r="G5" s="23" t="n"/>
      <ns0:c r="H5" s="23" t="n"/>
      <ns0:c r="I5" s="23" t="n"/>
      <ns0:c r="J5" s="23" t="n"/>
      <ns0:c r="K5" s="23" t="n"/>
      <ns0:c r="L5" s="23" t="n"/>
      <ns0:c r="M5" s="23" t="n"/>
      <ns0:c r="N5" s="23" t="n"/>
      <ns0:c r="O5" s="23" t="n"/>
      <ns0:c r="P5" s="23" t="n"/>
      <ns0:c r="Q5" s="23" t="n"/>
      <ns0:c r="R5" s="23" t="n"/>
      <ns0:c r="S5" s="23" t="n"/>
      <ns0:c r="T5" s="23" t="n"/>
      <ns0:c r="U5" s="24" t="n"/>
    </ns0:row>
    <ns0:row r="6" ht="40.6875" customHeight="1">
      <ns0:c r="A6" s="25" t="inlineStr">
        <ns0:is>
          <ns0:t xml:space="preserve"> - Find reason NG Function</ns0:t>
        </ns0:is>
      </ns0:c>
      <ns0:c r="B6" s="26" t="n"/>
      <ns0:c r="C6" s="26" t="n"/>
      <ns0:c r="D6" s="26" t="n"/>
      <ns0:c r="E6" s="26" t="n"/>
      <ns0:c r="F6" s="26" t="n"/>
      <ns0:c r="G6" s="26" t="n"/>
      <ns0:c r="H6" s="26" t="n"/>
      <ns0:c r="I6" s="26" t="n"/>
      <ns0:c r="J6" s="26" t="n"/>
      <ns0:c r="K6" s="26" t="n"/>
      <ns0:c r="L6" s="26" t="n"/>
      <ns0:c r="M6" s="26" t="n"/>
      <ns0:c r="N6" s="26" t="n"/>
      <ns0:c r="O6" s="26" t="n"/>
      <ns0:c r="P6" s="26" t="n"/>
      <ns0:c r="Q6" s="26" t="n"/>
      <ns0:c r="R6" s="26" t="n"/>
      <ns0:c r="S6" s="26" t="n"/>
      <ns0:c r="T6" s="26" t="n"/>
      <ns0:c r="U6" s="27" t="n"/>
    </ns0:row>
    <ns0:row r="7" ht="40.6875" customHeight="1">
      <ns0:c r="A7" s="22" t="inlineStr">
        <ns0:is>
          <ns0:t>II. Content.</ns0:t>
        </ns0:is>
      </ns0:c>
      <ns0:c r="B7" s="23" t="n"/>
      <ns0:c r="C7" s="23" t="n"/>
      <ns0:c r="D7" s="23" t="n"/>
      <ns0:c r="E7" s="23" t="n"/>
      <ns0:c r="F7" s="23" t="n"/>
      <ns0:c r="G7" s="23" t="n"/>
      <ns0:c r="H7" s="23" t="n"/>
      <ns0:c r="I7" s="23" t="n"/>
      <ns0:c r="J7" s="23" t="n"/>
      <ns0:c r="K7" s="23" t="n"/>
      <ns0:c r="L7" s="23" t="n"/>
      <ns0:c r="M7" s="23" t="n"/>
      <ns0:c r="N7" s="23" t="n"/>
      <ns0:c r="O7" s="23" t="n"/>
      <ns0:c r="P7" s="23" t="n"/>
      <ns0:c r="Q7" s="23" t="n"/>
      <ns0:c r="R7" s="23" t="n"/>
      <ns0:c r="S7" s="23" t="n"/>
      <ns0:c r="T7" s="23" t="n"/>
      <ns0:c r="U7" s="24" t="n"/>
      <ns0:c r="Y7" s="28" t="n"/>
      <ns0:c r="Z7" s="28" t="n"/>
      <ns0:c r="AA7" s="28" t="n"/>
      <ns0:c r="AB7" s="28" t="n"/>
      <ns0:c r="AC7" s="28" t="n"/>
      <ns0:c r="AD7" s="28" t="n"/>
      <ns0:c r="AE7" s="28" t="n"/>
      <ns0:c r="AF7" s="28" t="n"/>
      <ns0:c r="AG7" s="28" t="n"/>
      <ns0:c r="AH7" s="28" t="n"/>
      <ns0:c r="AI7" s="28" t="n"/>
      <ns0:c r="AJ7" s="28" t="n"/>
      <ns0:c r="AK7" s="28" t="n"/>
      <ns0:c r="AL7" s="28" t="n"/>
      <ns0:c r="AM7" s="28" t="n"/>
      <ns0:c r="AN7" s="28" t="n"/>
      <ns0:c r="AO7" s="28" t="n"/>
      <ns0:c r="AP7" s="28" t="n"/>
      <ns0:c r="AQ7" s="28" t="n"/>
      <ns0:c r="AR7" s="28" t="n"/>
      <ns0:c r="AS7" s="28" t="n"/>
      <ns0:c r="AT7" s="28" t="n"/>
      <ns0:c r="AU7" s="28" t="n"/>
      <ns0:c r="AV7" s="28" t="n"/>
      <ns0:c r="AW7" s="28" t="n"/>
      <ns0:c r="AX7" s="28" t="n"/>
      <ns0:c r="AY7" s="28" t="n"/>
      <ns0:c r="AZ7" s="28" t="n"/>
      <ns0:c r="BA7" s="28" t="n"/>
      <ns0:c r="BB7" s="28" t="n"/>
      <ns0:c r="BC7" s="28" t="n"/>
      <ns0:c r="BD7" s="28" t="n"/>
      <ns0:c r="BE7" s="28" t="n"/>
      <ns0:c r="BF7" s="28" t="n"/>
      <ns0:c r="BG7" s="28" t="n"/>
      <ns0:c r="BH7" s="28" t="n"/>
      <ns0:c r="BI7" s="28" t="n"/>
      <ns0:c r="BJ7" s="28" t="n"/>
      <ns0:c r="BK7" s="28" t="n"/>
      <ns0:c r="BL7" s="28" t="n"/>
    </ns0:row>
    <ns0:row r="8" ht="40.6875" customHeight="1">
      <ns0:c r="A8" s="29" t="inlineStr">
        <ns0:is>
          <ns0:t xml:space="preserve"> - Checking reason Frame + Coil offset</ns0:t>
        </ns0:is>
      </ns0:c>
      <ns0:c r="B8" s="30" t="n"/>
      <ns0:c r="C8" s="30" t="n"/>
      <ns0:c r="D8" s="30" t="n"/>
      <ns0:c r="E8" s="31" t="n"/>
      <ns0:c r="F8" s="31" t="n"/>
      <ns0:c r="G8" s="31" t="n"/>
      <ns0:c r="H8" s="31" t="n"/>
      <ns0:c r="I8" s="31" t="n"/>
      <ns0:c r="J8" s="31" t="n"/>
      <ns0:c r="K8" s="31" t="n"/>
      <ns0:c r="L8" s="31" t="n"/>
      <ns0:c r="M8" s="31" t="n"/>
      <ns0:c r="N8" s="31" t="n"/>
      <ns0:c r="O8" s="31" t="n"/>
      <ns0:c r="P8" s="31" t="n"/>
      <ns0:c r="Q8" s="31" t="n"/>
      <ns0:c r="R8" s="31" t="n"/>
      <ns0:c r="S8" s="31" t="n"/>
      <ns0:c r="T8" s="31" t="n"/>
      <ns0:c r="U8" s="32" t="n"/>
      <ns0:c r="Y8" s="28" t="n"/>
      <ns0:c r="Z8" s="28" t="n"/>
      <ns0:c r="AA8" s="28" t="n"/>
      <ns0:c r="AB8" s="28" t="n"/>
      <ns0:c r="AC8" s="28" t="n"/>
      <ns0:c r="AD8" s="28" t="n"/>
      <ns0:c r="AE8" s="28" t="n"/>
      <ns0:c r="AF8" s="28" t="n"/>
      <ns0:c r="AG8" s="28" t="n"/>
      <ns0:c r="AH8" s="28" t="n"/>
      <ns0:c r="AI8" s="28" t="n"/>
      <ns0:c r="AJ8" s="28" t="n"/>
      <ns0:c r="AK8" s="28" t="n"/>
      <ns0:c r="AL8" s="28" t="n"/>
      <ns0:c r="AM8" s="28" t="n"/>
      <ns0:c r="AN8" s="28" t="n"/>
      <ns0:c r="AO8" s="28" t="n"/>
      <ns0:c r="AP8" s="28" t="n"/>
      <ns0:c r="AQ8" s="28" t="n"/>
      <ns0:c r="AR8" s="28" t="n"/>
      <ns0:c r="AS8" s="28" t="n"/>
      <ns0:c r="AT8" s="28" t="n"/>
      <ns0:c r="AU8" s="28" t="n"/>
      <ns0:c r="AV8" s="28" t="n"/>
      <ns0:c r="AW8" s="28" t="n"/>
      <ns0:c r="AX8" s="28" t="n"/>
      <ns0:c r="AY8" s="28" t="n"/>
      <ns0:c r="AZ8" s="28" t="n"/>
      <ns0:c r="BA8" s="28" t="n"/>
      <ns0:c r="BB8" s="28" t="n"/>
      <ns0:c r="BC8" s="28" t="n"/>
      <ns0:c r="BD8" s="28" t="n"/>
      <ns0:c r="BE8" s="28" t="n"/>
      <ns0:c r="BF8" s="28" t="n"/>
      <ns0:c r="BG8" s="28" t="n"/>
      <ns0:c r="BH8" s="28" t="n"/>
      <ns0:c r="BI8" s="28" t="n"/>
      <ns0:c r="BJ8" s="28" t="n"/>
      <ns0:c r="BK8" s="28" t="n"/>
      <ns0:c r="BL8" s="28" t="n"/>
    </ns0:row>
    <ns0:row r="9" ht="40.6875" customHeight="1">
      <ns0:c r="A9" s="29" t="inlineStr">
        <ns0:is>
          <ns0:t xml:space="preserve"> - Checking NG rate Frame + Coil offset</ns0:t>
        </ns0:is>
      </ns0:c>
      <ns0:c r="B9" s="30" t="n"/>
      <ns0:c r="C9" s="30" t="n"/>
      <ns0:c r="D9" s="30" t="n"/>
      <ns0:c r="E9" s="31" t="n"/>
      <ns0:c r="F9" s="31" t="n"/>
      <ns0:c r="G9" s="31" t="n"/>
      <ns0:c r="H9" s="31" t="n"/>
      <ns0:c r="I9" s="31" t="n"/>
      <ns0:c r="J9" s="31" t="n"/>
      <ns0:c r="K9" s="31" t="n"/>
      <ns0:c r="L9" s="31" t="n"/>
      <ns0:c r="M9" s="31" t="n"/>
      <ns0:c r="N9" s="31" t="n"/>
      <ns0:c r="O9" s="31" t="n"/>
      <ns0:c r="P9" s="31" t="n"/>
      <ns0:c r="Q9" s="31" t="n"/>
      <ns0:c r="R9" s="31" t="n"/>
      <ns0:c r="S9" s="31" t="n"/>
      <ns0:c r="T9" s="31" t="n"/>
      <ns0:c r="U9" s="32" t="n"/>
      <ns0:c r="Y9" s="28" t="n"/>
      <ns0:c r="Z9" s="28" t="n"/>
      <ns0:c r="AA9" s="28" t="n"/>
      <ns0:c r="AB9" s="28" t="n"/>
      <ns0:c r="AC9" s="28" t="n"/>
      <ns0:c r="AD9" s="28" t="n"/>
      <ns0:c r="AE9" s="28" t="n"/>
      <ns0:c r="AF9" s="28" t="n"/>
      <ns0:c r="AG9" s="28" t="n"/>
      <ns0:c r="AH9" s="28" t="n"/>
      <ns0:c r="AI9" s="28" t="n"/>
      <ns0:c r="AJ9" s="28" t="n"/>
      <ns0:c r="AK9" s="28" t="n"/>
      <ns0:c r="AL9" s="28" t="n"/>
      <ns0:c r="AM9" s="28" t="n"/>
      <ns0:c r="AN9" s="28" t="n"/>
      <ns0:c r="AO9" s="28" t="n"/>
      <ns0:c r="AP9" s="28" t="n"/>
      <ns0:c r="AQ9" s="28" t="n"/>
      <ns0:c r="AR9" s="28" t="n"/>
      <ns0:c r="AS9" s="28" t="n"/>
      <ns0:c r="AT9" s="28" t="n"/>
      <ns0:c r="AU9" s="28" t="n"/>
      <ns0:c r="AV9" s="28" t="n"/>
      <ns0:c r="AW9" s="28" t="n"/>
      <ns0:c r="AX9" s="28" t="n"/>
      <ns0:c r="AY9" s="28" t="n"/>
      <ns0:c r="AZ9" s="28" t="n"/>
      <ns0:c r="BA9" s="28" t="n"/>
      <ns0:c r="BB9" s="28" t="n"/>
      <ns0:c r="BC9" s="28" t="n"/>
      <ns0:c r="BD9" s="28" t="n"/>
      <ns0:c r="BE9" s="28" t="n"/>
      <ns0:c r="BF9" s="28" t="n"/>
      <ns0:c r="BG9" s="28" t="n"/>
      <ns0:c r="BH9" s="28" t="n"/>
      <ns0:c r="BI9" s="28" t="n"/>
      <ns0:c r="BJ9" s="28" t="n"/>
      <ns0:c r="BK9" s="28" t="n"/>
      <ns0:c r="BL9" s="28" t="n"/>
    </ns0:row>
    <ns0:row r="10" ht="40.6875" customHeight="1">
      <ns0:c r="A10" s="29" t="inlineStr">
        <ns0:is>
          <ns0:t xml:space="preserve"> - Checking dimension Frame</ns0:t>
        </ns0:is>
      </ns0:c>
      <ns0:c r="B10" s="30" t="n"/>
      <ns0:c r="C10" s="30" t="n"/>
      <ns0:c r="D10" s="30" t="n"/>
      <ns0:c r="E10" s="31" t="n"/>
      <ns0:c r="F10" s="31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1" t="n"/>
      <ns0:c r="T10" s="31" t="n"/>
      <ns0:c r="U10" s="32" t="n"/>
      <ns0:c r="Y10" s="28" t="n"/>
      <ns0:c r="Z10" s="28" t="n"/>
      <ns0:c r="AA10" s="28" t="n"/>
      <ns0:c r="AB10" s="28" t="n"/>
      <ns0:c r="AC10" s="28" t="n"/>
      <ns0:c r="AD10" s="28" t="n"/>
      <ns0:c r="AE10" s="28" t="n"/>
      <ns0:c r="AF10" s="28" t="n"/>
      <ns0:c r="AG10" s="28" t="n"/>
      <ns0:c r="AH10" s="28" t="n"/>
      <ns0:c r="AI10" s="28" t="n"/>
      <ns0:c r="AJ10" s="28" t="n"/>
      <ns0:c r="AK10" s="28" t="n"/>
      <ns0:c r="AL10" s="28" t="n"/>
      <ns0:c r="AM10" s="28" t="n"/>
      <ns0:c r="AN10" s="28" t="n"/>
      <ns0:c r="AO10" s="28" t="n"/>
      <ns0:c r="AP10" s="28" t="n"/>
      <ns0:c r="AQ10" s="28" t="n"/>
      <ns0:c r="AR10" s="28" t="n"/>
      <ns0:c r="AS10" s="28" t="n"/>
      <ns0:c r="AT10" s="28" t="n"/>
      <ns0:c r="AU10" s="28" t="n"/>
      <ns0:c r="AV10" s="28" t="n"/>
      <ns0:c r="AW10" s="28" t="n"/>
      <ns0:c r="AX10" s="28" t="n"/>
      <ns0:c r="AY10" s="28" t="n"/>
      <ns0:c r="AZ10" s="28" t="n"/>
      <ns0:c r="BA10" s="28" t="n"/>
      <ns0:c r="BB10" s="28" t="n"/>
      <ns0:c r="BC10" s="28" t="n"/>
      <ns0:c r="BD10" s="28" t="n"/>
      <ns0:c r="BE10" s="28" t="n"/>
      <ns0:c r="BF10" s="28" t="n"/>
      <ns0:c r="BG10" s="28" t="n"/>
      <ns0:c r="BH10" s="28" t="n"/>
      <ns0:c r="BI10" s="28" t="n"/>
      <ns0:c r="BJ10" s="28" t="n"/>
      <ns0:c r="BK10" s="28" t="n"/>
      <ns0:c r="BL10" s="28" t="n"/>
    </ns0:row>
    <ns0:row r="11" ht="40.6875" customHeight="1">
      <ns0:c r="A11" s="29" t="inlineStr">
        <ns0:is>
          <ns0:t xml:space="preserve"> - Checking dimension JIG NG</ns0:t>
        </ns0:is>
      </ns0:c>
      <ns0:c r="B11" s="30" t="n"/>
      <ns0:c r="C11" s="30" t="n"/>
      <ns0:c r="D11" s="30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2" t="n"/>
      <ns0:c r="Y11" s="28" t="n"/>
      <ns0:c r="Z11" s="28" t="n"/>
      <ns0:c r="AA11" s="28" t="n"/>
      <ns0:c r="AB11" s="28" t="n"/>
      <ns0:c r="AC11" s="28" t="n"/>
      <ns0:c r="AD11" s="28" t="n"/>
      <ns0:c r="AE11" s="28" t="n"/>
      <ns0:c r="AF11" s="28" t="n"/>
      <ns0:c r="AG11" s="28" t="n"/>
      <ns0:c r="AH11" s="28" t="n"/>
      <ns0:c r="AI11" s="28" t="n"/>
      <ns0:c r="AJ11" s="28" t="n"/>
      <ns0:c r="AK11" s="28" t="n"/>
      <ns0:c r="AL11" s="28" t="n"/>
      <ns0:c r="AM11" s="28" t="n"/>
      <ns0:c r="AN11" s="28" t="n"/>
      <ns0:c r="AO11" s="28" t="n"/>
      <ns0:c r="AP11" s="28" t="n"/>
      <ns0:c r="AQ11" s="28" t="n"/>
      <ns0:c r="AR11" s="28" t="n"/>
      <ns0:c r="AS11" s="28" t="n"/>
      <ns0:c r="AT11" s="28" t="n"/>
      <ns0:c r="AU11" s="28" t="n"/>
      <ns0:c r="AV11" s="28" t="n"/>
      <ns0:c r="AW11" s="28" t="n"/>
      <ns0:c r="AX11" s="28" t="n"/>
      <ns0:c r="AY11" s="28" t="n"/>
      <ns0:c r="AZ11" s="28" t="n"/>
      <ns0:c r="BA11" s="28" t="n"/>
      <ns0:c r="BB11" s="28" t="n"/>
      <ns0:c r="BC11" s="28" t="n"/>
      <ns0:c r="BD11" s="28" t="n"/>
      <ns0:c r="BE11" s="28" t="n"/>
      <ns0:c r="BF11" s="28" t="n"/>
      <ns0:c r="BG11" s="28" t="n"/>
      <ns0:c r="BH11" s="28" t="n"/>
      <ns0:c r="BI11" s="28" t="n"/>
      <ns0:c r="BJ11" s="28" t="n"/>
      <ns0:c r="BK11" s="28" t="n"/>
      <ns0:c r="BL11" s="28" t="n"/>
    </ns0:row>
    <ns0:row r="12" ht="40.6875" customHeight="1">
      <ns0:c r="A12" s="29" t="inlineStr">
        <ns0:is>
          <ns0:t xml:space="preserve"> - Make sample and checking function</ns0:t>
        </ns0:is>
      </ns0:c>
      <ns0:c r="B12" s="30" t="n"/>
      <ns0:c r="C12" s="30" t="n"/>
      <ns0:c r="D12" s="30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2" t="n"/>
      <ns0:c r="Y12" s="28" t="n"/>
      <ns0:c r="Z12" s="28" t="n"/>
      <ns0:c r="AA12" s="28" t="n"/>
      <ns0:c r="AB12" s="28" t="n"/>
      <ns0:c r="AC12" s="28" t="n"/>
      <ns0:c r="AD12" s="28" t="n"/>
      <ns0:c r="AE12" s="28" t="n"/>
      <ns0:c r="AF12" s="28" t="n"/>
      <ns0:c r="AG12" s="28" t="n"/>
      <ns0:c r="AH12" s="28" t="n"/>
      <ns0:c r="AI12" s="28" t="n"/>
      <ns0:c r="AJ12" s="28" t="n"/>
      <ns0:c r="AK12" s="28" t="n"/>
      <ns0:c r="AL12" s="28" t="n"/>
      <ns0:c r="AM12" s="28" t="n"/>
      <ns0:c r="AN12" s="28" t="n"/>
      <ns0:c r="AO12" s="28" t="n"/>
      <ns0:c r="AP12" s="28" t="n"/>
      <ns0:c r="AQ12" s="28" t="n"/>
      <ns0:c r="AR12" s="28" t="n"/>
      <ns0:c r="AS12" s="28" t="n"/>
      <ns0:c r="AT12" s="28" t="n"/>
      <ns0:c r="AU12" s="28" t="n"/>
      <ns0:c r="AV12" s="28" t="n"/>
      <ns0:c r="AW12" s="28" t="n"/>
      <ns0:c r="AX12" s="28" t="n"/>
      <ns0:c r="AY12" s="28" t="n"/>
      <ns0:c r="AZ12" s="28" t="n"/>
      <ns0:c r="BA12" s="28" t="n"/>
      <ns0:c r="BB12" s="28" t="n"/>
      <ns0:c r="BC12" s="28" t="n"/>
      <ns0:c r="BD12" s="28" t="n"/>
      <ns0:c r="BE12" s="28" t="n"/>
      <ns0:c r="BF12" s="28" t="n"/>
      <ns0:c r="BG12" s="28" t="n"/>
      <ns0:c r="BH12" s="28" t="n"/>
      <ns0:c r="BI12" s="28" t="n"/>
      <ns0:c r="BJ12" s="28" t="n"/>
      <ns0:c r="BK12" s="28" t="n"/>
      <ns0:c r="BL12" s="28" t="n"/>
    </ns0:row>
    <ns0:row r="13" ht="40.6875" customHeight="1">
      <ns0:c r="A13" s="29" t="inlineStr">
        <ns0:is>
          <ns0:t xml:space="preserve"> - Q'ty : 50pcs</ns0:t>
        </ns0:is>
      </ns0:c>
      <ns0:c r="B13" s="30" t="n"/>
      <ns0:c r="C13" s="30" t="n"/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2" t="n"/>
      <ns0:c r="Y13" s="28" t="n"/>
      <ns0:c r="Z13" s="28" t="n"/>
      <ns0:c r="AA13" s="28" t="n"/>
      <ns0:c r="AB13" s="28" t="n"/>
      <ns0:c r="AC13" s="28" t="n"/>
      <ns0:c r="AD13" s="28" t="n"/>
      <ns0:c r="AE13" s="28" t="n"/>
      <ns0:c r="AF13" s="28" t="n"/>
      <ns0:c r="AG13" s="28" t="n"/>
      <ns0:c r="AH13" s="28" t="n"/>
      <ns0:c r="AI13" s="28" t="n"/>
      <ns0:c r="AJ13" s="28" t="n"/>
      <ns0:c r="AK13" s="28" t="n"/>
      <ns0:c r="AL13" s="28" t="n"/>
      <ns0:c r="AM13" s="28" t="n"/>
      <ns0:c r="AN13" s="28" t="n"/>
      <ns0:c r="AO13" s="28" t="n"/>
      <ns0:c r="AP13" s="28" t="n"/>
      <ns0:c r="AQ13" s="28" t="n"/>
      <ns0:c r="AR13" s="28" t="n"/>
      <ns0:c r="AS13" s="28" t="n"/>
      <ns0:c r="AT13" s="28" t="n"/>
      <ns0:c r="AU13" s="28" t="n"/>
      <ns0:c r="AV13" s="28" t="n"/>
      <ns0:c r="AW13" s="28" t="n"/>
      <ns0:c r="AX13" s="28" t="n"/>
      <ns0:c r="AY13" s="28" t="n"/>
      <ns0:c r="AZ13" s="28" t="n"/>
      <ns0:c r="BA13" s="28" t="n"/>
      <ns0:c r="BB13" s="28" t="n"/>
      <ns0:c r="BC13" s="28" t="n"/>
      <ns0:c r="BD13" s="28" t="n"/>
      <ns0:c r="BE13" s="28" t="n"/>
      <ns0:c r="BF13" s="28" t="n"/>
      <ns0:c r="BG13" s="28" t="n"/>
      <ns0:c r="BH13" s="28" t="n"/>
      <ns0:c r="BI13" s="28" t="n"/>
      <ns0:c r="BJ13" s="28" t="n"/>
      <ns0:c r="BK13" s="28" t="n"/>
      <ns0:c r="BL13" s="28" t="n"/>
    </ns0:row>
    <ns0:row r="14" ht="40.6875" customHeight="1">
      <ns0:c r="A14" s="22" t="inlineStr">
        <ns0:is>
          <ns0:t xml:space="preserve">3.Result </ns0:t>
        </ns0:is>
      </ns0:c>
      <ns0:c r="B14" s="23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4" t="n"/>
      <ns0:c r="V14" s="28" t="n"/>
      <ns0:c r="W14" s="28" t="n"/>
      <ns0:c r="X14" s="28" t="n"/>
      <ns0:c r="Y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  <ns0:c r="AX14" s="28" t="n"/>
      <ns0:c r="AY14" s="28" t="n"/>
      <ns0:c r="AZ14" s="28" t="n"/>
      <ns0:c r="BA14" s="28" t="n"/>
      <ns0:c r="BB14" s="28" t="n"/>
      <ns0:c r="BC14" s="28" t="n"/>
      <ns0:c r="BD14" s="28" t="n"/>
      <ns0:c r="BE14" s="28" t="n"/>
      <ns0:c r="BF14" s="28" t="n"/>
      <ns0:c r="BG14" s="28" t="n"/>
      <ns0:c r="BH14" s="28" t="n"/>
      <ns0:c r="BI14" s="28" t="n"/>
      <ns0:c r="BJ14" s="28" t="n"/>
      <ns0:c r="BK14" s="28" t="n"/>
      <ns0:c r="BL14" s="28" t="n"/>
    </ns0:row>
    <ns0:row r="15" ht="48" customHeight="1">
      <ns0:c r="A15" s="36" t="n"/>
      <ns0:c r="B15" s="113" t="inlineStr">
        <ns0:is>
          <ns0:t>RESULT CHECKING FRAME + COIL ASS'Y OFFSET</ns0:t>
        </ns0:is>
      </ns0:c>
      <ns0:c r="C15" s="114" t="n"/>
      <ns0:c r="D15" s="39" t="n"/>
      <ns0:c r="E15" s="39" t="n"/>
      <ns0:c r="F15" s="39" t="n"/>
      <ns0:c r="G15" s="39" t="n"/>
      <ns0:c r="H15" s="39" t="n"/>
      <ns0:c r="I15" s="39" t="n"/>
      <ns0:c r="J15" s="39" t="n"/>
      <ns0:c r="K15" s="39" t="n"/>
      <ns0:c r="L15" s="39" t="n"/>
      <ns0:c r="M15" s="39" t="n"/>
      <ns0:c r="N15" s="42" t="n"/>
      <ns0:c r="O15" s="42" t="n"/>
      <ns0:c r="P15" s="42" t="n"/>
      <ns0:c r="Q15" s="42" t="n"/>
      <ns0:c r="R15" s="42" t="n"/>
      <ns0:c r="S15" s="42" t="n"/>
      <ns0:c r="T15" s="42" t="n"/>
      <ns0:c r="U15" s="43" t="n"/>
      <ns0:c r="V15" s="28" t="n"/>
      <ns0:c r="AO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  <ns0:c r="BH15" s="28" t="n"/>
      <ns0:c r="BI15" s="28" t="n"/>
      <ns0:c r="BJ15" s="28" t="n"/>
      <ns0:c r="BK15" s="28" t="n"/>
      <ns0:c r="BL15" s="28" t="n"/>
    </ns0:row>
    <ns0:row r="16" ht="48" customHeight="1">
      <ns0:c r="A16" s="36" t="n"/>
      <ns0:c r="B16" s="115" t="inlineStr">
        <ns0:is>
          <ns0:t>Date</ns0:t>
        </ns0:is>
      </ns0:c>
      <ns0:c r="C16" s="115" t="inlineStr">
        <ns0:is>
          <ns0:t>Type</ns0:t>
        </ns0:is>
      </ns0:c>
      <ns0:c r="D16" s="116" t="inlineStr">
        <ns0:is>
          <ns0:t xml:space="preserve">Input </ns0:t>
        </ns0:is>
      </ns0:c>
      <ns0:c r="E16" s="115" t="inlineStr">
        <ns0:is>
          <ns0:t xml:space="preserve">OK </ns0:t>
        </ns0:is>
      </ns0:c>
      <ns0:c r="F16" s="116" t="inlineStr">
        <ns0:is>
          <ns0:t>NG Frame 
move in JIG</ns0:t>
        </ns0:is>
      </ns0:c>
      <ns0:c r="G16" s="117" t="inlineStr">
        <ns0:is>
          <ns0:t>NG rate</ns0:t>
        </ns0:is>
      </ns0:c>
      <ns0:c r="H16" s="39" t="n"/>
      <ns0:c r="I16" s="39" t="n"/>
      <ns0:c r="J16" s="39" t="n"/>
      <ns0:c r="K16" s="39" t="n"/>
      <ns0:c r="L16" s="39" t="n"/>
      <ns0:c r="M16" s="39" t="n"/>
      <ns0:c r="N16" s="42" t="n"/>
      <ns0:c r="O16" s="42" t="n"/>
      <ns0:c r="P16" s="42" t="n"/>
      <ns0:c r="Q16" s="42" t="n"/>
      <ns0:c r="R16" s="42" t="n"/>
      <ns0:c r="S16" s="42" t="n"/>
      <ns0:c r="T16" s="42" t="n"/>
      <ns0:c r="U16" s="43" t="n"/>
      <ns0:c r="V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  <ns0:c r="BI16" s="28" t="n"/>
      <ns0:c r="BJ16" s="28" t="n"/>
      <ns0:c r="BK16" s="28" t="n"/>
      <ns0:c r="BL16" s="28" t="n"/>
    </ns0:row>
    <ns0:row r="17" ht="48" customHeight="1">
      <ns0:c r="A17" s="36" t="n"/>
      <ns0:c r="B17" s="48" t="n"/>
      <ns0:c r="C17" s="48" t="n"/>
      <ns0:c r="D17" s="48" t="n"/>
      <ns0:c r="E17" s="48" t="n"/>
      <ns0:c r="F17" s="48" t="n"/>
      <ns0:c r="G17" s="48" t="n"/>
      <ns0:c r="H17" s="39" t="n"/>
      <ns0:c r="I17" s="39" t="n"/>
      <ns0:c r="J17" s="39" t="n"/>
      <ns0:c r="K17" s="39" t="n"/>
      <ns0:c r="L17" s="39" t="n"/>
      <ns0:c r="M17" s="39" t="n"/>
      <ns0:c r="N17" s="42" t="n"/>
      <ns0:c r="O17" s="42" t="n"/>
      <ns0:c r="P17" s="42" t="n"/>
      <ns0:c r="Q17" s="42" t="n"/>
      <ns0:c r="R17" s="42" t="n"/>
      <ns0:c r="S17" s="42" t="n"/>
      <ns0:c r="T17" s="42" t="n"/>
      <ns0:c r="U17" s="43" t="n"/>
      <ns0:c r="V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  <ns0:c r="BI17" s="28" t="n"/>
      <ns0:c r="BJ17" s="28" t="n"/>
      <ns0:c r="BK17" s="28" t="n"/>
      <ns0:c r="BL17" s="28" t="n"/>
    </ns0:row>
    <ns0:row r="18" ht="48" customHeight="1">
      <ns0:c r="A18" s="36" t="n"/>
      <ns0:c r="B18" s="118" t="n">
        <ns0:v>45404</ns0:v>
      </ns0:c>
      <ns0:c r="C18" s="119" t="inlineStr">
        <ns0:is>
          <ns0:t>Frame SP + Coil</ns0:t>
        </ns0:is>
      </ns0:c>
      <ns0:c r="D18" s="53" t="n">
        <ns0:v>200</ns0:v>
      </ns0:c>
      <ns0:c r="E18" s="53" t="n">
        <ns0:v>156</ns0:v>
      </ns0:c>
      <ns0:c r="F18" s="53" t="n">
        <ns0:v>44</ns0:v>
      </ns0:c>
      <ns0:c r="G18" s="120" t="n">
        <ns0:v>0.22</ns0:v>
      </ns0:c>
      <ns0:c r="H18" s="39" t="n"/>
      <ns0:c r="I18" s="39" t="n"/>
      <ns0:c r="J18" s="39" t="n"/>
      <ns0:c r="K18" s="39" t="n"/>
      <ns0:c r="L18" s="39" t="n"/>
      <ns0:c r="M18" s="39" t="n"/>
      <ns0:c r="N18" s="42" t="n"/>
      <ns0:c r="O18" s="42" t="n"/>
      <ns0:c r="P18" s="42" t="n"/>
      <ns0:c r="Q18" s="42" t="n"/>
      <ns0:c r="R18" s="42" t="n"/>
      <ns0:c r="S18" s="42" t="n"/>
      <ns0:c r="T18" s="42" t="n"/>
      <ns0:c r="U18" s="43" t="n"/>
      <ns0:c r="V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  <ns0:c r="BI18" s="28" t="n"/>
      <ns0:c r="BJ18" s="28" t="n"/>
      <ns0:c r="BK18" s="28" t="n"/>
      <ns0:c r="BL18" s="28" t="n"/>
    </ns0:row>
    <ns0:row r="19" ht="48" customHeight="1">
      <ns0:c r="A19" s="36" t="n"/>
      <ns0:c r="B19" s="113" t="inlineStr">
        <ns0:is>
          <ns0:t>RESULT CHECKING FUNCTION</ns0:t>
        </ns0:is>
      </ns0:c>
      <ns0:c r="C19" s="114" t="n"/>
      <ns0:c r="D19" s="39" t="n"/>
      <ns0:c r="E19" s="39" t="n"/>
      <ns0:c r="F19" s="39" t="n"/>
      <ns0:c r="G19" s="39" t="n"/>
      <ns0:c r="H19" s="39" t="n"/>
      <ns0:c r="I19" s="39" t="n"/>
      <ns0:c r="J19" s="39" t="n"/>
      <ns0:c r="K19" s="39" t="n"/>
      <ns0:c r="L19" s="39" t="n"/>
      <ns0:c r="M19" s="39" t="n"/>
      <ns0:c r="N19" s="42" t="n"/>
      <ns0:c r="O19" s="42" t="n"/>
      <ns0:c r="P19" s="42" t="n"/>
      <ns0:c r="Q19" s="42" t="n"/>
      <ns0:c r="R19" s="42" t="n"/>
      <ns0:c r="S19" s="42" t="n"/>
      <ns0:c r="T19" s="42" t="n"/>
      <ns0:c r="U19" s="43" t="n"/>
      <ns0:c r="V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  <ns0:c r="BH19" s="28" t="n"/>
      <ns0:c r="BI19" s="28" t="n"/>
      <ns0:c r="BJ19" s="28" t="n"/>
      <ns0:c r="BK19" s="28" t="n"/>
      <ns0:c r="BL19" s="28" t="n"/>
    </ns0:row>
    <ns0:row r="20" ht="48" customHeight="1">
      <ns0:c r="A20" s="36" t="n"/>
      <ns0:c r="B20" s="115" t="inlineStr">
        <ns0:is>
          <ns0:t>Date</ns0:t>
        </ns0:is>
      </ns0:c>
      <ns0:c r="C20" s="115" t="inlineStr">
        <ns0:is>
          <ns0:t>Type</ns0:t>
        </ns0:is>
      </ns0:c>
      <ns0:c r="D20" s="116" t="inlineStr">
        <ns0:is>
          <ns0:t xml:space="preserve">Input </ns0:t>
        </ns0:is>
      </ns0:c>
      <ns0:c r="E20" s="115" t="inlineStr">
        <ns0:is>
          <ns0:t xml:space="preserve">OK </ns0:t>
        </ns0:is>
      </ns0:c>
      <ns0:c r="F20" s="115" t="inlineStr">
        <ns0:is>
          <ns0:t xml:space="preserve">Sigma </ns0:t>
        </ns0:is>
      </ns0:c>
      <ns0:c r="G20" s="23" t="n"/>
      <ns0:c r="H20" s="23" t="n"/>
      <ns0:c r="I20" s="47" t="n"/>
      <ns0:c r="J20" s="115" t="inlineStr">
        <ns0:is>
          <ns0:t xml:space="preserve">Hearing </ns0:t>
        </ns0:is>
      </ns0:c>
      <ns0:c r="K20" s="47" t="n"/>
      <ns0:c r="L20" s="115" t="inlineStr">
        <ns0:is>
          <ns0:t>TOTAL NG</ns0:t>
        </ns0:is>
      </ns0:c>
      <ns0:c r="M20" s="115" t="inlineStr">
        <ns0:is>
          <ns0:t>Total NG rate</ns0:t>
        </ns0:is>
      </ns0:c>
      <ns0:c r="N20" s="115" t="inlineStr">
        <ns0:is>
          <ns0:t>Recheck Hearing</ns0:t>
        </ns0:is>
      </ns0:c>
      <ns0:c r="O20" s="47" t="n"/>
      <ns0:c r="P20" s="115" t="inlineStr">
        <ns0:is>
          <ns0:t>Total NG</ns0:t>
        </ns0:is>
      </ns0:c>
      <ns0:c r="Q20" s="115" t="inlineStr">
        <ns0:is>
          <ns0:t>Total NG rate</ns0:t>
        </ns0:is>
      </ns0:c>
      <ns0:c r="R20" s="115" t="inlineStr">
        <ns0:is>
          <ns0:t>Note</ns0:t>
        </ns0:is>
      </ns0:c>
      <ns0:c r="S20" s="45" t="n"/>
      <ns0:c r="T20" s="42" t="n"/>
      <ns0:c r="U20" s="43" t="n"/>
      <ns0:c r="V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  <ns0:c r="BH20" s="28" t="n"/>
      <ns0:c r="BI20" s="28" t="n"/>
      <ns0:c r="BJ20" s="28" t="n"/>
      <ns0:c r="BK20" s="28" t="n"/>
      <ns0:c r="BL20" s="28" t="n"/>
    </ns0:row>
    <ns0:row r="21" ht="48" customHeight="1">
      <ns0:c r="A21" s="36" t="n"/>
      <ns0:c r="B21" s="48" t="n"/>
      <ns0:c r="C21" s="48" t="n"/>
      <ns0:c r="D21" s="48" t="n"/>
      <ns0:c r="E21" s="48" t="n"/>
      <ns0:c r="F21" s="115" t="inlineStr">
        <ns0:is>
          <ns0:t xml:space="preserve">SPL </ns0:t>
        </ns0:is>
      </ns0:c>
      <ns0:c r="G21" s="115" t="inlineStr">
        <ns0:is>
          <ns0:t xml:space="preserve">THD </ns0:t>
        </ns0:is>
      </ns0:c>
      <ns0:c r="H21" s="115" t="inlineStr">
        <ns0:is>
          <ns0:t xml:space="preserve">SPL+THD </ns0:t>
        </ns0:is>
      </ns0:c>
      <ns0:c r="I21" s="115" t="inlineStr">
        <ns0:is>
          <ns0:t>SPL+THD+F0</ns0:t>
        </ns0:is>
      </ns0:c>
      <ns0:c r="J21" s="115" t="inlineStr">
        <ns0:is>
          <ns0:t xml:space="preserve">Noise </ns0:t>
        </ns0:is>
      </ns0:c>
      <ns0:c r="K21" s="115" t="inlineStr">
        <ns0:is>
          <ns0:t xml:space="preserve">Touch </ns0:t>
        </ns0:is>
      </ns0:c>
      <ns0:c r="L21" s="48" t="n"/>
      <ns0:c r="M21" s="48" t="n"/>
      <ns0:c r="N21" s="121" t="inlineStr">
        <ns0:is>
          <ns0:t xml:space="preserve">Noise </ns0:t>
        </ns0:is>
      </ns0:c>
      <ns0:c r="O21" s="121" t="inlineStr">
        <ns0:is>
          <ns0:t xml:space="preserve">Touch </ns0:t>
        </ns0:is>
      </ns0:c>
      <ns0:c r="P21" s="48" t="n"/>
      <ns0:c r="Q21" s="48" t="n"/>
      <ns0:c r="R21" s="18" t="n"/>
      <ns0:c r="S21" s="17" t="n"/>
      <ns0:c r="T21" s="42" t="n"/>
      <ns0:c r="U21" s="43" t="n"/>
      <ns0:c r="V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  <ns0:c r="BH21" s="28" t="n"/>
      <ns0:c r="BI21" s="28" t="n"/>
      <ns0:c r="BJ21" s="28" t="n"/>
      <ns0:c r="BK21" s="28" t="n"/>
      <ns0:c r="BL21" s="28" t="n"/>
    </ns0:row>
    <ns0:row r="22" ht="48" customHeight="1">
      <ns0:c r="A22" s="36" t="n"/>
      <ns0:c r="B22" s="122" t="n">
        <ns0:v>45467</ns0:v>
      </ns0:c>
      <ns0:c r="C22" s="52" t="inlineStr">
        <ns0:is>
          <ns0:t>Frame move in Jig</ns0:t>
        </ns0:is>
      </ns0:c>
      <ns0:c r="D22" s="53" t="n">
        <ns0:v>44</ns0:v>
      </ns0:c>
      <ns0:c r="E22" s="54" t="n">
        <ns0:v>31</ns0:v>
      </ns0:c>
      <ns0:c r="F22" s="54" t="n">
        <ns0:v>0</ns0:v>
      </ns0:c>
      <ns0:c r="G22" s="54" t="n">
        <ns0:v>0</ns0:v>
      </ns0:c>
      <ns0:c r="H22" s="54" t="n">
        <ns0:v>0</ns0:v>
      </ns0:c>
      <ns0:c r="I22" s="54" t="n">
        <ns0:v>0</ns0:v>
      </ns0:c>
      <ns0:c r="J22" s="54" t="n">
        <ns0:v>2</ns0:v>
      </ns0:c>
      <ns0:c r="K22" s="54" t="n">
        <ns0:v>11</ns0:v>
      </ns0:c>
      <ns0:c r="L22" s="54" t="n">
        <ns0:v>13</ns0:v>
      </ns0:c>
      <ns0:c r="M22" s="55" t="n">
        <ns0:v>0.2954545454545455</ns0:v>
      </ns0:c>
      <ns0:c r="N22" s="54" t="n">
        <ns0:v>2</ns0:v>
      </ns0:c>
      <ns0:c r="O22" s="54" t="n">
        <ns0:v>7</ns0:v>
      </ns0:c>
      <ns0:c r="P22" s="54" t="n">
        <ns0:v>9</ns0:v>
      </ns0:c>
      <ns0:c r="Q22" s="55" t="n">
        <ns0:v>0.2045454545454546</ns0:v>
      </ns0:c>
      <ns0:c r="R22" s="54" t="inlineStr">
        <ns0:is>
          <ns0:t xml:space="preserve"> Hearing voltage up 10%</ns0:t>
        </ns0:is>
      </ns0:c>
      <ns0:c r="S22" s="45" t="n"/>
      <ns0:c r="T22" s="42" t="n"/>
      <ns0:c r="U22" s="43" t="n"/>
      <ns0:c r="V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  <ns0:c r="BH22" s="28" t="n"/>
      <ns0:c r="BI22" s="28" t="n"/>
      <ns0:c r="BJ22" s="28" t="n"/>
      <ns0:c r="BK22" s="28" t="n"/>
      <ns0:c r="BL22" s="28" t="n"/>
    </ns0:row>
    <ns0:row r="23" ht="48" customHeight="1">
      <ns0:c r="A23" s="36" t="n"/>
      <ns0:c r="B23" s="58" t="n"/>
      <ns0:c r="C23" s="48" t="n"/>
      <ns0:c r="D23" s="48" t="n"/>
      <ns0:c r="E23" s="48" t="n"/>
      <ns0:c r="F23" s="59" t="n">
        <ns0:v>0</ns0:v>
      </ns0:c>
      <ns0:c r="G23" s="59" t="n">
        <ns0:v>0</ns0:v>
      </ns0:c>
      <ns0:c r="H23" s="59" t="n">
        <ns0:v>0</ns0:v>
      </ns0:c>
      <ns0:c r="I23" s="59" t="n">
        <ns0:v>0</ns0:v>
      </ns0:c>
      <ns0:c r="J23" s="59" t="n">
        <ns0:v>0.1538461538461539</ns0:v>
      </ns0:c>
      <ns0:c r="K23" s="59" t="n">
        <ns0:v>0.8461538461538461</ns0:v>
      </ns0:c>
      <ns0:c r="L23" s="48" t="n"/>
      <ns0:c r="M23" s="48" t="n"/>
      <ns0:c r="N23" s="59" t="n">
        <ns0:v>0.04545454545454546</ns0:v>
      </ns0:c>
      <ns0:c r="O23" s="59" t="n">
        <ns0:v>0.2258064516129032</ns0:v>
      </ns0:c>
      <ns0:c r="P23" s="48" t="n"/>
      <ns0:c r="Q23" s="48" t="n"/>
      <ns0:c r="R23" s="18" t="n"/>
      <ns0:c r="S23" s="17" t="n"/>
      <ns0:c r="T23" s="42" t="n"/>
      <ns0:c r="U23" s="43" t="n"/>
      <ns0:c r="V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  <ns0:c r="BH23" s="28" t="n"/>
      <ns0:c r="BI23" s="28" t="n"/>
      <ns0:c r="BJ23" s="28" t="n"/>
      <ns0:c r="BK23" s="28" t="n"/>
      <ns0:c r="BL23" s="28" t="n"/>
    </ns0:row>
    <ns0:row r="24" ht="48" customHeight="1">
      <ns0:c r="A24" s="36" t="n"/>
      <ns0:c r="B24" s="58" t="n"/>
      <ns0:c r="C24" s="123" t="inlineStr">
        <ns0:is>
          <ns0:t>Frame don’t move in Jig</ns0:t>
        </ns0:is>
      </ns0:c>
      <ns0:c r="D24" s="124" t="n">
        <ns0:v>57</ns0:v>
      </ns0:c>
      <ns0:c r="E24" s="125" t="n">
        <ns0:v>57</ns0:v>
      </ns0:c>
      <ns0:c r="F24" s="125" t="n">
        <ns0:v>0</ns0:v>
      </ns0:c>
      <ns0:c r="G24" s="125" t="n">
        <ns0:v>0</ns0:v>
      </ns0:c>
      <ns0:c r="H24" s="125" t="n">
        <ns0:v>0</ns0:v>
      </ns0:c>
      <ns0:c r="I24" s="125" t="n">
        <ns0:v>0</ns0:v>
      </ns0:c>
      <ns0:c r="J24" s="125" t="n">
        <ns0:v>0</ns0:v>
      </ns0:c>
      <ns0:c r="K24" s="125" t="n">
        <ns0:v>0</ns0:v>
      </ns0:c>
      <ns0:c r="L24" s="125" t="n">
        <ns0:v>0</ns0:v>
      </ns0:c>
      <ns0:c r="M24" s="126" t="n">
        <ns0:v>0</ns0:v>
      </ns0:c>
      <ns0:c r="N24" s="125" t="n">
        <ns0:v>0</ns0:v>
      </ns0:c>
      <ns0:c r="O24" s="125" t="n">
        <ns0:v>0</ns0:v>
      </ns0:c>
      <ns0:c r="P24" s="125" t="n">
        <ns0:v>0</ns0:v>
      </ns0:c>
      <ns0:c r="Q24" s="126" t="n">
        <ns0:v>0</ns0:v>
      </ns0:c>
      <ns0:c r="R24" s="125" t="inlineStr">
        <ns0:is>
          <ns0:t xml:space="preserve"> Hearing voltage up 10%</ns0:t>
        </ns0:is>
      </ns0:c>
      <ns0:c r="S24" s="45" t="n"/>
      <ns0:c r="T24" s="39" t="n"/>
      <ns0:c r="U24" s="43" t="n"/>
      <ns0:c r="V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  <ns0:c r="BI24" s="28" t="n"/>
      <ns0:c r="BJ24" s="28" t="n"/>
      <ns0:c r="BK24" s="28" t="n"/>
      <ns0:c r="BL24" s="28" t="n"/>
    </ns0:row>
    <ns0:row r="25" ht="48" customHeight="1">
      <ns0:c r="A25" s="36" t="n"/>
      <ns0:c r="B25" s="48" t="n"/>
      <ns0:c r="C25" s="48" t="n"/>
      <ns0:c r="D25" s="48" t="n"/>
      <ns0:c r="E25" s="48" t="n"/>
      <ns0:c r="F25" s="127" t="e">
        <ns0:v>#DIV/0!</ns0:v>
      </ns0:c>
      <ns0:c r="G25" s="127" t="e">
        <ns0:v>#DIV/0!</ns0:v>
      </ns0:c>
      <ns0:c r="H25" s="127" t="e">
        <ns0:v>#DIV/0!</ns0:v>
      </ns0:c>
      <ns0:c r="I25" s="127" t="e">
        <ns0:v>#DIV/0!</ns0:v>
      </ns0:c>
      <ns0:c r="J25" s="127" t="e">
        <ns0:v>#DIV/0!</ns0:v>
      </ns0:c>
      <ns0:c r="K25" s="127" t="e">
        <ns0:v>#DIV/0!</ns0:v>
      </ns0:c>
      <ns0:c r="L25" s="48" t="n"/>
      <ns0:c r="M25" s="48" t="n"/>
      <ns0:c r="N25" s="127" t="n">
        <ns0:v>0</ns0:v>
      </ns0:c>
      <ns0:c r="O25" s="127" t="n">
        <ns0:v>0</ns0:v>
      </ns0:c>
      <ns0:c r="P25" s="48" t="n"/>
      <ns0:c r="Q25" s="48" t="n"/>
      <ns0:c r="R25" s="18" t="n"/>
      <ns0:c r="S25" s="17" t="n"/>
      <ns0:c r="T25" s="39" t="n"/>
      <ns0:c r="U25" s="43" t="n"/>
      <ns0:c r="V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  <ns0:c r="BI25" s="28" t="n"/>
      <ns0:c r="BJ25" s="28" t="n"/>
      <ns0:c r="BK25" s="28" t="n"/>
      <ns0:c r="BL25" s="28" t="n"/>
    </ns0:row>
    <ns0:row r="26" ht="48" customHeight="1">
      <ns0:c r="A26" s="36" t="n"/>
      <ns0:c r="B26" s="128" t="inlineStr">
        <ns0:is>
          <ns0:t>RESULT CHECKING DIMENSION MATERIAL FRAME</ns0:t>
        </ns0:is>
      </ns0:c>
      <ns0:c r="C26" s="113" t="n"/>
      <ns0:c r="D26" s="114" t="n"/>
      <ns0:c r="E26" s="39" t="n"/>
      <ns0:c r="F26" s="40" t="n"/>
      <ns0:c r="G26" s="40" t="n"/>
      <ns0:c r="H26" s="40" t="n"/>
      <ns0:c r="I26" s="40" t="n"/>
      <ns0:c r="J26" s="40" t="n"/>
      <ns0:c r="K26" s="40" t="n"/>
      <ns0:c r="L26" s="40" t="n"/>
      <ns0:c r="M26" s="39" t="n"/>
      <ns0:c r="N26" s="41" t="n"/>
      <ns0:c r="O26" s="41" t="n"/>
      <ns0:c r="P26" s="41" t="n"/>
      <ns0:c r="Q26" s="41" t="n"/>
      <ns0:c r="R26" s="41" t="n"/>
      <ns0:c r="S26" s="39" t="n"/>
      <ns0:c r="T26" s="42" t="n"/>
      <ns0:c r="U26" s="43" t="n"/>
      <ns0:c r="V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  <ns0:c r="BI26" s="28" t="n"/>
      <ns0:c r="BJ26" s="28" t="n"/>
      <ns0:c r="BK26" s="28" t="n"/>
      <ns0:c r="BL26" s="28" t="n"/>
    </ns0:row>
    <ns0:row r="27" ht="48" customHeight="1">
      <ns0:c r="A27" s="36" t="n"/>
      <ns0:c r="B27" s="129" t="inlineStr">
        <ns0:is>
          <ns0:t>Date</ns0:t>
        </ns0:is>
      </ns0:c>
      <ns0:c r="C27" s="115" t="inlineStr">
        <ns0:is>
          <ns0:t>Type</ns0:t>
        </ns0:is>
      </ns0:c>
      <ns0:c r="D27" s="116" t="inlineStr">
        <ns0:is>
          <ns0:t>NO</ns0:t>
        </ns0:is>
      </ns0:c>
      <ns0:c r="E27" s="116" t="inlineStr">
        <ns0:is>
          <ns0:t>RESULT CHECKING DIMENSION</ns0:t>
        </ns0:is>
      </ns0:c>
      <ns0:c r="F27" s="47" t="n"/>
      <ns0:c r="G27" s="130" t="n"/>
      <ns0:c r="H27" s="130" t="n"/>
      <ns0:c r="I27" s="39" t="n"/>
      <ns0:c r="J27" s="39" t="n"/>
      <ns0:c r="K27" s="39" t="n"/>
      <ns0:c r="L27" s="39" t="n"/>
      <ns0:c r="M27" s="39" t="n"/>
      <ns0:c r="N27" s="39" t="n"/>
      <ns0:c r="O27" s="39" t="n"/>
      <ns0:c r="P27" s="39" t="n"/>
      <ns0:c r="Q27" s="39" t="n"/>
      <ns0:c r="R27" s="39" t="n"/>
      <ns0:c r="S27" s="39" t="n"/>
      <ns0:c r="T27" s="42" t="n"/>
      <ns0:c r="U27" s="43" t="n"/>
      <ns0:c r="V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  <ns0:c r="BI27" s="28" t="n"/>
      <ns0:c r="BJ27" s="28" t="n"/>
      <ns0:c r="BK27" s="28" t="n"/>
      <ns0:c r="BL27" s="28" t="n"/>
    </ns0:row>
    <ns0:row r="28" ht="48" customHeight="1">
      <ns0:c r="A28" s="36" t="n"/>
      <ns0:c r="B28" s="48" t="n"/>
      <ns0:c r="C28" s="48" t="n"/>
      <ns0:c r="D28" s="48" t="n"/>
      <ns0:c r="E28" s="116" t="inlineStr">
        <ns0:is>
          <ns0:t>Width ( Spec 14.83 ~ 14.86 )</ns0:t>
        </ns0:is>
      </ns0:c>
      <ns0:c r="F28" s="47" t="n"/>
      <ns0:c r="G28" s="130" t="n"/>
      <ns0:c r="H28" s="130" t="n"/>
      <ns0:c r="I28" s="39" t="n"/>
      <ns0:c r="J28" s="39" t="n"/>
      <ns0:c r="K28" s="39" t="n"/>
      <ns0:c r="L28" s="39" t="n"/>
      <ns0:c r="M28" s="39" t="n"/>
      <ns0:c r="N28" s="39" t="n"/>
      <ns0:c r="O28" s="39" t="n"/>
      <ns0:c r="P28" s="39" t="n"/>
      <ns0:c r="Q28" s="39" t="n"/>
      <ns0:c r="R28" s="39" t="n"/>
      <ns0:c r="S28" s="39" t="n"/>
      <ns0:c r="T28" s="42" t="n"/>
      <ns0:c r="U28" s="43" t="n"/>
      <ns0:c r="V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  <ns0:c r="BI28" s="28" t="n"/>
      <ns0:c r="BJ28" s="28" t="n"/>
      <ns0:c r="BK28" s="28" t="n"/>
      <ns0:c r="BL28" s="28" t="n"/>
    </ns0:row>
    <ns0:row r="29" ht="48" customHeight="1">
      <ns0:c r="A29" s="36" t="n"/>
      <ns0:c r="B29" s="131" t="n">
        <ns0:v>45406</ns0:v>
      </ns0:c>
      <ns0:c r="C29" s="132" t="inlineStr">
        <ns0:is>
          <ns0:t>Material Frame</ns0:t>
        </ns0:is>
      </ns0:c>
      <ns0:c r="D29" s="119" t="n">
        <ns0:v>1</ns0:v>
      </ns0:c>
      <ns0:c r="E29" s="133" t="n">
        <ns0:v>14.83</ns0:v>
      </ns0:c>
      <ns0:c r="F29" s="134" t="n">
        <ns0:v>14.83</ns0:v>
      </ns0:c>
      <ns0:c r="G29" s="130" t="n"/>
      <ns0:c r="H29" s="130" t="n"/>
      <ns0:c r="I29" s="39" t="n"/>
      <ns0:c r="J29" s="39" t="n"/>
      <ns0:c r="K29" s="39" t="n"/>
      <ns0:c r="L29" s="39" t="n"/>
      <ns0:c r="M29" s="39" t="n"/>
      <ns0:c r="N29" s="39" t="n"/>
      <ns0:c r="O29" s="39" t="n"/>
      <ns0:c r="P29" s="39" t="n"/>
      <ns0:c r="Q29" s="39" t="n"/>
      <ns0:c r="R29" s="39" t="n"/>
      <ns0:c r="S29" s="39" t="n"/>
      <ns0:c r="T29" s="42" t="n"/>
      <ns0:c r="U29" s="43" t="n"/>
      <ns0:c r="V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  <ns0:c r="BI29" s="28" t="n"/>
      <ns0:c r="BJ29" s="28" t="n"/>
      <ns0:c r="BK29" s="28" t="n"/>
      <ns0:c r="BL29" s="28" t="n"/>
    </ns0:row>
    <ns0:row r="30" ht="48" customHeight="1">
      <ns0:c r="A30" s="36" t="n"/>
      <ns0:c r="B30" s="58" t="n"/>
      <ns0:c r="C30" s="58" t="n"/>
      <ns0:c r="D30" s="119" t="n">
        <ns0:v>2</ns0:v>
      </ns0:c>
      <ns0:c r="E30" s="133" t="n">
        <ns0:v>14.85</ns0:v>
      </ns0:c>
      <ns0:c r="F30" s="134" t="n">
        <ns0:v>14.85</ns0:v>
      </ns0:c>
      <ns0:c r="G30" s="130" t="n"/>
      <ns0:c r="H30" s="130" t="n"/>
      <ns0:c r="I30" s="39" t="n"/>
      <ns0:c r="J30" s="39" t="n"/>
      <ns0:c r="K30" s="39" t="n"/>
      <ns0:c r="L30" s="39" t="n"/>
      <ns0:c r="M30" s="39" t="n"/>
      <ns0:c r="N30" s="39" t="n"/>
      <ns0:c r="O30" s="39" t="n"/>
      <ns0:c r="P30" s="39" t="n"/>
      <ns0:c r="Q30" s="39" t="n"/>
      <ns0:c r="R30" s="39" t="n"/>
      <ns0:c r="S30" s="39" t="n"/>
      <ns0:c r="T30" s="42" t="n"/>
      <ns0:c r="U30" s="43" t="n"/>
      <ns0:c r="V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  <ns0:c r="BI30" s="28" t="n"/>
      <ns0:c r="BJ30" s="28" t="n"/>
      <ns0:c r="BK30" s="28" t="n"/>
      <ns0:c r="BL30" s="28" t="n"/>
    </ns0:row>
    <ns0:row r="31" ht="48" customHeight="1">
      <ns0:c r="A31" s="36" t="n"/>
      <ns0:c r="B31" s="58" t="n"/>
      <ns0:c r="C31" s="58" t="n"/>
      <ns0:c r="D31" s="119" t="n">
        <ns0:v>3</ns0:v>
      </ns0:c>
      <ns0:c r="E31" s="133" t="n">
        <ns0:v>14.83</ns0:v>
      </ns0:c>
      <ns0:c r="F31" s="134" t="n">
        <ns0:v>14.83</ns0:v>
      </ns0:c>
      <ns0:c r="G31" s="130" t="n"/>
      <ns0:c r="H31" s="130" t="n"/>
      <ns0:c r="I31" s="39" t="n"/>
      <ns0:c r="J31" s="39" t="n"/>
      <ns0:c r="K31" s="39" t="n"/>
      <ns0:c r="L31" s="39" t="n"/>
      <ns0:c r="M31" s="39" t="n"/>
      <ns0:c r="N31" s="39" t="n"/>
      <ns0:c r="O31" s="39" t="n"/>
      <ns0:c r="P31" s="39" t="n"/>
      <ns0:c r="Q31" s="39" t="n"/>
      <ns0:c r="R31" s="39" t="n"/>
      <ns0:c r="S31" s="39" t="n"/>
      <ns0:c r="T31" s="42" t="n"/>
      <ns0:c r="U31" s="43" t="n"/>
      <ns0:c r="V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  <ns0:c r="BH31" s="28" t="n"/>
      <ns0:c r="BI31" s="28" t="n"/>
      <ns0:c r="BJ31" s="28" t="n"/>
      <ns0:c r="BK31" s="28" t="n"/>
      <ns0:c r="BL31" s="28" t="n"/>
    </ns0:row>
    <ns0:row r="32" ht="48" customHeight="1">
      <ns0:c r="A32" s="36" t="n"/>
      <ns0:c r="B32" s="58" t="n"/>
      <ns0:c r="C32" s="58" t="n"/>
      <ns0:c r="D32" s="119" t="n">
        <ns0:v>4</ns0:v>
      </ns0:c>
      <ns0:c r="E32" s="133" t="n">
        <ns0:v>14.83</ns0:v>
      </ns0:c>
      <ns0:c r="F32" s="134" t="n">
        <ns0:v>14.83</ns0:v>
      </ns0:c>
      <ns0:c r="G32" s="130" t="n"/>
      <ns0:c r="H32" s="130" t="n"/>
      <ns0:c r="I32" s="39" t="n"/>
      <ns0:c r="J32" s="39" t="n"/>
      <ns0:c r="K32" s="39" t="n"/>
      <ns0:c r="L32" s="39" t="n"/>
      <ns0:c r="M32" s="39" t="n"/>
      <ns0:c r="N32" s="39" t="n"/>
      <ns0:c r="O32" s="39" t="n"/>
      <ns0:c r="P32" s="39" t="n"/>
      <ns0:c r="Q32" s="39" t="n"/>
      <ns0:c r="R32" s="39" t="n"/>
      <ns0:c r="S32" s="39" t="n"/>
      <ns0:c r="T32" s="42" t="n"/>
      <ns0:c r="U32" s="43" t="n"/>
      <ns0:c r="V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  <ns0:c r="BI32" s="28" t="n"/>
      <ns0:c r="BJ32" s="28" t="n"/>
      <ns0:c r="BK32" s="28" t="n"/>
      <ns0:c r="BL32" s="28" t="n"/>
    </ns0:row>
    <ns0:row r="33" ht="48" customHeight="1">
      <ns0:c r="A33" s="36" t="n"/>
      <ns0:c r="B33" s="58" t="n"/>
      <ns0:c r="C33" s="58" t="n"/>
      <ns0:c r="D33" s="119" t="n">
        <ns0:v>5</ns0:v>
      </ns0:c>
      <ns0:c r="E33" s="133" t="n">
        <ns0:v>14.84</ns0:v>
      </ns0:c>
      <ns0:c r="F33" s="134" t="n">
        <ns0:v>14.84</ns0:v>
      </ns0:c>
      <ns0:c r="G33" s="130" t="n"/>
      <ns0:c r="H33" s="130" t="n"/>
      <ns0:c r="I33" s="39" t="n"/>
      <ns0:c r="J33" s="39" t="n"/>
      <ns0:c r="K33" s="39" t="n"/>
      <ns0:c r="L33" s="39" t="n"/>
      <ns0:c r="M33" s="39" t="n"/>
      <ns0:c r="N33" s="39" t="n"/>
      <ns0:c r="O33" s="39" t="n"/>
      <ns0:c r="P33" s="39" t="n"/>
      <ns0:c r="Q33" s="39" t="n"/>
      <ns0:c r="R33" s="39" t="n"/>
      <ns0:c r="S33" s="39" t="n"/>
      <ns0:c r="T33" s="42" t="n"/>
      <ns0:c r="U33" s="43" t="n"/>
      <ns0:c r="V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  <ns0:c r="BI33" s="28" t="n"/>
      <ns0:c r="BJ33" s="28" t="n"/>
      <ns0:c r="BK33" s="28" t="n"/>
      <ns0:c r="BL33" s="28" t="n"/>
    </ns0:row>
    <ns0:row r="34" ht="48" customHeight="1">
      <ns0:c r="A34" s="36" t="n"/>
      <ns0:c r="B34" s="58" t="n"/>
      <ns0:c r="C34" s="58" t="n"/>
      <ns0:c r="D34" s="135" t="inlineStr">
        <ns0:is>
          <ns0:t xml:space="preserve">Min </ns0:t>
        </ns0:is>
      </ns0:c>
      <ns0:c r="E34" s="136" t="n">
        <ns0:v>14.83</ns0:v>
      </ns0:c>
      <ns0:c r="F34" s="136" t="n">
        <ns0:v>14.83</ns0:v>
      </ns0:c>
      <ns0:c r="G34" s="130" t="n"/>
      <ns0:c r="H34" s="130" t="n"/>
      <ns0:c r="I34" s="40" t="n"/>
      <ns0:c r="J34" s="40" t="n"/>
      <ns0:c r="K34" s="40" t="n"/>
      <ns0:c r="L34" s="40" t="n"/>
      <ns0:c r="M34" s="39" t="n"/>
      <ns0:c r="N34" s="41" t="n"/>
      <ns0:c r="O34" s="41" t="n"/>
      <ns0:c r="P34" s="41" t="n"/>
      <ns0:c r="Q34" s="41" t="n"/>
      <ns0:c r="R34" s="41" t="n"/>
      <ns0:c r="S34" s="39" t="n"/>
      <ns0:c r="T34" s="42" t="n"/>
      <ns0:c r="U34" s="43" t="n"/>
      <ns0:c r="V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  <ns0:c r="BI34" s="28" t="n"/>
      <ns0:c r="BJ34" s="28" t="n"/>
      <ns0:c r="BK34" s="28" t="n"/>
      <ns0:c r="BL34" s="28" t="n"/>
    </ns0:row>
    <ns0:row r="35" ht="48" customHeight="1">
      <ns0:c r="A35" s="36" t="n"/>
      <ns0:c r="B35" s="58" t="n"/>
      <ns0:c r="C35" s="58" t="n"/>
      <ns0:c r="D35" s="135" t="inlineStr">
        <ns0:is>
          <ns0:t>Max</ns0:t>
        </ns0:is>
      </ns0:c>
      <ns0:c r="E35" s="136" t="n">
        <ns0:v>14.85</ns0:v>
      </ns0:c>
      <ns0:c r="F35" s="136" t="n">
        <ns0:v>14.85</ns0:v>
      </ns0:c>
      <ns0:c r="G35" s="130" t="n"/>
      <ns0:c r="H35" s="130" t="n"/>
      <ns0:c r="I35" s="40" t="n"/>
      <ns0:c r="J35" s="40" t="n"/>
      <ns0:c r="K35" s="40" t="n"/>
      <ns0:c r="L35" s="40" t="n"/>
      <ns0:c r="M35" s="39" t="n"/>
      <ns0:c r="N35" s="41" t="n"/>
      <ns0:c r="O35" s="41" t="n"/>
      <ns0:c r="P35" s="41" t="n"/>
      <ns0:c r="Q35" s="41" t="n"/>
      <ns0:c r="R35" s="41" t="n"/>
      <ns0:c r="S35" s="39" t="n"/>
      <ns0:c r="T35" s="42" t="n"/>
      <ns0:c r="U35" s="43" t="n"/>
      <ns0:c r="V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  <ns0:c r="BI35" s="28" t="n"/>
      <ns0:c r="BJ35" s="28" t="n"/>
      <ns0:c r="BK35" s="28" t="n"/>
      <ns0:c r="BL35" s="28" t="n"/>
    </ns0:row>
    <ns0:row r="36" ht="48" customHeight="1">
      <ns0:c r="A36" s="36" t="n"/>
      <ns0:c r="B36" s="48" t="n"/>
      <ns0:c r="C36" s="48" t="n"/>
      <ns0:c r="D36" s="135" t="inlineStr">
        <ns0:is>
          <ns0:t>AVG</ns0:t>
        </ns0:is>
      </ns0:c>
      <ns0:c r="E36" s="136" t="n">
        <ns0:v>14.836</ns0:v>
      </ns0:c>
      <ns0:c r="F36" s="136" t="n">
        <ns0:v>14.836</ns0:v>
      </ns0:c>
      <ns0:c r="G36" s="130" t="n"/>
      <ns0:c r="H36" s="130" t="n"/>
      <ns0:c r="I36" s="40" t="n"/>
      <ns0:c r="J36" s="40" t="n"/>
      <ns0:c r="K36" s="40" t="n"/>
      <ns0:c r="L36" s="40" t="n"/>
      <ns0:c r="M36" s="39" t="n"/>
      <ns0:c r="N36" s="41" t="n"/>
      <ns0:c r="O36" s="41" t="n"/>
      <ns0:c r="P36" s="41" t="n"/>
      <ns0:c r="Q36" s="41" t="n"/>
      <ns0:c r="R36" s="41" t="n"/>
      <ns0:c r="S36" s="39" t="n"/>
      <ns0:c r="T36" s="42" t="n"/>
      <ns0:c r="U36" s="43" t="n"/>
      <ns0:c r="V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  <ns0:c r="BJ36" s="28" t="n"/>
      <ns0:c r="BK36" s="28" t="n"/>
      <ns0:c r="BL36" s="28" t="n"/>
    </ns0:row>
    <ns0:row r="37" ht="48" customHeight="1">
      <ns0:c r="A37" s="36" t="n"/>
      <ns0:c r="B37" s="128" t="inlineStr">
        <ns0:is>
          <ns0:t>RESULT CHECKING DIMENSION AWF JIG</ns0:t>
        </ns0:is>
      </ns0:c>
      <ns0:c r="C37" s="113" t="n"/>
      <ns0:c r="D37" s="114" t="n"/>
      <ns0:c r="E37" s="39" t="n"/>
      <ns0:c r="F37" s="40" t="n"/>
      <ns0:c r="G37" s="40" t="n"/>
      <ns0:c r="H37" s="40" t="n"/>
      <ns0:c r="I37" s="40" t="n"/>
      <ns0:c r="J37" s="40" t="n"/>
      <ns0:c r="K37" s="40" t="n"/>
      <ns0:c r="L37" s="40" t="n"/>
      <ns0:c r="M37" s="39" t="n"/>
      <ns0:c r="N37" s="41" t="n"/>
      <ns0:c r="O37" s="41" t="n"/>
      <ns0:c r="P37" s="41" t="n"/>
      <ns0:c r="Q37" s="41" t="n"/>
      <ns0:c r="R37" s="41" t="n"/>
      <ns0:c r="S37" s="39" t="n"/>
      <ns0:c r="T37" s="42" t="n"/>
      <ns0:c r="U37" s="43" t="n"/>
      <ns0:c r="V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  <ns0:c r="BJ37" s="28" t="n"/>
      <ns0:c r="BK37" s="28" t="n"/>
      <ns0:c r="BL37" s="28" t="n"/>
    </ns0:row>
    <ns0:row r="38" ht="48" customHeight="1">
      <ns0:c r="A38" s="36" t="n"/>
      <ns0:c r="B38" s="129" t="inlineStr">
        <ns0:is>
          <ns0:t>Date</ns0:t>
        </ns0:is>
      </ns0:c>
      <ns0:c r="C38" s="115" t="inlineStr">
        <ns0:is>
          <ns0:t>Type</ns0:t>
        </ns0:is>
      </ns0:c>
      <ns0:c r="D38" s="116" t="inlineStr">
        <ns0:is>
          <ns0:t>NO</ns0:t>
        </ns0:is>
      </ns0:c>
      <ns0:c r="E38" s="116" t="inlineStr">
        <ns0:is>
          <ns0:t>RESULT CHECKING DIMENSION AWF JIG</ns0:t>
        </ns0:is>
      </ns0:c>
      <ns0:c r="F38" s="47" t="n"/>
      <ns0:c r="G38" s="40" t="n"/>
      <ns0:c r="H38" s="40" t="n"/>
      <ns0:c r="I38" s="40" t="n"/>
      <ns0:c r="J38" s="40" t="n"/>
      <ns0:c r="K38" s="40" t="n"/>
      <ns0:c r="L38" s="40" t="n"/>
      <ns0:c r="M38" s="39" t="n"/>
      <ns0:c r="N38" s="41" t="n"/>
      <ns0:c r="O38" s="41" t="n"/>
      <ns0:c r="P38" s="41" t="n"/>
      <ns0:c r="Q38" s="41" t="n"/>
      <ns0:c r="R38" s="41" t="n"/>
      <ns0:c r="S38" s="39" t="n"/>
      <ns0:c r="T38" s="42" t="n"/>
      <ns0:c r="U38" s="43" t="n"/>
      <ns0:c r="V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  <ns0:c r="BJ38" s="28" t="n"/>
      <ns0:c r="BK38" s="28" t="n"/>
      <ns0:c r="BL38" s="28" t="n"/>
    </ns0:row>
    <ns0:row r="39" ht="48" customHeight="1">
      <ns0:c r="A39" s="36" t="n"/>
      <ns0:c r="B39" s="48" t="n"/>
      <ns0:c r="C39" s="48" t="n"/>
      <ns0:c r="D39" s="48" t="n"/>
      <ns0:c r="E39" s="115" t="inlineStr">
        <ns0:is>
          <ns0:t>Width 14.86 ~ 14.88</ns0:t>
        </ns0:is>
      </ns0:c>
      <ns0:c r="F39" s="47" t="n"/>
      <ns0:c r="G39" s="40" t="n"/>
      <ns0:c r="H39" s="40" t="n"/>
      <ns0:c r="I39" s="40" t="n"/>
      <ns0:c r="J39" s="40" t="n"/>
      <ns0:c r="K39" s="40" t="n"/>
      <ns0:c r="L39" s="40" t="n"/>
      <ns0:c r="M39" s="39" t="n"/>
      <ns0:c r="N39" s="41" t="n"/>
      <ns0:c r="O39" s="41" t="n"/>
      <ns0:c r="P39" s="41" t="n"/>
      <ns0:c r="Q39" s="41" t="n"/>
      <ns0:c r="R39" s="41" t="n"/>
      <ns0:c r="S39" s="39" t="n"/>
      <ns0:c r="T39" s="42" t="n"/>
      <ns0:c r="U39" s="43" t="n"/>
      <ns0:c r="V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  <ns0:c r="BJ39" s="28" t="n"/>
      <ns0:c r="BK39" s="28" t="n"/>
      <ns0:c r="BL39" s="28" t="n"/>
    </ns0:row>
    <ns0:row r="40" ht="48" customHeight="1">
      <ns0:c r="A40" s="36" t="n"/>
      <ns0:c r="B40" s="131" t="n">
        <ns0:v>45467</ns0:v>
      </ns0:c>
      <ns0:c r="C40" s="132" t="inlineStr">
        <ns0:is>
          <ns0:t>AWF JIG</ns0:t>
        </ns0:is>
      </ns0:c>
      <ns0:c r="D40" s="119" t="n">
        <ns0:v>1</ns0:v>
      </ns0:c>
      <ns0:c r="E40" s="134" t="n">
        <ns0:v>14.9</ns0:v>
      </ns0:c>
      <ns0:c r="F40" s="132" t="n">
        <ns0:v>14.895</ns0:v>
      </ns0:c>
      <ns0:c r="G40" s="40" t="n"/>
      <ns0:c r="H40" s="40" t="n"/>
      <ns0:c r="I40" s="40" t="n"/>
      <ns0:c r="J40" s="40" t="n"/>
      <ns0:c r="K40" s="40" t="n"/>
      <ns0:c r="L40" s="40" t="n"/>
      <ns0:c r="M40" s="39" t="n"/>
      <ns0:c r="N40" s="41" t="n"/>
      <ns0:c r="O40" s="41" t="n"/>
      <ns0:c r="P40" s="41" t="n"/>
      <ns0:c r="Q40" s="41" t="n"/>
      <ns0:c r="R40" s="41" t="n"/>
      <ns0:c r="S40" s="39" t="n"/>
      <ns0:c r="T40" s="42" t="n"/>
      <ns0:c r="U40" s="43" t="n"/>
      <ns0:c r="V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  <ns0:c r="BJ40" s="28" t="n"/>
      <ns0:c r="BK40" s="28" t="n"/>
      <ns0:c r="BL40" s="28" t="n"/>
    </ns0:row>
    <ns0:row r="41" ht="48" customHeight="1">
      <ns0:c r="A41" s="36" t="n"/>
      <ns0:c r="B41" s="58" t="n"/>
      <ns0:c r="C41" s="58" t="n"/>
      <ns0:c r="D41" s="48" t="n"/>
      <ns0:c r="E41" s="132" t="n">
        <ns0:v>14.906</ns0:v>
      </ns0:c>
      <ns0:c r="F41" s="132" t="n">
        <ns0:v>14.879</ns0:v>
      </ns0:c>
      <ns0:c r="G41" s="40" t="n"/>
      <ns0:c r="H41" s="40" t="n"/>
      <ns0:c r="I41" s="40" t="n"/>
      <ns0:c r="J41" s="40" t="n"/>
      <ns0:c r="K41" s="40" t="n"/>
      <ns0:c r="L41" s="40" t="n"/>
      <ns0:c r="M41" s="39" t="n"/>
      <ns0:c r="N41" s="41" t="n"/>
      <ns0:c r="O41" s="41" t="n"/>
      <ns0:c r="P41" s="41" t="n"/>
      <ns0:c r="Q41" s="41" t="n"/>
      <ns0:c r="R41" s="41" t="n"/>
      <ns0:c r="S41" s="39" t="n"/>
      <ns0:c r="T41" s="42" t="n"/>
      <ns0:c r="U41" s="43" t="n"/>
      <ns0:c r="V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  <ns0:c r="BJ41" s="28" t="n"/>
      <ns0:c r="BK41" s="28" t="n"/>
      <ns0:c r="BL41" s="28" t="n"/>
    </ns0:row>
    <ns0:row r="42" ht="48" customHeight="1">
      <ns0:c r="A42" s="36" t="n"/>
      <ns0:c r="B42" s="58" t="n"/>
      <ns0:c r="C42" s="58" t="n"/>
      <ns0:c r="D42" s="119" t="n">
        <ns0:v>2</ns0:v>
      </ns0:c>
      <ns0:c r="E42" s="132" t="n">
        <ns0:v>14.93</ns0:v>
      </ns0:c>
      <ns0:c r="F42" s="132" t="n">
        <ns0:v>14.94</ns0:v>
      </ns0:c>
      <ns0:c r="G42" s="40" t="n"/>
      <ns0:c r="H42" s="40" t="n"/>
      <ns0:c r="I42" s="40" t="n"/>
      <ns0:c r="J42" s="40" t="n"/>
      <ns0:c r="K42" s="40" t="n"/>
      <ns0:c r="L42" s="40" t="n"/>
      <ns0:c r="M42" s="39" t="n"/>
      <ns0:c r="N42" s="41" t="n"/>
      <ns0:c r="O42" s="41" t="n"/>
      <ns0:c r="P42" s="41" t="n"/>
      <ns0:c r="Q42" s="41" t="n"/>
      <ns0:c r="R42" s="41" t="n"/>
      <ns0:c r="S42" s="39" t="n"/>
      <ns0:c r="T42" s="42" t="n"/>
      <ns0:c r="U42" s="43" t="n"/>
      <ns0:c r="V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  <ns0:c r="BJ42" s="28" t="n"/>
      <ns0:c r="BK42" s="28" t="n"/>
      <ns0:c r="BL42" s="28" t="n"/>
    </ns0:row>
    <ns0:row r="43" ht="48" customHeight="1">
      <ns0:c r="A43" s="36" t="n"/>
      <ns0:c r="B43" s="58" t="n"/>
      <ns0:c r="C43" s="58" t="n"/>
      <ns0:c r="D43" s="48" t="n"/>
      <ns0:c r="E43" s="132" t="n">
        <ns0:v>14.909</ns0:v>
      </ns0:c>
      <ns0:c r="F43" s="132" t="n">
        <ns0:v>14.9</ns0:v>
      </ns0:c>
      <ns0:c r="G43" s="40" t="n"/>
      <ns0:c r="H43" s="40" t="n"/>
      <ns0:c r="I43" s="40" t="n"/>
      <ns0:c r="J43" s="40" t="n"/>
      <ns0:c r="K43" s="40" t="n"/>
      <ns0:c r="L43" s="40" t="n"/>
      <ns0:c r="M43" s="39" t="n"/>
      <ns0:c r="N43" s="41" t="n"/>
      <ns0:c r="O43" s="41" t="n"/>
      <ns0:c r="P43" s="41" t="n"/>
      <ns0:c r="Q43" s="41" t="n"/>
      <ns0:c r="R43" s="41" t="n"/>
      <ns0:c r="S43" s="39" t="n"/>
      <ns0:c r="T43" s="42" t="n"/>
      <ns0:c r="U43" s="43" t="n"/>
      <ns0:c r="V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  <ns0:c r="BJ43" s="28" t="n"/>
      <ns0:c r="BK43" s="28" t="n"/>
      <ns0:c r="BL43" s="28" t="n"/>
    </ns0:row>
    <ns0:row r="44" ht="48" customHeight="1">
      <ns0:c r="A44" s="36" t="n"/>
      <ns0:c r="B44" s="58" t="n"/>
      <ns0:c r="C44" s="58" t="n"/>
      <ns0:c r="D44" s="135" t="inlineStr">
        <ns0:is>
          <ns0:t xml:space="preserve">Min </ns0:t>
        </ns0:is>
      </ns0:c>
      <ns0:c r="E44" s="137" t="n">
        <ns0:v>14.9</ns0:v>
      </ns0:c>
      <ns0:c r="F44" s="137" t="n">
        <ns0:v>14.879</ns0:v>
      </ns0:c>
      <ns0:c r="G44" s="40" t="n"/>
      <ns0:c r="H44" s="40" t="n"/>
      <ns0:c r="I44" s="40" t="n"/>
      <ns0:c r="J44" s="40" t="n"/>
      <ns0:c r="K44" s="40" t="n"/>
      <ns0:c r="L44" s="40" t="n"/>
      <ns0:c r="M44" s="39" t="n"/>
      <ns0:c r="N44" s="41" t="n"/>
      <ns0:c r="O44" s="41" t="n"/>
      <ns0:c r="P44" s="41" t="n"/>
      <ns0:c r="Q44" s="41" t="n"/>
      <ns0:c r="R44" s="41" t="n"/>
      <ns0:c r="S44" s="39" t="n"/>
      <ns0:c r="T44" s="42" t="n"/>
      <ns0:c r="U44" s="43" t="n"/>
      <ns0:c r="V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  <ns0:c r="BJ44" s="28" t="n"/>
      <ns0:c r="BK44" s="28" t="n"/>
      <ns0:c r="BL44" s="28" t="n"/>
    </ns0:row>
    <ns0:row r="45" ht="48" customHeight="1">
      <ns0:c r="A45" s="36" t="n"/>
      <ns0:c r="B45" s="58" t="n"/>
      <ns0:c r="C45" s="58" t="n"/>
      <ns0:c r="D45" s="135" t="inlineStr">
        <ns0:is>
          <ns0:t>Max</ns0:t>
        </ns0:is>
      </ns0:c>
      <ns0:c r="E45" s="137" t="n">
        <ns0:v>14.93</ns0:v>
      </ns0:c>
      <ns0:c r="F45" s="137" t="n">
        <ns0:v>14.94</ns0:v>
      </ns0:c>
      <ns0:c r="G45" s="40" t="n"/>
      <ns0:c r="H45" s="40" t="n"/>
      <ns0:c r="I45" s="40" t="n"/>
      <ns0:c r="J45" s="40" t="n"/>
      <ns0:c r="K45" s="40" t="n"/>
      <ns0:c r="L45" s="40" t="n"/>
      <ns0:c r="M45" s="39" t="n"/>
      <ns0:c r="N45" s="41" t="n"/>
      <ns0:c r="O45" s="41" t="n"/>
      <ns0:c r="P45" s="41" t="n"/>
      <ns0:c r="Q45" s="41" t="n"/>
      <ns0:c r="R45" s="41" t="n"/>
      <ns0:c r="S45" s="39" t="n"/>
      <ns0:c r="T45" s="42" t="n"/>
      <ns0:c r="U45" s="43" t="n"/>
      <ns0:c r="V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  <ns0:c r="BJ45" s="28" t="n"/>
      <ns0:c r="BK45" s="28" t="n"/>
      <ns0:c r="BL45" s="28" t="n"/>
    </ns0:row>
    <ns0:row r="46" ht="48" customHeight="1">
      <ns0:c r="A46" s="36" t="n"/>
      <ns0:c r="B46" s="48" t="n"/>
      <ns0:c r="C46" s="48" t="n"/>
      <ns0:c r="D46" s="135" t="inlineStr">
        <ns0:is>
          <ns0:t>AVG</ns0:t>
        </ns0:is>
      </ns0:c>
      <ns0:c r="E46" s="137" t="n">
        <ns0:v>14.91125</ns0:v>
      </ns0:c>
      <ns0:c r="F46" s="137" t="n">
        <ns0:v>14.9035</ns0:v>
      </ns0:c>
      <ns0:c r="G46" s="40" t="n"/>
      <ns0:c r="H46" s="40" t="n"/>
      <ns0:c r="I46" s="40" t="n"/>
      <ns0:c r="J46" s="40" t="n"/>
      <ns0:c r="K46" s="40" t="n"/>
      <ns0:c r="L46" s="40" t="n"/>
      <ns0:c r="M46" s="39" t="n"/>
      <ns0:c r="N46" s="41" t="n"/>
      <ns0:c r="O46" s="41" t="n"/>
      <ns0:c r="P46" s="41" t="n"/>
      <ns0:c r="Q46" s="41" t="n"/>
      <ns0:c r="R46" s="41" t="n"/>
      <ns0:c r="S46" s="39" t="n"/>
      <ns0:c r="T46" s="42" t="n"/>
      <ns0:c r="U46" s="43" t="n"/>
      <ns0:c r="V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  <ns0:c r="BJ46" s="28" t="n"/>
      <ns0:c r="BK46" s="28" t="n"/>
      <ns0:c r="BL46" s="28" t="n"/>
    </ns0:row>
    <ns0:row r="47" ht="48" customHeight="1">
      <ns0:c r="A47" s="36" t="n"/>
      <ns0:c r="B47" s="128" t="inlineStr">
        <ns0:is>
          <ns0:t>RESULT CHECKING AWF JIG HAPPEN NG FRAME MOVEING</ns0:t>
        </ns0:is>
      </ns0:c>
      <ns0:c r="C47" s="113" t="n"/>
      <ns0:c r="D47" s="114" t="n"/>
      <ns0:c r="E47" s="39" t="n"/>
      <ns0:c r="F47" s="40" t="n"/>
      <ns0:c r="G47" s="40" t="n"/>
      <ns0:c r="H47" s="40" t="n"/>
      <ns0:c r="I47" s="40" t="n"/>
      <ns0:c r="J47" s="40" t="n"/>
      <ns0:c r="K47" s="40" t="n"/>
      <ns0:c r="L47" s="40" t="n"/>
      <ns0:c r="M47" s="39" t="n"/>
      <ns0:c r="N47" s="41" t="n"/>
      <ns0:c r="O47" s="41" t="n"/>
      <ns0:c r="P47" s="41" t="n"/>
      <ns0:c r="Q47" s="41" t="n"/>
      <ns0:c r="R47" s="41" t="n"/>
      <ns0:c r="S47" s="39" t="n"/>
      <ns0:c r="T47" s="42" t="n"/>
      <ns0:c r="U47" s="43" t="n"/>
      <ns0:c r="V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  <ns0:c r="BJ47" s="28" t="n"/>
      <ns0:c r="BK47" s="28" t="n"/>
      <ns0:c r="BL47" s="28" t="n"/>
    </ns0:row>
    <ns0:row r="48" ht="48" customHeight="1">
      <ns0:c r="A48" s="36" t="n"/>
      <ns0:c r="B48" s="115" t="inlineStr">
        <ns0:is>
          <ns0:t>Date</ns0:t>
        </ns0:is>
      </ns0:c>
      <ns0:c r="C48" s="115" t="inlineStr">
        <ns0:is>
          <ns0:t>Type</ns0:t>
        </ns0:is>
      </ns0:c>
      <ns0:c r="D48" s="116" t="inlineStr">
        <ns0:is>
          <ns0:t xml:space="preserve">Input </ns0:t>
        </ns0:is>
      </ns0:c>
      <ns0:c r="E48" s="115" t="inlineStr">
        <ns0:is>
          <ns0:t xml:space="preserve">OK </ns0:t>
        </ns0:is>
      </ns0:c>
      <ns0:c r="F48" s="116" t="inlineStr">
        <ns0:is>
          <ns0:t>JIG NG</ns0:t>
        </ns0:is>
      </ns0:c>
      <ns0:c r="G48" s="117" t="inlineStr">
        <ns0:is>
          <ns0:t>NG rate</ns0:t>
        </ns0:is>
      </ns0:c>
      <ns0:c r="H48" s="40" t="n"/>
      <ns0:c r="I48" s="40" t="n"/>
      <ns0:c r="J48" s="40" t="n"/>
      <ns0:c r="K48" s="40" t="n"/>
      <ns0:c r="L48" s="40" t="n"/>
      <ns0:c r="M48" s="39" t="n"/>
      <ns0:c r="N48" s="41" t="n"/>
      <ns0:c r="O48" s="41" t="n"/>
      <ns0:c r="P48" s="41" t="n"/>
      <ns0:c r="Q48" s="41" t="n"/>
      <ns0:c r="R48" s="41" t="n"/>
      <ns0:c r="S48" s="39" t="n"/>
      <ns0:c r="T48" s="42" t="n"/>
      <ns0:c r="U48" s="43" t="n"/>
      <ns0:c r="V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  <ns0:c r="BJ48" s="28" t="n"/>
      <ns0:c r="BK48" s="28" t="n"/>
      <ns0:c r="BL48" s="28" t="n"/>
    </ns0:row>
    <ns0:row r="49" ht="48" customHeight="1">
      <ns0:c r="A49" s="36" t="n"/>
      <ns0:c r="B49" s="48" t="n"/>
      <ns0:c r="C49" s="48" t="n"/>
      <ns0:c r="D49" s="48" t="n"/>
      <ns0:c r="E49" s="48" t="n"/>
      <ns0:c r="F49" s="48" t="n"/>
      <ns0:c r="G49" s="48" t="n"/>
      <ns0:c r="H49" s="40" t="n"/>
      <ns0:c r="I49" s="40" t="n"/>
      <ns0:c r="J49" s="40" t="n"/>
      <ns0:c r="K49" s="40" t="n"/>
      <ns0:c r="L49" s="40" t="n"/>
      <ns0:c r="M49" s="39" t="n"/>
      <ns0:c r="N49" s="41" t="n"/>
      <ns0:c r="O49" s="41" t="n"/>
      <ns0:c r="P49" s="41" t="n"/>
      <ns0:c r="Q49" s="41" t="n"/>
      <ns0:c r="R49" s="41" t="n"/>
      <ns0:c r="S49" s="39" t="n"/>
      <ns0:c r="T49" s="42" t="n"/>
      <ns0:c r="U49" s="43" t="n"/>
      <ns0:c r="V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  <ns0:c r="BJ49" s="28" t="n"/>
      <ns0:c r="BK49" s="28" t="n"/>
      <ns0:c r="BL49" s="28" t="n"/>
    </ns0:row>
    <ns0:row r="50" ht="48" customHeight="1">
      <ns0:c r="A50" s="36" t="n"/>
      <ns0:c r="B50" s="118" t="n">
        <ns0:v>45467</ns0:v>
      </ns0:c>
      <ns0:c r="C50" s="119" t="inlineStr">
        <ns0:is>
          <ns0:t>AWF JIG</ns0:t>
        </ns0:is>
      </ns0:c>
      <ns0:c r="D50" s="53" t="n">
        <ns0:v>96</ns0:v>
      </ns0:c>
      <ns0:c r="E50" s="53" t="n">
        <ns0:v>81</ns0:v>
      </ns0:c>
      <ns0:c r="F50" s="53" t="n">
        <ns0:v>15</ns0:v>
      </ns0:c>
      <ns0:c r="G50" s="120" t="n">
        <ns0:v>0.15625</ns0:v>
      </ns0:c>
      <ns0:c r="H50" s="40" t="n"/>
      <ns0:c r="I50" s="40" t="n"/>
      <ns0:c r="J50" s="40" t="n"/>
      <ns0:c r="K50" s="40" t="n"/>
      <ns0:c r="L50" s="40" t="n"/>
      <ns0:c r="M50" s="39" t="n"/>
      <ns0:c r="N50" s="41" t="n"/>
      <ns0:c r="O50" s="41" t="n"/>
      <ns0:c r="P50" s="41" t="n"/>
      <ns0:c r="Q50" s="41" t="n"/>
      <ns0:c r="R50" s="41" t="n"/>
      <ns0:c r="S50" s="39" t="n"/>
      <ns0:c r="T50" s="42" t="n"/>
      <ns0:c r="U50" s="43" t="n"/>
      <ns0:c r="V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  <ns0:c r="BH50" s="28" t="n"/>
      <ns0:c r="BI50" s="28" t="n"/>
      <ns0:c r="BJ50" s="28" t="n"/>
      <ns0:c r="BK50" s="28" t="n"/>
      <ns0:c r="BL50" s="28" t="n"/>
    </ns0:row>
    <ns0:row r="51" ht="48" customHeight="1">
      <ns0:c r="A51" s="36" t="n"/>
      <ns0:c r="B51" s="138" t="n"/>
      <ns0:c r="C51" s="113" t="n"/>
      <ns0:c r="D51" s="114" t="n"/>
      <ns0:c r="E51" s="39" t="n"/>
      <ns0:c r="F51" s="40" t="n"/>
      <ns0:c r="G51" s="40" t="n"/>
      <ns0:c r="H51" s="40" t="n"/>
      <ns0:c r="I51" s="40" t="n"/>
      <ns0:c r="J51" s="40" t="n"/>
      <ns0:c r="K51" s="40" t="n"/>
      <ns0:c r="L51" s="40" t="n"/>
      <ns0:c r="M51" s="39" t="n"/>
      <ns0:c r="N51" s="41" t="n"/>
      <ns0:c r="O51" s="41" t="n"/>
      <ns0:c r="P51" s="41" t="n"/>
      <ns0:c r="Q51" s="41" t="n"/>
      <ns0:c r="R51" s="41" t="n"/>
      <ns0:c r="S51" s="39" t="n"/>
      <ns0:c r="T51" s="42" t="n"/>
      <ns0:c r="U51" s="43" t="n"/>
      <ns0:c r="V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  <ns0:c r="BH51" s="28" t="n"/>
      <ns0:c r="BI51" s="28" t="n"/>
      <ns0:c r="BJ51" s="28" t="n"/>
      <ns0:c r="BK51" s="28" t="n"/>
      <ns0:c r="BL51" s="28" t="n"/>
    </ns0:row>
    <ns0:row r="52" ht="48" customHeight="1">
      <ns0:c r="A52" s="36" t="n"/>
      <ns0:c r="B52" s="138" t="n"/>
      <ns0:c r="C52" s="113" t="n"/>
      <ns0:c r="D52" s="114" t="n"/>
      <ns0:c r="E52" s="39" t="n"/>
      <ns0:c r="F52" s="40" t="n"/>
      <ns0:c r="G52" s="40" t="n"/>
      <ns0:c r="H52" s="40" t="n"/>
      <ns0:c r="I52" s="40" t="n"/>
      <ns0:c r="J52" s="40" t="n"/>
      <ns0:c r="K52" s="40" t="n"/>
      <ns0:c r="L52" s="40" t="n"/>
      <ns0:c r="M52" s="39" t="n"/>
      <ns0:c r="N52" s="41" t="n"/>
      <ns0:c r="O52" s="41" t="n"/>
      <ns0:c r="P52" s="41" t="n"/>
      <ns0:c r="Q52" s="41" t="n"/>
      <ns0:c r="R52" s="41" t="n"/>
      <ns0:c r="S52" s="39" t="n"/>
      <ns0:c r="T52" s="42" t="n"/>
      <ns0:c r="U52" s="43" t="n"/>
      <ns0:c r="V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  <ns0:c r="BG52" s="28" t="n"/>
      <ns0:c r="BH52" s="28" t="n"/>
      <ns0:c r="BI52" s="28" t="n"/>
      <ns0:c r="BJ52" s="28" t="n"/>
      <ns0:c r="BK52" s="28" t="n"/>
      <ns0:c r="BL52" s="28" t="n"/>
    </ns0:row>
    <ns0:row r="53" ht="48" customHeight="1">
      <ns0:c r="A53" s="36" t="n"/>
      <ns0:c r="B53" s="138" t="n"/>
      <ns0:c r="C53" s="113" t="n"/>
      <ns0:c r="D53" s="139" t="n"/>
      <ns0:c r="E53" s="140" t="n"/>
      <ns0:c r="F53" s="141" t="n"/>
      <ns0:c r="G53" s="141" t="n"/>
      <ns0:c r="H53" s="141" t="n"/>
      <ns0:c r="I53" s="141" t="n"/>
      <ns0:c r="J53" s="141" t="n"/>
      <ns0:c r="K53" s="141" t="n"/>
      <ns0:c r="L53" s="141" t="n"/>
      <ns0:c r="M53" s="140" t="n"/>
      <ns0:c r="N53" s="142" t="n"/>
      <ns0:c r="O53" s="41" t="n"/>
      <ns0:c r="P53" s="41" t="n"/>
      <ns0:c r="Q53" s="41" t="n"/>
      <ns0:c r="R53" s="41" t="n"/>
      <ns0:c r="S53" s="39" t="n"/>
      <ns0:c r="T53" s="42" t="n"/>
      <ns0:c r="U53" s="43" t="n"/>
      <ns0:c r="V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  <ns0:c r="BE53" s="28" t="n"/>
      <ns0:c r="BF53" s="28" t="n"/>
      <ns0:c r="BG53" s="28" t="n"/>
      <ns0:c r="BH53" s="28" t="n"/>
      <ns0:c r="BI53" s="28" t="n"/>
      <ns0:c r="BJ53" s="28" t="n"/>
      <ns0:c r="BK53" s="28" t="n"/>
      <ns0:c r="BL53" s="28" t="n"/>
    </ns0:row>
    <ns0:row r="54" ht="40.6875" customHeight="1">
      <ns0:c r="A54" s="143" t="inlineStr">
        <ns0:is>
          <ns0:t>4. Decision</ns0:t>
        </ns0:is>
      </ns0:c>
      <ns0:c r="B54" s="144" t="n"/>
      <ns0:c r="C54" s="144" t="n"/>
      <ns0:c r="D54" s="144" t="n"/>
      <ns0:c r="E54" s="144" t="n"/>
      <ns0:c r="F54" s="144" t="n"/>
      <ns0:c r="G54" s="144" t="n"/>
      <ns0:c r="H54" s="144" t="n"/>
      <ns0:c r="I54" s="144" t="n"/>
      <ns0:c r="J54" s="144" t="n"/>
      <ns0:c r="K54" s="144" t="n"/>
      <ns0:c r="L54" s="144" t="n"/>
      <ns0:c r="M54" s="144" t="n"/>
      <ns0:c r="N54" s="144" t="n"/>
      <ns0:c r="O54" s="144" t="n"/>
      <ns0:c r="P54" s="144" t="n"/>
      <ns0:c r="Q54" s="144" t="n"/>
      <ns0:c r="R54" s="144" t="n"/>
      <ns0:c r="S54" s="144" t="n"/>
      <ns0:c r="T54" s="144" t="n"/>
      <ns0:c r="U54" s="145" t="n"/>
      <ns0:c r="V54" s="28" t="n"/>
      <ns0:c r="W54" s="28" t="n"/>
      <ns0:c r="X54" s="28" t="n"/>
      <ns0:c r="Y54" s="28" t="n"/>
      <ns0:c r="Z54" s="28" t="n"/>
      <ns0:c r="AA54" s="28" t="n"/>
      <ns0:c r="AB54" s="28" t="n"/>
      <ns0:c r="AC54" s="28" t="n"/>
      <ns0:c r="AD54" s="28" t="n"/>
      <ns0:c r="AE54" s="28" t="n"/>
      <ns0:c r="AF54" s="28" t="n"/>
      <ns0:c r="AG54" s="28" t="n"/>
      <ns0:c r="AH54" s="28" t="n"/>
      <ns0:c r="AI54" s="28" t="n"/>
      <ns0:c r="AJ54" s="28" t="n"/>
      <ns0:c r="AK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  <ns0:c r="AY54" s="28" t="n"/>
      <ns0:c r="AZ54" s="28" t="n"/>
      <ns0:c r="BA54" s="28" t="n"/>
      <ns0:c r="BB54" s="28" t="n"/>
      <ns0:c r="BC54" s="28" t="n"/>
      <ns0:c r="BD54" s="28" t="n"/>
      <ns0:c r="BE54" s="28" t="n"/>
      <ns0:c r="BF54" s="28" t="n"/>
      <ns0:c r="BG54" s="28" t="n"/>
      <ns0:c r="BH54" s="28" t="n"/>
      <ns0:c r="BI54" s="28" t="n"/>
      <ns0:c r="BJ54" s="28" t="n"/>
      <ns0:c r="BK54" s="28" t="n"/>
      <ns0:c r="BL54" s="28" t="n"/>
    </ns0:row>
    <ns0:row r="55" ht="40.6875" customHeight="1">
      <ns0:c r="A55" s="146" t="inlineStr">
        <ns0:is>
          <ns0:t xml:space="preserve"> =&gt; Result test Frame move in JIG happen NG high rate 20% </ns0:t>
        </ns0:is>
      </ns0:c>
      <ns0:c r="B55" s="113" t="n"/>
      <ns0:c r="C55" s="30" t="n"/>
      <ns0:c r="D55" s="30" t="n"/>
      <ns0:c r="E55" s="147" t="n"/>
      <ns0:c r="F55" s="147" t="n"/>
      <ns0:c r="G55" s="147" t="n"/>
      <ns0:c r="H55" s="148" t="n"/>
      <ns0:c r="I55" s="148" t="n"/>
      <ns0:c r="J55" s="148" t="n"/>
      <ns0:c r="K55" s="148" t="n"/>
      <ns0:c r="L55" s="148" t="n"/>
      <ns0:c r="M55" s="148" t="n"/>
      <ns0:c r="N55" s="148" t="n"/>
      <ns0:c r="O55" s="148" t="n"/>
      <ns0:c r="P55" s="148" t="n"/>
      <ns0:c r="Q55" s="148" t="n"/>
      <ns0:c r="R55" s="148" t="n"/>
      <ns0:c r="S55" s="148" t="n"/>
      <ns0:c r="T55" s="149" t="n"/>
      <ns0:c r="U55" s="150" t="n"/>
      <ns0:c r="V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  <ns0:c r="AX55" s="28" t="n"/>
      <ns0:c r="AY55" s="28" t="n"/>
      <ns0:c r="AZ55" s="28" t="n"/>
      <ns0:c r="BA55" s="28" t="n"/>
      <ns0:c r="BB55" s="28" t="n"/>
      <ns0:c r="BC55" s="28" t="n"/>
      <ns0:c r="BD55" s="28" t="n"/>
      <ns0:c r="BE55" s="28" t="n"/>
      <ns0:c r="BF55" s="28" t="n"/>
      <ns0:c r="BG55" s="28" t="n"/>
      <ns0:c r="BH55" s="28" t="n"/>
      <ns0:c r="BI55" s="28" t="n"/>
      <ns0:c r="BJ55" s="28" t="n"/>
      <ns0:c r="BK55" s="28" t="n"/>
      <ns0:c r="BL55" s="28" t="n"/>
    </ns0:row>
    <ns0:row r="56" ht="40.6875" customHeight="1">
      <ns0:c r="A56" s="151" t="inlineStr">
        <ns0:is>
          <ns0:t xml:space="preserve"> =&gt; Checking dimension JIG happen NG over spec sorting JIG NG</ns0:t>
        </ns0:is>
      </ns0:c>
      <ns0:c r="B56" s="152" t="n"/>
      <ns0:c r="C56" s="152" t="n"/>
      <ns0:c r="D56" s="153" t="n"/>
      <ns0:c r="E56" s="153" t="n"/>
      <ns0:c r="F56" s="153" t="n"/>
      <ns0:c r="G56" s="153" t="n"/>
      <ns0:c r="H56" s="153" t="n"/>
      <ns0:c r="I56" s="153" t="n"/>
      <ns0:c r="J56" s="153" t="n"/>
      <ns0:c r="K56" s="153" t="n"/>
      <ns0:c r="L56" s="153" t="n"/>
      <ns0:c r="M56" s="153" t="n"/>
      <ns0:c r="N56" s="153" t="n"/>
      <ns0:c r="O56" s="153" t="n"/>
      <ns0:c r="P56" s="153" t="n"/>
      <ns0:c r="Q56" s="153" t="n"/>
      <ns0:c r="R56" s="153" t="n"/>
      <ns0:c r="S56" s="153" t="n"/>
      <ns0:c r="T56" s="153" t="n"/>
      <ns0:c r="U56" s="154" t="n"/>
      <ns0:c r="V56" s="28" t="n"/>
      <ns0:c r="W56" s="28" t="n"/>
      <ns0:c r="X56" s="28" t="n"/>
      <ns0:c r="Y56" s="28" t="n"/>
      <ns0:c r="Z56" s="28" t="n"/>
      <ns0:c r="AA56" s="28" t="n"/>
      <ns0:c r="AB56" s="28" t="n"/>
      <ns0:c r="AC56" s="28" t="n"/>
      <ns0:c r="AD56" s="28" t="n"/>
      <ns0:c r="AE56" s="28" t="n"/>
      <ns0:c r="AF56" s="28" t="n"/>
      <ns0:c r="AG56" s="28" t="n"/>
      <ns0:c r="AH56" s="28" t="n"/>
      <ns0:c r="AI56" s="28" t="n"/>
      <ns0:c r="AJ56" s="28" t="n"/>
      <ns0:c r="AK56" s="28" t="n"/>
      <ns0:c r="AL56" s="28" t="n"/>
      <ns0:c r="AM56" s="28" t="n"/>
      <ns0:c r="AN56" s="28" t="n"/>
      <ns0:c r="AO56" s="28" t="n"/>
      <ns0:c r="AP56" s="28" t="n"/>
      <ns0:c r="AQ56" s="28" t="n"/>
      <ns0:c r="AR56" s="28" t="n"/>
      <ns0:c r="AS56" s="28" t="n"/>
      <ns0:c r="AT56" s="28" t="n"/>
      <ns0:c r="AU56" s="28" t="n"/>
      <ns0:c r="AV56" s="28" t="n"/>
      <ns0:c r="AW56" s="28" t="n"/>
      <ns0:c r="AX56" s="28" t="n"/>
      <ns0:c r="AY56" s="28" t="n"/>
      <ns0:c r="AZ56" s="28" t="n"/>
      <ns0:c r="BA56" s="28" t="n"/>
      <ns0:c r="BB56" s="28" t="n"/>
      <ns0:c r="BC56" s="28" t="n"/>
      <ns0:c r="BD56" s="28" t="n"/>
      <ns0:c r="BE56" s="28" t="n"/>
      <ns0:c r="BF56" s="28" t="n"/>
      <ns0:c r="BG56" s="28" t="n"/>
      <ns0:c r="BH56" s="28" t="n"/>
      <ns0:c r="BI56" s="28" t="n"/>
      <ns0:c r="BJ56" s="28" t="n"/>
      <ns0:c r="BK56" s="28" t="n"/>
      <ns0:c r="BL56" s="28" t="n"/>
    </ns0:row>
    <ns0:row r="57" ht="40.6875" customHeight="1">
      <ns0:c r="A57" s="155" t="n"/>
      <ns0:c r="B57" s="155" t="n"/>
      <ns0:c r="C57" s="155" t="n"/>
      <ns0:c r="D57" s="155" t="n"/>
      <ns0:c r="E57" s="155" t="n"/>
      <ns0:c r="F57" s="155" t="n"/>
      <ns0:c r="G57" s="155" t="n"/>
      <ns0:c r="H57" s="155" t="n"/>
      <ns0:c r="I57" s="155" t="n"/>
      <ns0:c r="J57" s="155" t="n"/>
      <ns0:c r="K57" s="155" t="n"/>
      <ns0:c r="L57" s="155" t="n"/>
      <ns0:c r="M57" s="155" t="n"/>
      <ns0:c r="N57" s="155" t="n"/>
      <ns0:c r="O57" s="155" t="n"/>
      <ns0:c r="P57" s="155" t="n"/>
      <ns0:c r="Q57" s="155" t="n"/>
      <ns0:c r="R57" s="155" t="n"/>
      <ns0:c r="S57" s="155" t="n"/>
      <ns0:c r="T57" s="155" t="n"/>
      <ns0:c r="U57" s="155" t="n"/>
    </ns0:row>
  </ns0:sheetData>
  <ns0:mergeCells count="62">
    <ns0:mergeCell ref="M20:M21"/>
    <ns0:mergeCell ref="B22:B25"/>
    <ns0:mergeCell ref="B27:B28"/>
    <ns0:mergeCell ref="D27:D28"/>
    <ns0:mergeCell ref="C40:C46"/>
    <ns0:mergeCell ref="N20:O20"/>
    <ns0:mergeCell ref="P22:P23"/>
    <ns0:mergeCell ref="E48:E49"/>
    <ns0:mergeCell ref="A7:U7"/>
    <ns0:mergeCell ref="C20:C21"/>
    <ns0:mergeCell ref="R20:S21"/>
    <ns0:mergeCell ref="G48:G49"/>
    <ns0:mergeCell ref="E20:E21"/>
    <ns0:mergeCell ref="Q20:Q21"/>
    <ns0:mergeCell ref="C16:C17"/>
    <ns0:mergeCell ref="R22:S23"/>
    <ns0:mergeCell ref="B38:B39"/>
    <ns0:mergeCell ref="E39:F39"/>
    <ns0:mergeCell ref="L24:L25"/>
    <ns0:mergeCell ref="C22:C23"/>
    <ns0:mergeCell ref="E38:F38"/>
    <ns0:mergeCell ref="M22:M23"/>
    <ns0:mergeCell ref="B40:B46"/>
    <ns0:mergeCell ref="B48:B49"/>
    <ns0:mergeCell ref="D48:D49"/>
    <ns0:mergeCell ref="Q22:Q23"/>
    <ns0:mergeCell ref="D40:D41"/>
    <ns0:mergeCell ref="C29:C36"/>
    <ns0:mergeCell ref="E28:F28"/>
    <ns0:mergeCell ref="A5:U5"/>
    <ns0:mergeCell ref="L20:L21"/>
    <ns0:mergeCell ref="D16:D17"/>
    <ns0:mergeCell ref="A14:U14"/>
    <ns0:mergeCell ref="D24:D25"/>
    <ns0:mergeCell ref="M24:M25"/>
    <ns0:mergeCell ref="J20:K20"/>
    <ns0:mergeCell ref="L22:L23"/>
    <ns0:mergeCell ref="C27:C28"/>
    <ns0:mergeCell ref="E27:F27"/>
    <ns0:mergeCell ref="B29:B36"/>
    <ns0:mergeCell ref="B20:B21"/>
    <ns0:mergeCell ref="E16:E17"/>
    <ns0:mergeCell ref="D42:D43"/>
    <ns0:mergeCell ref="D20:D21"/>
    <ns0:mergeCell ref="F20:I20"/>
    <ns0:mergeCell ref="G16:G17"/>
    <ns0:mergeCell ref="P24:P25"/>
    <ns0:mergeCell ref="C48:C49"/>
    <ns0:mergeCell ref="F48:F49"/>
    <ns0:mergeCell ref="A2:B4"/>
    <ns0:mergeCell ref="E24:E25"/>
    <ns0:mergeCell ref="C38:C39"/>
    <ns0:mergeCell ref="C2:S4"/>
    <ns0:mergeCell ref="D38:D39"/>
    <ns0:mergeCell ref="E22:E23"/>
    <ns0:mergeCell ref="R24:S25"/>
    <ns0:mergeCell ref="P20:P21"/>
    <ns0:mergeCell ref="B16:B17"/>
    <ns0:mergeCell ref="C24:C25"/>
    <ns0:mergeCell ref="F16:F17"/>
    <ns0:mergeCell ref="Q24:Q25"/>
    <ns0:mergeCell ref="D22:D23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B3:W20"/>
  <ns0:sheetViews>
    <ns0:sheetView workbookViewId="0">
      <ns0:selection activeCell="A1" sqref="A1"/>
    </ns0:sheetView>
  </ns0:sheetViews>
  <ns0:sheetFormatPr baseColWidth="8" defaultRowHeight="15"/>
  <ns0:cols>
    <ns0:col width="33.71428571428572" customWidth="1" min="2" max="2"/>
  </ns0:cols>
  <ns0:sheetData>
    <ns0:row r="3">
      <ns0:c r="B3" s="156" t="inlineStr">
        <ns0:is>
          <ns0:t>Type</ns0:t>
        </ns0:is>
      </ns0:c>
      <ns0:c r="C3" s="157" t="inlineStr">
        <ns0:is>
          <ns0:t>Posi</ns0:t>
        </ns0:is>
      </ns0:c>
      <ns0:c r="D3" s="158" t="n"/>
      <ns0:c r="E3" s="23" t="n"/>
      <ns0:c r="F3" s="23" t="n"/>
      <ns0:c r="G3" s="159" t="n"/>
      <ns0:c r="H3" s="160" t="n"/>
      <ns0:c r="I3" s="23" t="n"/>
      <ns0:c r="J3" s="23" t="n"/>
      <ns0:c r="K3" s="23" t="n"/>
      <ns0:c r="L3" s="158" t="n"/>
      <ns0:c r="M3" s="23" t="n"/>
      <ns0:c r="N3" s="23" t="n"/>
      <ns0:c r="O3" s="159" t="n"/>
      <ns0:c r="P3" s="160" t="n"/>
      <ns0:c r="Q3" s="23" t="n"/>
      <ns0:c r="R3" s="23" t="n"/>
      <ns0:c r="S3" s="23" t="n"/>
      <ns0:c r="T3" s="161" t="n"/>
      <ns0:c r="U3" s="23" t="n"/>
      <ns0:c r="V3" s="23" t="n"/>
      <ns0:c r="W3" s="47" t="n"/>
    </ns0:row>
    <ns0:row r="4">
      <ns0:c r="B4" s="58" t="n"/>
      <ns0:c r="C4" s="12" t="n"/>
      <ns0:c r="D4" s="158" t="inlineStr">
        <ns0:is>
          <ns0:t>Sample</ns0:t>
        </ns0:is>
      </ns0:c>
      <ns0:c r="E4" s="23" t="n"/>
      <ns0:c r="F4" s="23" t="n"/>
      <ns0:c r="G4" s="159" t="n"/>
      <ns0:c r="H4" s="160" t="inlineStr">
        <ns0:is>
          <ns0:t>Sample</ns0:t>
        </ns0:is>
      </ns0:c>
      <ns0:c r="I4" s="23" t="n"/>
      <ns0:c r="J4" s="23" t="n"/>
      <ns0:c r="K4" s="23" t="n"/>
      <ns0:c r="L4" s="158" t="inlineStr">
        <ns0:is>
          <ns0:t>Sample</ns0:t>
        </ns0:is>
      </ns0:c>
      <ns0:c r="M4" s="23" t="n"/>
      <ns0:c r="N4" s="23" t="n"/>
      <ns0:c r="O4" s="159" t="n"/>
      <ns0:c r="P4" s="160" t="inlineStr">
        <ns0:is>
          <ns0:t>Sample</ns0:t>
        </ns0:is>
      </ns0:c>
      <ns0:c r="Q4" s="23" t="n"/>
      <ns0:c r="R4" s="23" t="n"/>
      <ns0:c r="S4" s="23" t="n"/>
      <ns0:c r="T4" s="161" t="inlineStr">
        <ns0:is>
          <ns0:t>Sample</ns0:t>
        </ns0:is>
      </ns0:c>
      <ns0:c r="U4" s="23" t="n"/>
      <ns0:c r="V4" s="23" t="n"/>
      <ns0:c r="W4" s="47" t="n"/>
    </ns0:row>
    <ns0:row r="5">
      <ns0:c r="B5" s="48" t="n"/>
      <ns0:c r="C5" s="18" t="n"/>
      <ns0:c r="D5" s="161" t="inlineStr">
        <ns0:is>
          <ns0:t>No.1</ns0:t>
        </ns0:is>
      </ns0:c>
      <ns0:c r="E5" s="156" t="inlineStr">
        <ns0:is>
          <ns0:t>No.2</ns0:t>
        </ns0:is>
      </ns0:c>
      <ns0:c r="F5" s="156" t="inlineStr">
        <ns0:is>
          <ns0:t>No.3</ns0:t>
        </ns0:is>
      </ns0:c>
      <ns0:c r="G5" s="162" t="inlineStr">
        <ns0:is>
          <ns0:t>No.4</ns0:t>
        </ns0:is>
      </ns0:c>
      <ns0:c r="H5" s="163" t="inlineStr">
        <ns0:is>
          <ns0:t>No.1</ns0:t>
        </ns0:is>
      </ns0:c>
      <ns0:c r="I5" s="156" t="inlineStr">
        <ns0:is>
          <ns0:t>No.2</ns0:t>
        </ns0:is>
      </ns0:c>
      <ns0:c r="J5" s="156" t="inlineStr">
        <ns0:is>
          <ns0:t>No.3</ns0:t>
        </ns0:is>
      </ns0:c>
      <ns0:c r="K5" s="157" t="inlineStr">
        <ns0:is>
          <ns0:t>No.4</ns0:t>
        </ns0:is>
      </ns0:c>
      <ns0:c r="L5" s="161" t="inlineStr">
        <ns0:is>
          <ns0:t>No.1</ns0:t>
        </ns0:is>
      </ns0:c>
      <ns0:c r="M5" s="156" t="inlineStr">
        <ns0:is>
          <ns0:t>No.2</ns0:t>
        </ns0:is>
      </ns0:c>
      <ns0:c r="N5" s="156" t="inlineStr">
        <ns0:is>
          <ns0:t>No.3</ns0:t>
        </ns0:is>
      </ns0:c>
      <ns0:c r="O5" s="162" t="inlineStr">
        <ns0:is>
          <ns0:t>No.4</ns0:t>
        </ns0:is>
      </ns0:c>
      <ns0:c r="P5" s="163" t="inlineStr">
        <ns0:is>
          <ns0:t>No.1</ns0:t>
        </ns0:is>
      </ns0:c>
      <ns0:c r="Q5" s="156" t="inlineStr">
        <ns0:is>
          <ns0:t>No.2</ns0:t>
        </ns0:is>
      </ns0:c>
      <ns0:c r="R5" s="156" t="inlineStr">
        <ns0:is>
          <ns0:t>No.3</ns0:t>
        </ns0:is>
      </ns0:c>
      <ns0:c r="S5" s="157" t="inlineStr">
        <ns0:is>
          <ns0:t>No.4</ns0:t>
        </ns0:is>
      </ns0:c>
      <ns0:c r="T5" s="161" t="inlineStr">
        <ns0:is>
          <ns0:t>No.1</ns0:t>
        </ns0:is>
      </ns0:c>
      <ns0:c r="U5" s="156" t="inlineStr">
        <ns0:is>
          <ns0:t>No.2</ns0:t>
        </ns0:is>
      </ns0:c>
      <ns0:c r="V5" s="156" t="inlineStr">
        <ns0:is>
          <ns0:t>No.3</ns0:t>
        </ns0:is>
      </ns0:c>
      <ns0:c r="W5" s="156" t="inlineStr">
        <ns0:is>
          <ns0:t>No.4</ns0:t>
        </ns0:is>
      </ns0:c>
    </ns0:row>
    <ns0:row r="6">
      <ns0:c r="B6" s="164" t="n"/>
      <ns0:c r="C6" s="165" t="inlineStr">
        <ns0:is>
          <ns0:t>Posi #1</ns0:t>
        </ns0:is>
      </ns0:c>
      <ns0:c r="D6" s="166" t="n">
        <ns0:v>12.583</ns0:v>
      </ns0:c>
      <ns0:c r="E6" s="167" t="n">
        <ns0:v>12.582</ns0:v>
      </ns0:c>
      <ns0:c r="F6" s="167" t="n">
        <ns0:v>12.593</ns0:v>
      </ns0:c>
      <ns0:c r="G6" s="168" t="n">
        <ns0:v>12.584</ns0:v>
      </ns0:c>
      <ns0:c r="H6" s="169" t="n">
        <ns0:v>12.597</ns0:v>
      </ns0:c>
      <ns0:c r="I6" s="167" t="n">
        <ns0:v>12.592</ns0:v>
      </ns0:c>
      <ns0:c r="J6" s="167" t="n">
        <ns0:v>12.605</ns0:v>
      </ns0:c>
      <ns0:c r="K6" s="165" t="n">
        <ns0:v>12.593</ns0:v>
      </ns0:c>
      <ns0:c r="L6" s="166" t="n">
        <ns0:v>12.597</ns0:v>
      </ns0:c>
      <ns0:c r="M6" s="167" t="n">
        <ns0:v>12.592</ns0:v>
      </ns0:c>
      <ns0:c r="N6" s="167" t="n">
        <ns0:v>12.605</ns0:v>
      </ns0:c>
      <ns0:c r="O6" s="168" t="n">
        <ns0:v>12.595</ns0:v>
      </ns0:c>
      <ns0:c r="P6" s="169" t="n">
        <ns0:v>12.621</ns0:v>
      </ns0:c>
      <ns0:c r="Q6" s="167" t="n">
        <ns0:v>12.622</ns0:v>
      </ns0:c>
      <ns0:c r="R6" s="167" t="n">
        <ns0:v>12.603</ns0:v>
      </ns0:c>
      <ns0:c r="S6" s="165" t="n">
        <ns0:v>12.594</ns0:v>
      </ns0:c>
      <ns0:c r="T6" s="166" t="n">
        <ns0:v>12.62</ns0:v>
      </ns0:c>
      <ns0:c r="U6" s="167" t="n">
        <ns0:v>12.618</ns0:v>
      </ns0:c>
      <ns0:c r="V6" s="167" t="n">
        <ns0:v>12.604</ns0:v>
      </ns0:c>
      <ns0:c r="W6" s="167" t="n">
        <ns0:v>12.599</ns0:v>
      </ns0:c>
    </ns0:row>
    <ns0:row r="7">
      <ns0:c r="B7" s="58" t="n"/>
      <ns0:c r="C7" s="165" t="inlineStr">
        <ns0:is>
          <ns0:t>Posi #2</ns0:t>
        </ns0:is>
      </ns0:c>
      <ns0:c r="D7" s="166" t="n">
        <ns0:v>12.567</ns0:v>
      </ns0:c>
      <ns0:c r="E7" s="167" t="n">
        <ns0:v>12.559</ns0:v>
      </ns0:c>
      <ns0:c r="F7" s="167" t="n">
        <ns0:v>12.574</ns0:v>
      </ns0:c>
      <ns0:c r="G7" s="168" t="n">
        <ns0:v>12.561</ns0:v>
      </ns0:c>
      <ns0:c r="H7" s="169" t="n">
        <ns0:v>12.592</ns0:v>
      </ns0:c>
      <ns0:c r="I7" s="167" t="n">
        <ns0:v>12.58</ns0:v>
      </ns0:c>
      <ns0:c r="J7" s="167" t="n">
        <ns0:v>12.599</ns0:v>
      </ns0:c>
      <ns0:c r="K7" s="165" t="n">
        <ns0:v>12.579</ns0:v>
      </ns0:c>
      <ns0:c r="L7" s="166" t="n">
        <ns0:v>12.592</ns0:v>
      </ns0:c>
      <ns0:c r="M7" s="167" t="n">
        <ns0:v>12.58</ns0:v>
      </ns0:c>
      <ns0:c r="N7" s="167" t="n">
        <ns0:v>12.598</ns0:v>
      </ns0:c>
      <ns0:c r="O7" s="168" t="n">
        <ns0:v>12.581</ns0:v>
      </ns0:c>
      <ns0:c r="P7" s="169" t="n">
        <ns0:v>12.618</ns0:v>
      </ns0:c>
      <ns0:c r="Q7" s="167" t="n">
        <ns0:v>12.612</ns0:v>
      </ns0:c>
      <ns0:c r="R7" s="167" t="n">
        <ns0:v>12.598</ns0:v>
      </ns0:c>
      <ns0:c r="S7" s="165" t="n">
        <ns0:v>12.58</ns0:v>
      </ns0:c>
      <ns0:c r="T7" s="166" t="n">
        <ns0:v>12.624</ns0:v>
      </ns0:c>
      <ns0:c r="U7" s="167" t="n">
        <ns0:v>12.614</ns0:v>
      </ns0:c>
      <ns0:c r="V7" s="167" t="n">
        <ns0:v>12.6</ns0:v>
      </ns0:c>
      <ns0:c r="W7" s="167" t="n">
        <ns0:v>12.59</ns0:v>
      </ns0:c>
    </ns0:row>
    <ns0:row r="8">
      <ns0:c r="B8" s="48" t="n"/>
      <ns0:c r="C8" s="165" t="inlineStr">
        <ns0:is>
          <ns0:t>Posi #3</ns0:t>
        </ns0:is>
      </ns0:c>
      <ns0:c r="D8" s="166" t="n">
        <ns0:v>12.505</ns0:v>
      </ns0:c>
      <ns0:c r="E8" s="167" t="n">
        <ns0:v>12.596</ns0:v>
      </ns0:c>
      <ns0:c r="F8" s="167" t="n">
        <ns0:v>12.611</ns0:v>
      </ns0:c>
      <ns0:c r="G8" s="168" t="n">
        <ns0:v>12.601</ns0:v>
      </ns0:c>
      <ns0:c r="H8" s="169" t="n">
        <ns0:v>12.611</ns0:v>
      </ns0:c>
      <ns0:c r="I8" s="167" t="n">
        <ns0:v>12.608</ns0:v>
      </ns0:c>
      <ns0:c r="J8" s="167" t="n">
        <ns0:v>12.626</ns0:v>
      </ns0:c>
      <ns0:c r="K8" s="165" t="n">
        <ns0:v>12.613</ns0:v>
      </ns0:c>
      <ns0:c r="L8" s="166" t="n">
        <ns0:v>12.612</ns0:v>
      </ns0:c>
      <ns0:c r="M8" s="167" t="n">
        <ns0:v>12.609</ns0:v>
      </ns0:c>
      <ns0:c r="N8" s="167" t="n">
        <ns0:v>12.626</ns0:v>
      </ns0:c>
      <ns0:c r="O8" s="168" t="n">
        <ns0:v>12.614</ns0:v>
      </ns0:c>
      <ns0:c r="P8" s="169" t="n">
        <ns0:v>12.633</ns0:v>
      </ns0:c>
      <ns0:c r="Q8" s="167" t="n">
        <ns0:v>12.631</ns0:v>
      </ns0:c>
      <ns0:c r="R8" s="167" t="n">
        <ns0:v>12.625</ns0:v>
      </ns0:c>
      <ns0:c r="S8" s="165" t="n">
        <ns0:v>12.614</ns0:v>
      </ns0:c>
      <ns0:c r="T8" s="166" t="n">
        <ns0:v>12.634</ns0:v>
      </ns0:c>
      <ns0:c r="U8" s="167" t="n">
        <ns0:v>12.631</ns0:v>
      </ns0:c>
      <ns0:c r="V8" s="167" t="n">
        <ns0:v>12.627</ns0:v>
      </ns0:c>
      <ns0:c r="W8" s="167" t="n">
        <ns0:v>12.619</ns0:v>
      </ns0:c>
    </ns0:row>
    <ns0:row r="9">
      <ns0:c r="B9" s="164" t="n"/>
      <ns0:c r="C9" s="165" t="inlineStr">
        <ns0:is>
          <ns0:t>Posi #1</ns0:t>
        </ns0:is>
      </ns0:c>
      <ns0:c r="D9" s="166" t="n">
        <ns0:v>8.41</ns0:v>
      </ns0:c>
      <ns0:c r="E9" s="167" t="n">
        <ns0:v>8.416</ns0:v>
      </ns0:c>
      <ns0:c r="F9" s="167" t="n">
        <ns0:v>8.414999999999999</ns0:v>
      </ns0:c>
      <ns0:c r="G9" s="168" t="n">
        <ns0:v>8.423999999999999</ns0:v>
      </ns0:c>
      <ns0:c r="H9" s="169" t="n">
        <ns0:v>8.419</ns0:v>
      </ns0:c>
      <ns0:c r="I9" s="167" t="n">
        <ns0:v>8.420999999999999</ns0:v>
      </ns0:c>
      <ns0:c r="J9" s="167" t="n">
        <ns0:v>8.42</ns0:v>
      </ns0:c>
      <ns0:c r="K9" s="165" t="n">
        <ns0:v>8.428000000000001</ns0:v>
      </ns0:c>
      <ns0:c r="L9" s="166" t="n">
        <ns0:v>8.419</ns0:v>
      </ns0:c>
      <ns0:c r="M9" s="167" t="n">
        <ns0:v>8.420999999999999</ns0:v>
      </ns0:c>
      <ns0:c r="N9" s="167" t="n">
        <ns0:v>8.420999999999999</ns0:v>
      </ns0:c>
      <ns0:c r="O9" s="168" t="n">
        <ns0:v>8.429</ns0:v>
      </ns0:c>
      <ns0:c r="P9" s="169" t="n">
        <ns0:v>8.436999999999999</ns0:v>
      </ns0:c>
      <ns0:c r="Q9" s="167" t="n">
        <ns0:v>8.439</ns0:v>
      </ns0:c>
      <ns0:c r="R9" s="167" t="n">
        <ns0:v>8.420999999999999</ns0:v>
      </ns0:c>
      <ns0:c r="S9" s="165" t="n">
        <ns0:v>8.427</ns0:v>
      </ns0:c>
      <ns0:c r="T9" s="166" t="n">
        <ns0:v>8.433999999999999</ns0:v>
      </ns0:c>
      <ns0:c r="U9" s="167" t="n">
        <ns0:v>8.435</ns0:v>
      </ns0:c>
      <ns0:c r="V9" s="167" t="n">
        <ns0:v>8.423</ns0:v>
      </ns0:c>
      <ns0:c r="W9" s="167" t="n">
        <ns0:v>8.43</ns0:v>
      </ns0:c>
    </ns0:row>
    <ns0:row r="10">
      <ns0:c r="B10" s="58" t="n"/>
      <ns0:c r="C10" s="165" t="inlineStr">
        <ns0:is>
          <ns0:t>Posi #2</ns0:t>
        </ns0:is>
      </ns0:c>
      <ns0:c r="D10" s="166" t="n">
        <ns0:v>8.375</ns0:v>
      </ns0:c>
      <ns0:c r="E10" s="167" t="n">
        <ns0:v>8.379</ns0:v>
      </ns0:c>
      <ns0:c r="F10" s="167" t="n">
        <ns0:v>8.375999999999999</ns0:v>
      </ns0:c>
      <ns0:c r="G10" s="168" t="n">
        <ns0:v>8.393000000000001</ns0:v>
      </ns0:c>
      <ns0:c r="H10" s="169" t="n">
        <ns0:v>8.393000000000001</ns0:v>
      </ns0:c>
      <ns0:c r="I10" s="167" t="n">
        <ns0:v>8.390000000000001</ns0:v>
      </ns0:c>
      <ns0:c r="J10" s="167" t="n">
        <ns0:v>8.391999999999999</ns0:v>
      </ns0:c>
      <ns0:c r="K10" s="165" t="n">
        <ns0:v>8.403</ns0:v>
      </ns0:c>
      <ns0:c r="L10" s="166" t="n">
        <ns0:v>8.395</ns0:v>
      </ns0:c>
      <ns0:c r="M10" s="167" t="n">
        <ns0:v>8.390000000000001</ns0:v>
      </ns0:c>
      <ns0:c r="N10" s="167" t="n">
        <ns0:v>8.391999999999999</ns0:v>
      </ns0:c>
      <ns0:c r="O10" s="168" t="n">
        <ns0:v>8.404</ns0:v>
      </ns0:c>
      <ns0:c r="P10" s="169" t="n">
        <ns0:v>8.412000000000001</ns0:v>
      </ns0:c>
      <ns0:c r="Q10" s="167" t="n">
        <ns0:v>8.409000000000001</ns0:v>
      </ns0:c>
      <ns0:c r="R10" s="167" t="n">
        <ns0:v>8.394</ns0:v>
      </ns0:c>
      <ns0:c r="S10" s="165" t="n">
        <ns0:v>8.403</ns0:v>
      </ns0:c>
      <ns0:c r="T10" s="166" t="n">
        <ns0:v>8.427</ns0:v>
      </ns0:c>
      <ns0:c r="U10" s="167" t="n">
        <ns0:v>8.417</ns0:v>
      </ns0:c>
      <ns0:c r="V10" s="167" t="n">
        <ns0:v>8.397</ns0:v>
      </ns0:c>
      <ns0:c r="W10" s="167" t="n">
        <ns0:v>8.41</ns0:v>
      </ns0:c>
    </ns0:row>
    <ns0:row r="11">
      <ns0:c r="B11" s="48" t="n"/>
      <ns0:c r="C11" s="165" t="inlineStr">
        <ns0:is>
          <ns0:t>Posi #3</ns0:t>
        </ns0:is>
      </ns0:c>
      <ns0:c r="D11" s="166" t="n">
        <ns0:v>8.414</ns0:v>
      </ns0:c>
      <ns0:c r="E11" s="167" t="n">
        <ns0:v>8.428000000000001</ns0:v>
      </ns0:c>
      <ns0:c r="F11" s="167" t="n">
        <ns0:v>8.411</ns0:v>
      </ns0:c>
      <ns0:c r="G11" s="168" t="n">
        <ns0:v>8.423</ns0:v>
      </ns0:c>
      <ns0:c r="H11" s="169" t="n">
        <ns0:v>8.423999999999999</ns0:v>
      </ns0:c>
      <ns0:c r="I11" s="167" t="n">
        <ns0:v>8.432</ns0:v>
      </ns0:c>
      <ns0:c r="J11" s="167" t="n">
        <ns0:v>8.417</ns0:v>
      </ns0:c>
      <ns0:c r="K11" s="165" t="n">
        <ns0:v>8.426</ns0:v>
      </ns0:c>
      <ns0:c r="L11" s="166" t="n">
        <ns0:v>8.423</ns0:v>
      </ns0:c>
      <ns0:c r="M11" s="167" t="n">
        <ns0:v>8.432</ns0:v>
      </ns0:c>
      <ns0:c r="N11" s="167" t="n">
        <ns0:v>8.416</ns0:v>
      </ns0:c>
      <ns0:c r="O11" s="168" t="n">
        <ns0:v>8.427</ns0:v>
      </ns0:c>
      <ns0:c r="P11" s="169" t="n">
        <ns0:v>8.436999999999999</ns0:v>
      </ns0:c>
      <ns0:c r="Q11" s="167" t="n">
        <ns0:v>8.445</ns0:v>
      </ns0:c>
      <ns0:c r="R11" s="167" t="n">
        <ns0:v>8.416</ns0:v>
      </ns0:c>
      <ns0:c r="S11" s="165" t="n">
        <ns0:v>8.427</ns0:v>
      </ns0:c>
      <ns0:c r="T11" s="166" t="n">
        <ns0:v>8.436999999999999</ns0:v>
      </ns0:c>
      <ns0:c r="U11" s="167" t="n">
        <ns0:v>8.443</ns0:v>
      </ns0:c>
      <ns0:c r="V11" s="167" t="n">
        <ns0:v>8.417</ns0:v>
      </ns0:c>
      <ns0:c r="W11" s="167" t="n">
        <ns0:v>8.427</ns0:v>
      </ns0:c>
    </ns0:row>
    <ns0:row r="13">
      <ns0:c r="E13" s="156" t="inlineStr">
        <ns0:is>
          <ns0:t>Type</ns0:t>
        </ns0:is>
      </ns0:c>
      <ns0:c r="F13" s="45" t="n"/>
      <ns0:c r="G13" s="157" t="inlineStr">
        <ns0:is>
          <ns0:t>Posi</ns0:t>
        </ns0:is>
      </ns0:c>
      <ns0:c r="H13" s="170" t="inlineStr">
        <ns0:is>
          <ns0:t>Gap (B-A)</ns0:t>
        </ns0:is>
      </ns0:c>
      <ns0:c r="I13" s="23" t="n"/>
      <ns0:c r="J13" s="23" t="n"/>
      <ns0:c r="K13" s="159" t="n"/>
      <ns0:c r="L13" s="171" t="inlineStr">
        <ns0:is>
          <ns0:t>Gap (C-B)</ns0:t>
        </ns0:is>
      </ns0:c>
      <ns0:c r="M13" s="23" t="n"/>
      <ns0:c r="N13" s="23" t="n"/>
      <ns0:c r="O13" s="23" t="n"/>
      <ns0:c r="P13" s="170" t="inlineStr">
        <ns0:is>
          <ns0:t>Gap (D-C)</ns0:t>
        </ns0:is>
      </ns0:c>
      <ns0:c r="Q13" s="23" t="n"/>
      <ns0:c r="R13" s="23" t="n"/>
      <ns0:c r="S13" s="159" t="n"/>
      <ns0:c r="T13" s="172" t="inlineStr">
        <ns0:is>
          <ns0:t>Gap (E-D)</ns0:t>
        </ns0:is>
      </ns0:c>
      <ns0:c r="U13" s="23" t="n"/>
      <ns0:c r="V13" s="23" t="n"/>
      <ns0:c r="W13" s="47" t="n"/>
    </ns0:row>
    <ns0:row r="14">
      <ns0:c r="E14" s="18" t="n"/>
      <ns0:c r="F14" s="17" t="n"/>
      <ns0:c r="G14" s="18" t="n"/>
      <ns0:c r="H14" s="161" t="inlineStr">
        <ns0:is>
          <ns0:t>No.1</ns0:t>
        </ns0:is>
      </ns0:c>
      <ns0:c r="I14" s="156" t="inlineStr">
        <ns0:is>
          <ns0:t>No.2</ns0:t>
        </ns0:is>
      </ns0:c>
      <ns0:c r="J14" s="156" t="inlineStr">
        <ns0:is>
          <ns0:t>No.3</ns0:t>
        </ns0:is>
      </ns0:c>
      <ns0:c r="K14" s="162" t="inlineStr">
        <ns0:is>
          <ns0:t>No.4</ns0:t>
        </ns0:is>
      </ns0:c>
      <ns0:c r="L14" s="163" t="inlineStr">
        <ns0:is>
          <ns0:t>No.1</ns0:t>
        </ns0:is>
      </ns0:c>
      <ns0:c r="M14" s="156" t="inlineStr">
        <ns0:is>
          <ns0:t>No.2</ns0:t>
        </ns0:is>
      </ns0:c>
      <ns0:c r="N14" s="156" t="inlineStr">
        <ns0:is>
          <ns0:t>No.3</ns0:t>
        </ns0:is>
      </ns0:c>
      <ns0:c r="O14" s="157" t="inlineStr">
        <ns0:is>
          <ns0:t>No.4</ns0:t>
        </ns0:is>
      </ns0:c>
      <ns0:c r="P14" s="161" t="inlineStr">
        <ns0:is>
          <ns0:t>No.1</ns0:t>
        </ns0:is>
      </ns0:c>
      <ns0:c r="Q14" s="156" t="inlineStr">
        <ns0:is>
          <ns0:t>No.2</ns0:t>
        </ns0:is>
      </ns0:c>
      <ns0:c r="R14" s="156" t="inlineStr">
        <ns0:is>
          <ns0:t>No.3</ns0:t>
        </ns0:is>
      </ns0:c>
      <ns0:c r="S14" s="162" t="inlineStr">
        <ns0:is>
          <ns0:t>No.4</ns0:t>
        </ns0:is>
      </ns0:c>
      <ns0:c r="T14" s="163" t="inlineStr">
        <ns0:is>
          <ns0:t>No.1</ns0:t>
        </ns0:is>
      </ns0:c>
      <ns0:c r="U14" s="156" t="inlineStr">
        <ns0:is>
          <ns0:t>No.2</ns0:t>
        </ns0:is>
      </ns0:c>
      <ns0:c r="V14" s="156" t="inlineStr">
        <ns0:is>
          <ns0:t>No.3</ns0:t>
        </ns0:is>
      </ns0:c>
      <ns0:c r="W14" s="156" t="inlineStr">
        <ns0:is>
          <ns0:t>No.4</ns0:t>
        </ns0:is>
      </ns0:c>
    </ns0:row>
    <ns0:row r="15" ht="21" customHeight="1">
      <ns0:c r="E15" s="173" t="inlineStr">
        <ns0:is>
          <ns0:t>Length</ns0:t>
        </ns0:is>
      </ns0:c>
      <ns0:c r="F15" s="45" t="n"/>
      <ns0:c r="G15" s="165" t="inlineStr">
        <ns0:is>
          <ns0:t>Posi #1</ns0:t>
        </ns0:is>
      </ns0:c>
      <ns0:c r="H15" s="174" t="n">
        <ns0:v>0.01399999999999935</ns0:v>
      </ns0:c>
      <ns0:c r="I15" s="167" t="n">
        <ns0:v>0.009999999999999787</ns0:v>
      </ns0:c>
      <ns0:c r="J15" s="167" t="n">
        <ns0:v>0.01200000000000045</ns0:v>
      </ns0:c>
      <ns0:c r="K15" s="169" t="n">
        <ns0:v>0.009000000000000341</ns0:v>
      </ns0:c>
      <ns0:c r="L15" s="174" t="n">
        <ns0:v>0</ns0:v>
      </ns0:c>
      <ns0:c r="M15" s="167" t="n">
        <ns0:v>0</ns0:v>
      </ns0:c>
      <ns0:c r="N15" s="167" t="n">
        <ns0:v>0</ns0:v>
      </ns0:c>
      <ns0:c r="O15" s="169" t="n">
        <ns0:v>0.002000000000000668</ns0:v>
      </ns0:c>
      <ns0:c r="P15" s="174" t="n">
        <ns0:v>0.02400000000000091</ns0:v>
      </ns0:c>
      <ns0:c r="Q15" s="167" t="n">
        <ns0:v>0.02999999999999936</ns0:v>
      </ns0:c>
      <ns0:c r="R15" s="167" t="n">
        <ns0:v>-0.002000000000000668</ns0:v>
      </ns0:c>
      <ns0:c r="S15" s="169" t="n">
        <ns0:v>-0.001000000000001222</ns0:v>
      </ns0:c>
      <ns0:c r="T15" s="174" t="n">
        <ns0:v>-0.001000000000001222</ns0:v>
      </ns0:c>
      <ns0:c r="U15" s="167" t="n">
        <ns0:v>-0.003999999999999559</ns0:v>
      </ns0:c>
      <ns0:c r="V15" s="167" t="n">
        <ns0:v>0.0009999999999994458</ns0:v>
      </ns0:c>
      <ns0:c r="W15" s="169" t="n">
        <ns0:v>0.005000000000000782</ns0:v>
      </ns0:c>
    </ns0:row>
    <ns0:row r="16" ht="21" customHeight="1">
      <ns0:c r="E16" s="12" t="n"/>
      <ns0:c r="F16" s="11" t="n"/>
      <ns0:c r="G16" s="165" t="inlineStr">
        <ns0:is>
          <ns0:t>Posi #2</ns0:t>
        </ns0:is>
      </ns0:c>
      <ns0:c r="H16" s="174" t="n">
        <ns0:v>0.02500000000000036</ns0:v>
      </ns0:c>
      <ns0:c r="I16" s="167" t="n">
        <ns0:v>0.0210000000000008</ns0:v>
      </ns0:c>
      <ns0:c r="J16" s="167" t="n">
        <ns0:v>0.02500000000000036</ns0:v>
      </ns0:c>
      <ns0:c r="K16" s="169" t="n">
        <ns0:v>0.01800000000000068</ns0:v>
      </ns0:c>
      <ns0:c r="L16" s="174" t="n">
        <ns0:v>0</ns0:v>
      </ns0:c>
      <ns0:c r="M16" s="167" t="n">
        <ns0:v>0</ns0:v>
      </ns0:c>
      <ns0:c r="N16" s="167" t="n">
        <ns0:v>-0.0009999999999994458</ns0:v>
      </ns0:c>
      <ns0:c r="O16" s="169" t="n">
        <ns0:v>0.001999999999998892</ns0:v>
      </ns0:c>
      <ns0:c r="P16" s="174" t="n">
        <ns0:v>0.0259999999999998</ns0:v>
      </ns0:c>
      <ns0:c r="Q16" s="167" t="n">
        <ns0:v>0.03200000000000003</ns0:v>
      </ns0:c>
      <ns0:c r="R16" s="167" t="n">
        <ns0:v>0</ns0:v>
      </ns0:c>
      <ns0:c r="S16" s="169" t="n">
        <ns0:v>-0.0009999999999994458</ns0:v>
      </ns0:c>
      <ns0:c r="T16" s="174" t="n">
        <ns0:v>0.006000000000000227</ns0:v>
      </ns0:c>
      <ns0:c r="U16" s="167" t="n">
        <ns0:v>0.002000000000000668</ns0:v>
      </ns0:c>
      <ns0:c r="V16" s="167" t="n">
        <ns0:v>0.001999999999998892</ns0:v>
      </ns0:c>
      <ns0:c r="W16" s="169" t="n">
        <ns0:v>0.009999999999999787</ns0:v>
      </ns0:c>
    </ns0:row>
    <ns0:row r="17">
      <ns0:c r="E17" s="18" t="n"/>
      <ns0:c r="F17" s="17" t="n"/>
      <ns0:c r="G17" s="165" t="inlineStr">
        <ns0:is>
          <ns0:t>Posi #3</ns0:t>
        </ns0:is>
      </ns0:c>
      <ns0:c r="H17" s="174" t="n">
        <ns0:v>0.1059999999999999</ns0:v>
      </ns0:c>
      <ns0:c r="I17" s="167" t="n">
        <ns0:v>0.01200000000000045</ns0:v>
      </ns0:c>
      <ns0:c r="J17" s="167" t="n">
        <ns0:v>0.01499999999999879</ns0:v>
      </ns0:c>
      <ns0:c r="K17" s="169" t="n">
        <ns0:v>0.01199999999999868</ns0:v>
      </ns0:c>
      <ns0:c r="L17" s="174" t="n">
        <ns0:v>0.0009999999999994458</ns0:v>
      </ns0:c>
      <ns0:c r="M17" s="167" t="n">
        <ns0:v>0.0009999999999994458</ns0:v>
      </ns0:c>
      <ns0:c r="N17" s="167" t="n">
        <ns0:v>0</ns0:v>
      </ns0:c>
      <ns0:c r="O17" s="169" t="n">
        <ns0:v>0.001000000000001222</ns0:v>
      </ns0:c>
      <ns0:c r="P17" s="174" t="n">
        <ns0:v>0.02099999999999902</ns0:v>
      </ns0:c>
      <ns0:c r="Q17" s="167" t="n">
        <ns0:v>0.02200000000000024</ns0:v>
      </ns0:c>
      <ns0:c r="R17" s="167" t="n">
        <ns0:v>-0.0009999999999994458</ns0:v>
      </ns0:c>
      <ns0:c r="S17" s="169" t="n">
        <ns0:v>0</ns0:v>
      </ns0:c>
      <ns0:c r="T17" s="174" t="n">
        <ns0:v>0.001000000000001222</ns0:v>
      </ns0:c>
      <ns0:c r="U17" s="167" t="n">
        <ns0:v>0</ns0:v>
      </ns0:c>
      <ns0:c r="V17" s="167" t="n">
        <ns0:v>0.002000000000000668</ns0:v>
      </ns0:c>
      <ns0:c r="W17" s="169" t="n">
        <ns0:v>0.004999999999999005</ns0:v>
      </ns0:c>
    </ns0:row>
    <ns0:row r="18" ht="21" customHeight="1">
      <ns0:c r="E18" s="173" t="inlineStr">
        <ns0:is>
          <ns0:t>Width</ns0:t>
        </ns0:is>
      </ns0:c>
      <ns0:c r="F18" s="45" t="n"/>
      <ns0:c r="G18" s="165" t="inlineStr">
        <ns0:is>
          <ns0:t>Posi #1</ns0:t>
        </ns0:is>
      </ns0:c>
      <ns0:c r="H18" s="174" t="n">
        <ns0:v>0.009000000000000341</ns0:v>
      </ns0:c>
      <ns0:c r="I18" s="167" t="n">
        <ns0:v>0.004999999999999005</ns0:v>
      </ns0:c>
      <ns0:c r="J18" s="167" t="n">
        <ns0:v>0.005000000000000782</ns0:v>
      </ns0:c>
      <ns0:c r="K18" s="169" t="n">
        <ns0:v>0.004000000000001336</ns0:v>
      </ns0:c>
      <ns0:c r="L18" s="174" t="n">
        <ns0:v>0</ns0:v>
      </ns0:c>
      <ns0:c r="M18" s="167" t="n">
        <ns0:v>0</ns0:v>
      </ns0:c>
      <ns0:c r="N18" s="167" t="n">
        <ns0:v>0.0009999999999994458</ns0:v>
      </ns0:c>
      <ns0:c r="O18" s="169" t="n">
        <ns0:v>0.0009999999999994458</ns0:v>
      </ns0:c>
      <ns0:c r="P18" s="174" t="n">
        <ns0:v>0.01799999999999891</ns0:v>
      </ns0:c>
      <ns0:c r="Q18" s="167" t="n">
        <ns0:v>0.01800000000000068</ns0:v>
      </ns0:c>
      <ns0:c r="R18" s="167" t="n">
        <ns0:v>0</ns0:v>
      </ns0:c>
      <ns0:c r="S18" s="169" t="n">
        <ns0:v>-0.002000000000000668</ns0:v>
      </ns0:c>
      <ns0:c r="T18" s="174" t="n">
        <ns0:v>-0.003000000000000114</ns0:v>
      </ns0:c>
      <ns0:c r="U18" s="167" t="n">
        <ns0:v>-0.003999999999999559</ns0:v>
      </ns0:c>
      <ns0:c r="V18" s="167" t="n">
        <ns0:v>0.002000000000000668</ns0:v>
      </ns0:c>
      <ns0:c r="W18" s="169" t="n">
        <ns0:v>0.003000000000000114</ns0:v>
      </ns0:c>
    </ns0:row>
    <ns0:row r="19" ht="21" customHeight="1">
      <ns0:c r="E19" s="12" t="n"/>
      <ns0:c r="F19" s="11" t="n"/>
      <ns0:c r="G19" s="165" t="inlineStr">
        <ns0:is>
          <ns0:t>Posi #2</ns0:t>
        </ns0:is>
      </ns0:c>
      <ns0:c r="H19" s="174" t="n">
        <ns0:v>0.01800000000000068</ns0:v>
      </ns0:c>
      <ns0:c r="I19" s="167" t="n">
        <ns0:v>0.01100000000000101</ns0:v>
      </ns0:c>
      <ns0:c r="J19" s="167" t="n">
        <ns0:v>0.01600000000000001</ns0:v>
      </ns0:c>
      <ns0:c r="K19" s="169" t="n">
        <ns0:v>0.009999999999999787</ns0:v>
      </ns0:c>
      <ns0:c r="L19" s="174" t="n">
        <ns0:v>0.001999999999998892</ns0:v>
      </ns0:c>
      <ns0:c r="M19" s="167" t="n">
        <ns0:v>0</ns0:v>
      </ns0:c>
      <ns0:c r="N19" s="167" t="n">
        <ns0:v>0</ns0:v>
      </ns0:c>
      <ns0:c r="O19" s="169" t="n">
        <ns0:v>0.0009999999999994458</ns0:v>
      </ns0:c>
      <ns0:c r="P19" s="174" t="n">
        <ns0:v>0.01700000000000124</ns0:v>
      </ns0:c>
      <ns0:c r="Q19" s="167" t="n">
        <ns0:v>0.01900000000000013</ns0:v>
      </ns0:c>
      <ns0:c r="R19" s="167" t="n">
        <ns0:v>0.002000000000000668</ns0:v>
      </ns0:c>
      <ns0:c r="S19" s="169" t="n">
        <ns0:v>-0.0009999999999994458</ns0:v>
      </ns0:c>
      <ns0:c r="T19" s="174" t="n">
        <ns0:v>0.01499999999999879</ns0:v>
      </ns0:c>
      <ns0:c r="U19" s="167" t="n">
        <ns0:v>0.007999999999999119</ns0:v>
      </ns0:c>
      <ns0:c r="V19" s="167" t="n">
        <ns0:v>0.003000000000000114</ns0:v>
      </ns0:c>
      <ns0:c r="W19" s="169" t="n">
        <ns0:v>0.006999999999999673</ns0:v>
      </ns0:c>
    </ns0:row>
    <ns0:row r="20">
      <ns0:c r="E20" s="18" t="n"/>
      <ns0:c r="F20" s="17" t="n"/>
      <ns0:c r="G20" s="165" t="inlineStr">
        <ns0:is>
          <ns0:t>Posi #3</ns0:t>
        </ns0:is>
      </ns0:c>
      <ns0:c r="H20" s="174" t="n">
        <ns0:v>0.009999999999999787</ns0:v>
      </ns0:c>
      <ns0:c r="I20" s="167" t="n">
        <ns0:v>0.003999999999999559</ns0:v>
      </ns0:c>
      <ns0:c r="J20" s="167" t="n">
        <ns0:v>0.006000000000000227</ns0:v>
      </ns0:c>
      <ns0:c r="K20" s="169" t="n">
        <ns0:v>0.003000000000000114</ns0:v>
      </ns0:c>
      <ns0:c r="L20" s="174" t="n">
        <ns0:v>-0.0009999999999994458</ns0:v>
      </ns0:c>
      <ns0:c r="M20" s="167" t="n">
        <ns0:v>0</ns0:v>
      </ns0:c>
      <ns0:c r="N20" s="167" t="n">
        <ns0:v>-0.0009999999999994458</ns0:v>
      </ns0:c>
      <ns0:c r="O20" s="169" t="n">
        <ns0:v>0.0009999999999994458</ns0:v>
      </ns0:c>
      <ns0:c r="P20" s="174" t="n">
        <ns0:v>0.01399999999999935</ns0:v>
      </ns0:c>
      <ns0:c r="Q20" s="167" t="n">
        <ns0:v>0.0129999999999999</ns0:v>
      </ns0:c>
      <ns0:c r="R20" s="167" t="n">
        <ns0:v>0</ns0:v>
      </ns0:c>
      <ns0:c r="S20" s="169" t="n">
        <ns0:v>0</ns0:v>
      </ns0:c>
      <ns0:c r="T20" s="174" t="n">
        <ns0:v>0</ns0:v>
      </ns0:c>
      <ns0:c r="U20" s="167" t="n">
        <ns0:v>-0.002000000000000668</ns0:v>
      </ns0:c>
      <ns0:c r="V20" s="167" t="n">
        <ns0:v>0.0009999999999994458</ns0:v>
      </ns0:c>
      <ns0:c r="W20" s="169" t="n">
        <ns0:v>0</ns0:v>
      </ns0:c>
    </ns0:row>
  </ns0:sheetData>
  <ns0:mergeCells count="22">
    <ns0:mergeCell ref="D3:G3"/>
    <ns0:mergeCell ref="H13:K13"/>
    <ns0:mergeCell ref="P13:S13"/>
    <ns0:mergeCell ref="H3:K3"/>
    <ns0:mergeCell ref="P3:S3"/>
    <ns0:mergeCell ref="G13:G14"/>
    <ns0:mergeCell ref="T13:W13"/>
    <ns0:mergeCell ref="E18:F20"/>
    <ns0:mergeCell ref="T3:W3"/>
    <ns0:mergeCell ref="C3:C5"/>
    <ns0:mergeCell ref="P4:S4"/>
    <ns0:mergeCell ref="B3:B5"/>
    <ns0:mergeCell ref="H4:K4"/>
    <ns0:mergeCell ref="L13:O13"/>
    <ns0:mergeCell ref="T4:W4"/>
    <ns0:mergeCell ref="L3:O3"/>
    <ns0:mergeCell ref="E15:F17"/>
    <ns0:mergeCell ref="E13:F14"/>
    <ns0:mergeCell ref="L4:O4"/>
    <ns0:mergeCell ref="B9:B11"/>
    <ns0:mergeCell ref="B6:B8"/>
    <ns0:mergeCell ref="D4:G4"/>
  </ns0:mergeCells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B2:BI259"/>
  <ns0:sheetViews>
    <ns0:sheetView workbookViewId="0">
      <ns0:selection activeCell="A1" sqref="A1"/>
    </ns0:sheetView>
  </ns0:sheetViews>
  <ns0:sheetFormatPr baseColWidth="8" defaultRowHeight="15"/>
  <ns0:cols>
    <ns0:col width="21.57142857142857" customWidth="1" min="2" max="2"/>
    <ns0:col width="12.42857142857143" customWidth="1" min="3" max="3"/>
    <ns0:col width="12.42857142857143" customWidth="1" min="4" max="4"/>
    <ns0:col width="12.42857142857143" customWidth="1" min="5" max="5"/>
    <ns0:col width="12.42857142857143" customWidth="1" min="6" max="6"/>
    <ns0:col width="12.42857142857143" customWidth="1" min="7" max="7"/>
    <ns0:col width="12.42857142857143" customWidth="1" min="8" max="8"/>
    <ns0:col width="12.42857142857143" customWidth="1" min="9" max="9"/>
    <ns0:col width="12.42857142857143" customWidth="1" min="10" max="10"/>
    <ns0:col width="12.42857142857143" customWidth="1" min="11" max="11"/>
    <ns0:col width="12.42857142857143" customWidth="1" min="12" max="12"/>
    <ns0:col width="12.42857142857143" customWidth="1" min="13" max="13"/>
    <ns0:col width="12.42857142857143" customWidth="1" min="16" max="16"/>
    <ns0:col width="12.42857142857143" customWidth="1" min="17" max="17"/>
    <ns0:col width="12.42857142857143" customWidth="1" min="18" max="18"/>
    <ns0:col width="16.57142857142857" customWidth="1" min="21" max="21"/>
    <ns0:col width="15.42857142857143" customWidth="1" min="22" max="22"/>
  </ns0:cols>
  <ns0:sheetData>
    <ns0:row r="2">
      <ns0:c r="B2" s="175" t="n"/>
    </ns0:row>
    <ns0:row r="3"/>
    <ns0:row r="4" ht="24.75" customHeight="1">
      <ns0:c r="B4" s="176" t="n"/>
      <ns0:c r="C4" s="176" t="n"/>
      <ns0:c r="D4" s="176" t="n"/>
      <ns0:c r="E4" s="176" t="n"/>
      <ns0:c r="F4" s="176" t="n"/>
      <ns0:c r="G4" s="177" t="n"/>
      <ns0:c r="H4" s="177" t="n"/>
    </ns0:row>
    <ns0:row r="5">
      <ns0:c r="B5" s="82" t="n"/>
      <ns0:c r="C5" s="82" t="n"/>
      <ns0:c r="D5" s="82" t="n"/>
      <ns0:c r="E5" s="82" t="n"/>
      <ns0:c r="F5" s="82" t="n"/>
      <ns0:c r="G5" s="177" t="n"/>
      <ns0:c r="H5" s="177" t="n"/>
    </ns0:row>
    <ns0:row r="6">
      <ns0:c r="B6" s="82" t="n"/>
      <ns0:c r="C6" s="82" t="n"/>
      <ns0:c r="D6" s="82" t="n"/>
      <ns0:c r="E6" s="82" t="n"/>
      <ns0:c r="F6" s="82" t="n"/>
      <ns0:c r="G6" s="177" t="n"/>
      <ns0:c r="H6" s="177" t="n"/>
    </ns0:row>
    <ns0:row r="7">
      <ns0:c r="B7" s="82" t="n"/>
      <ns0:c r="C7" s="82" t="n"/>
      <ns0:c r="D7" s="82" t="n"/>
      <ns0:c r="E7" s="82" t="n"/>
      <ns0:c r="F7" s="82" t="n"/>
      <ns0:c r="G7" s="177" t="n"/>
      <ns0:c r="H7" s="177" t="n"/>
    </ns0:row>
    <ns0:row r="8">
      <ns0:c r="B8" s="82" t="n"/>
      <ns0:c r="C8" s="82" t="n"/>
      <ns0:c r="D8" s="82" t="n"/>
      <ns0:c r="E8" s="82" t="n"/>
      <ns0:c r="F8" s="82" t="n"/>
      <ns0:c r="G8" s="177" t="n"/>
      <ns0:c r="H8" s="177" t="n"/>
    </ns0:row>
    <ns0:row r="9">
      <ns0:c r="B9" s="82" t="n"/>
      <ns0:c r="C9" s="82" t="n"/>
      <ns0:c r="D9" s="82" t="n"/>
      <ns0:c r="E9" s="82" t="n"/>
      <ns0:c r="F9" s="82" t="n"/>
      <ns0:c r="G9" s="177" t="n"/>
      <ns0:c r="H9" s="177" t="n"/>
    </ns0:row>
    <ns0:row r="10" ht="15" customHeight="1"/>
    <ns0:row r="13">
      <ns0:c r="B13" s="176" t="n"/>
      <ns0:c r="C13" s="176" t="n"/>
      <ns0:c r="D13" s="176" t="n"/>
      <ns0:c r="E13" s="177" t="n"/>
    </ns0:row>
    <ns0:row r="14">
      <ns0:c r="B14" s="82" t="n"/>
      <ns0:c r="C14" s="82" t="n"/>
      <ns0:c r="D14" s="82" t="n"/>
      <ns0:c r="E14" s="177" t="n"/>
    </ns0:row>
    <ns0:row r="15">
      <ns0:c r="B15" s="82" t="n"/>
      <ns0:c r="C15" s="82" t="n"/>
      <ns0:c r="D15" s="82" t="n"/>
      <ns0:c r="E15" s="177" t="n"/>
    </ns0:row>
    <ns0:row r="16">
      <ns0:c r="B16" s="82" t="n"/>
      <ns0:c r="C16" s="82" t="n"/>
      <ns0:c r="D16" s="82" t="n"/>
      <ns0:c r="E16" s="177" t="n"/>
    </ns0:row>
    <ns0:row r="22" ht="31.6875" customHeight="1">
      <ns0:c r="B22" s="178" t="inlineStr">
        <ns0:is>
          <ns0:t>Type</ns0:t>
        </ns0:is>
      </ns0:c>
      <ns0:c r="C22" s="179" t="n"/>
      <ns0:c r="D22" s="178" t="inlineStr">
        <ns0:is>
          <ns0:t>Dimension</ns0:t>
        </ns0:is>
      </ns0:c>
      <ns0:c r="E22" s="23" t="n"/>
      <ns0:c r="F22" s="23" t="n"/>
      <ns0:c r="G22" s="23" t="n"/>
      <ns0:c r="H22" s="23" t="n"/>
      <ns0:c r="I22" s="23" t="n"/>
      <ns0:c r="J22" s="23" t="n"/>
      <ns0:c r="K22" s="23" t="n"/>
      <ns0:c r="L22" s="23" t="n"/>
      <ns0:c r="M22" s="47" t="n"/>
    </ns0:row>
    <ns0:row r="23" ht="33" customHeight="1">
      <ns0:c r="B23" s="48" t="n"/>
      <ns0:c r="C23" s="178" t="inlineStr">
        <ns0:is>
          <ns0:t>Sample</ns0:t>
        </ns0:is>
      </ns0:c>
      <ns0:c r="D23" s="180" t="inlineStr">
        <ns0:is>
          <ns0:t>#1
(2.89)</ns0:t>
        </ns0:is>
      </ns0:c>
      <ns0:c r="E23" s="180" t="inlineStr">
        <ns0:is>
          <ns0:t>#2
(2.89)</ns0:t>
        </ns0:is>
      </ns0:c>
      <ns0:c r="F23" s="181" t="inlineStr">
        <ns0:is>
          <ns0:t>Gap
 #1-#2</ns0:t>
        </ns0:is>
      </ns0:c>
      <ns0:c r="G23" s="180" t="inlineStr">
        <ns0:is>
          <ns0:t>#3
(2.47)</ns0:t>
        </ns0:is>
      </ns0:c>
      <ns0:c r="H23" s="180" t="inlineStr">
        <ns0:is>
          <ns0:t>#4
(2.47)</ns0:t>
        </ns0:is>
      </ns0:c>
      <ns0:c r="I23" s="181" t="inlineStr">
        <ns0:is>
          <ns0:t>Gap
 #3-#4</ns0:t>
        </ns0:is>
      </ns0:c>
      <ns0:c r="J23" s="178" t="inlineStr">
        <ns0:is>
          <ns0:t>#5</ns0:t>
        </ns0:is>
      </ns0:c>
      <ns0:c r="K23" s="178" t="inlineStr">
        <ns0:is>
          <ns0:t>#6</ns0:t>
        </ns0:is>
      </ns0:c>
      <ns0:c r="L23" s="178" t="inlineStr">
        <ns0:is>
          <ns0:t>#7</ns0:t>
        </ns0:is>
      </ns0:c>
      <ns0:c r="M23" s="178" t="inlineStr">
        <ns0:is>
          <ns0:t>#8</ns0:t>
        </ns0:is>
      </ns0:c>
    </ns0:row>
    <ns0:row r="24">
      <ns0:c r="B24" s="178" t="n"/>
      <ns0:c r="C24" s="178" t="inlineStr">
        <ns0:is>
          <ns0:t>Upper</ns0:t>
        </ns0:is>
      </ns0:c>
      <ns0:c r="D24" s="180" t="inlineStr">
        <ns0:is>
          <ns0:t>-</ns0:t>
        </ns0:is>
      </ns0:c>
      <ns0:c r="E24" s="180" t="inlineStr">
        <ns0:is>
          <ns0:t>-</ns0:t>
        </ns0:is>
      </ns0:c>
      <ns0:c r="F24" s="181" t="n"/>
      <ns0:c r="G24" s="180" t="inlineStr">
        <ns0:is>
          <ns0:t>-</ns0:t>
        </ns0:is>
      </ns0:c>
      <ns0:c r="H24" s="180" t="inlineStr">
        <ns0:is>
          <ns0:t>-</ns0:t>
        </ns0:is>
      </ns0:c>
      <ns0:c r="I24" s="181" t="n"/>
      <ns0:c r="J24" s="178" t="n">
        <ns0:v>9.869999999999999</ns0:v>
      </ns0:c>
      <ns0:c r="K24" s="178" t="n">
        <ns0:v>14.03</ns0:v>
      </ns0:c>
      <ns0:c r="L24" s="178" t="n">
        <ns0:v>14.86</ns0:v>
      </ns0:c>
      <ns0:c r="M24" s="178" t="n">
        <ns0:v>14.86</ns0:v>
      </ns0:c>
    </ns0:row>
    <ns0:row r="25">
      <ns0:c r="B25" s="58" t="n"/>
      <ns0:c r="C25" s="178" t="inlineStr">
        <ns0:is>
          <ns0:t>Spec</ns0:t>
        </ns0:is>
      </ns0:c>
      <ns0:c r="D25" s="180" t="n">
        <ns0:v>2.89</ns0:v>
      </ns0:c>
      <ns0:c r="E25" s="180" t="n">
        <ns0:v>2.89</ns0:v>
      </ns0:c>
      <ns0:c r="F25" s="181" t="n"/>
      <ns0:c r="G25" s="180" t="n">
        <ns0:v>2.47</ns0:v>
      </ns0:c>
      <ns0:c r="H25" s="180" t="n">
        <ns0:v>2.47</ns0:v>
      </ns0:c>
      <ns0:c r="I25" s="181" t="n"/>
      <ns0:c r="J25" s="178" t="n">
        <ns0:v>9.84</ns0:v>
      </ns0:c>
      <ns0:c r="K25" s="182" t="n">
        <ns0:v>14</ns0:v>
      </ns0:c>
      <ns0:c r="L25" s="178" t="n">
        <ns0:v>14.84</ns0:v>
      </ns0:c>
      <ns0:c r="M25" s="178" t="n">
        <ns0:v>14.84</ns0:v>
      </ns0:c>
    </ns0:row>
    <ns0:row r="26">
      <ns0:c r="B26" s="48" t="n"/>
      <ns0:c r="C26" s="178" t="inlineStr">
        <ns0:is>
          <ns0:t>Lower</ns0:t>
        </ns0:is>
      </ns0:c>
      <ns0:c r="D26" s="180" t="inlineStr">
        <ns0:is>
          <ns0:t>-</ns0:t>
        </ns0:is>
      </ns0:c>
      <ns0:c r="E26" s="180" t="inlineStr">
        <ns0:is>
          <ns0:t>-</ns0:t>
        </ns0:is>
      </ns0:c>
      <ns0:c r="F26" s="181" t="n"/>
      <ns0:c r="G26" s="180" t="inlineStr">
        <ns0:is>
          <ns0:t>-</ns0:t>
        </ns0:is>
      </ns0:c>
      <ns0:c r="H26" s="180" t="inlineStr">
        <ns0:is>
          <ns0:t>-</ns0:t>
        </ns0:is>
      </ns0:c>
      <ns0:c r="I26" s="181" t="n"/>
      <ns0:c r="J26" s="178" t="n">
        <ns0:v>9.83</ns0:v>
      </ns0:c>
      <ns0:c r="K26" s="178" t="n">
        <ns0:v>13.99</ns0:v>
      </ns0:c>
      <ns0:c r="L26" s="178" t="n">
        <ns0:v>14.83</ns0:v>
      </ns0:c>
      <ns0:c r="M26" s="178" t="n">
        <ns0:v>14.83</ns0:v>
      </ns0:c>
    </ns0:row>
    <ns0:row r="27" ht="19.5" customHeight="1">
      <ns0:c r="B27" s="183" t="inlineStr">
        <ns0:is>
          <ns0:t>Old Frame
2023</ns0:t>
        </ns0:is>
      </ns0:c>
      <ns0:c r="C27" s="82" t="n">
        <ns0:v>1</ns0:v>
      </ns0:c>
      <ns0:c r="D27" s="184" t="n">
        <ns0:v>2.9096</ns0:v>
      </ns0:c>
      <ns0:c r="E27" s="184" t="n">
        <ns0:v>2.8942</ns0:v>
      </ns0:c>
      <ns0:c r="F27" s="185" t="n">
        <ns0:v>0.01540000000000008</ns0:v>
      </ns0:c>
      <ns0:c r="G27" s="184" t="n">
        <ns0:v>2.495</ns0:v>
      </ns0:c>
      <ns0:c r="H27" s="184" t="n">
        <ns0:v>2.4816</ns0:v>
      </ns0:c>
      <ns0:c r="I27" s="185" t="n">
        <ns0:v>0.0134000000000003</ns0:v>
      </ns0:c>
      <ns0:c r="J27" s="184" t="n">
        <ns0:v>9.8492</ns0:v>
      </ns0:c>
      <ns0:c r="K27" s="184" t="n">
        <ns0:v>14.0159</ns0:v>
      </ns0:c>
      <ns0:c r="L27" s="184" t="n">
        <ns0:v>14.8097</ns0:v>
      </ns0:c>
      <ns0:c r="M27" s="184" t="n">
        <ns0:v>14.8093</ns0:v>
      </ns0:c>
    </ns0:row>
    <ns0:row r="28" ht="19.5" customHeight="1">
      <ns0:c r="B28" s="58" t="n"/>
      <ns0:c r="C28" s="82" t="n">
        <ns0:v>2</ns0:v>
      </ns0:c>
      <ns0:c r="D28" s="184" t="n">
        <ns0:v>2.9274</ns0:v>
      </ns0:c>
      <ns0:c r="E28" s="184" t="n">
        <ns0:v>2.9063</ns0:v>
      </ns0:c>
      <ns0:c r="F28" s="185" t="n">
        <ns0:v>0.02110000000000012</ns0:v>
      </ns0:c>
      <ns0:c r="G28" s="184" t="n">
        <ns0:v>2.481</ns0:v>
      </ns0:c>
      <ns0:c r="H28" s="184" t="n">
        <ns0:v>2.4936</ns0:v>
      </ns0:c>
      <ns0:c r="I28" s="185" t="n">
        <ns0:v>-0.01259999999999994</ns0:v>
      </ns0:c>
      <ns0:c r="J28" s="184" t="n">
        <ns0:v>9.8813</ns0:v>
      </ns0:c>
      <ns0:c r="K28" s="184" t="n">
        <ns0:v>14.018</ns0:v>
      </ns0:c>
      <ns0:c r="L28" s="184" t="n">
        <ns0:v>14.8017</ns0:v>
      </ns0:c>
      <ns0:c r="M28" s="184" t="n">
        <ns0:v>14.808</ns0:v>
      </ns0:c>
    </ns0:row>
    <ns0:row r="29" ht="19.5" customHeight="1">
      <ns0:c r="B29" s="58" t="n"/>
      <ns0:c r="C29" s="82" t="n">
        <ns0:v>3</ns0:v>
      </ns0:c>
      <ns0:c r="D29" s="184" t="n">
        <ns0:v>2.9192</ns0:v>
      </ns0:c>
      <ns0:c r="E29" s="184" t="n">
        <ns0:v>2.9048</ns0:v>
      </ns0:c>
      <ns0:c r="F29" s="185" t="n">
        <ns0:v>0.01440000000000019</ns0:v>
      </ns0:c>
      <ns0:c r="G29" s="184" t="n">
        <ns0:v>2.4824</ns0:v>
      </ns0:c>
      <ns0:c r="H29" s="184" t="n">
        <ns0:v>2.4947</ns0:v>
      </ns0:c>
      <ns0:c r="I29" s="185" t="n">
        <ns0:v>-0.01229999999999976</ns0:v>
      </ns0:c>
      <ns0:c r="J29" s="184" t="n">
        <ns0:v>9.847099999999999</ns0:v>
      </ns0:c>
      <ns0:c r="K29" s="184" t="n">
        <ns0:v>14.0084</ns0:v>
      </ns0:c>
      <ns0:c r="L29" s="184" t="n">
        <ns0:v>14.8096</ns0:v>
      </ns0:c>
      <ns0:c r="M29" s="184" t="n">
        <ns0:v>14.8096</ns0:v>
      </ns0:c>
    </ns0:row>
    <ns0:row r="30" ht="19.5" customHeight="1">
      <ns0:c r="B30" s="58" t="n"/>
      <ns0:c r="C30" s="82" t="n">
        <ns0:v>4</ns0:v>
      </ns0:c>
      <ns0:c r="D30" s="184" t="n">
        <ns0:v>2.8857</ns0:v>
      </ns0:c>
      <ns0:c r="E30" s="184" t="n">
        <ns0:v>2.9604</ns0:v>
      </ns0:c>
      <ns0:c r="F30" s="185" t="n">
        <ns0:v>-0.07469999999999999</ns0:v>
      </ns0:c>
      <ns0:c r="G30" s="184" t="n">
        <ns0:v>2.4874</ns0:v>
      </ns0:c>
      <ns0:c r="H30" s="184" t="n">
        <ns0:v>2.4925</ns0:v>
      </ns0:c>
      <ns0:c r="I30" s="185" t="n">
        <ns0:v>-0.005100000000000104</ns0:v>
      </ns0:c>
      <ns0:c r="J30" s="184" t="n">
        <ns0:v>9.8543</ns0:v>
      </ns0:c>
      <ns0:c r="K30" s="184" t="n">
        <ns0:v>14.0107</ns0:v>
      </ns0:c>
      <ns0:c r="L30" s="184" t="n">
        <ns0:v>14.8141</ns0:v>
      </ns0:c>
      <ns0:c r="M30" s="184" t="n">
        <ns0:v>14.8229</ns0:v>
      </ns0:c>
    </ns0:row>
    <ns0:row r="31" ht="19.5" customHeight="1">
      <ns0:c r="B31" s="58" t="n"/>
      <ns0:c r="C31" s="82" t="n">
        <ns0:v>5</ns0:v>
      </ns0:c>
      <ns0:c r="D31" s="184" t="n">
        <ns0:v>2.9006</ns0:v>
      </ns0:c>
      <ns0:c r="E31" s="184" t="n">
        <ns0:v>2.938</ns0:v>
      </ns0:c>
      <ns0:c r="F31" s="185" t="n">
        <ns0:v>-0.03740000000000032</ns0:v>
      </ns0:c>
      <ns0:c r="G31" s="184" t="n">
        <ns0:v>2.4936</ns0:v>
      </ns0:c>
      <ns0:c r="H31" s="184" t="n">
        <ns0:v>2.503</ns0:v>
      </ns0:c>
      <ns0:c r="I31" s="185" t="n">
        <ns0:v>-0.009400000000000297</ns0:v>
      </ns0:c>
      <ns0:c r="J31" s="184" t="n">
        <ns0:v>9.838699999999999</ns0:v>
      </ns0:c>
      <ns0:c r="K31" s="184" t="n">
        <ns0:v>14.0137</ns0:v>
      </ns0:c>
      <ns0:c r="L31" s="184" t="n">
        <ns0:v>14.8144</ns0:v>
      </ns0:c>
      <ns0:c r="M31" s="184" t="n">
        <ns0:v>14.8114</ns0:v>
      </ns0:c>
    </ns0:row>
    <ns0:row r="32" ht="19.5" customHeight="1">
      <ns0:c r="B32" s="58" t="n"/>
      <ns0:c r="C32" s="82" t="inlineStr">
        <ns0:is>
          <ns0:t>MIN</ns0:t>
        </ns0:is>
      </ns0:c>
      <ns0:c r="D32" s="184" t="n">
        <ns0:v>2.8857</ns0:v>
      </ns0:c>
      <ns0:c r="E32" s="47" t="n"/>
      <ns0:c r="F32" s="184" t="n"/>
      <ns0:c r="G32" s="184" t="n">
        <ns0:v>2.481</ns0:v>
      </ns0:c>
      <ns0:c r="H32" s="47" t="n"/>
      <ns0:c r="I32" s="184" t="n"/>
      <ns0:c r="J32" s="184" t="n">
        <ns0:v>9.838699999999999</ns0:v>
      </ns0:c>
      <ns0:c r="K32" s="184" t="n">
        <ns0:v>14.0084</ns0:v>
      </ns0:c>
      <ns0:c r="L32" s="184" t="n">
        <ns0:v>14.8017</ns0:v>
      </ns0:c>
      <ns0:c r="M32" s="47" t="n"/>
    </ns0:row>
    <ns0:row r="33" ht="19.5" customHeight="1">
      <ns0:c r="B33" s="58" t="n"/>
      <ns0:c r="C33" s="82" t="inlineStr">
        <ns0:is>
          <ns0:t>MAX</ns0:t>
        </ns0:is>
      </ns0:c>
      <ns0:c r="D33" s="184" t="n">
        <ns0:v>2.9604</ns0:v>
      </ns0:c>
      <ns0:c r="E33" s="47" t="n"/>
      <ns0:c r="F33" s="184" t="n"/>
      <ns0:c r="G33" s="184" t="n">
        <ns0:v>2.503</ns0:v>
      </ns0:c>
      <ns0:c r="H33" s="47" t="n"/>
      <ns0:c r="I33" s="184" t="n"/>
      <ns0:c r="J33" s="184" t="n">
        <ns0:v>9.8813</ns0:v>
      </ns0:c>
      <ns0:c r="K33" s="184" t="n">
        <ns0:v>14.018</ns0:v>
      </ns0:c>
      <ns0:c r="L33" s="184" t="n">
        <ns0:v>14.8229</ns0:v>
      </ns0:c>
      <ns0:c r="M33" s="47" t="n"/>
    </ns0:row>
    <ns0:row r="34" ht="19.5" customHeight="1">
      <ns0:c r="B34" s="48" t="n"/>
      <ns0:c r="C34" s="82" t="inlineStr">
        <ns0:is>
          <ns0:t>AVG</ns0:t>
        </ns0:is>
      </ns0:c>
      <ns0:c r="D34" s="184" t="n">
        <ns0:v>2.92305</ns0:v>
      </ns0:c>
      <ns0:c r="E34" s="47" t="n"/>
      <ns0:c r="F34" s="184" t="n"/>
      <ns0:c r="G34" s="184" t="n">
        <ns0:v>2.492</ns0:v>
      </ns0:c>
      <ns0:c r="H34" s="47" t="n"/>
      <ns0:c r="I34" s="184" t="n"/>
      <ns0:c r="J34" s="184" t="n">
        <ns0:v>9.859999999999999</ns0:v>
      </ns0:c>
      <ns0:c r="K34" s="184" t="n">
        <ns0:v>14.0132</ns0:v>
      </ns0:c>
      <ns0:c r="L34" s="184" t="n">
        <ns0:v>14.8123</ns0:v>
      </ns0:c>
      <ns0:c r="M34" s="47" t="n"/>
    </ns0:row>
    <ns0:row r="35" ht="19.5" customHeight="1">
      <ns0:c r="B35" s="183" t="inlineStr">
        <ns0:is>
          <ns0:t>Frame improve R-PT
2024</ns0:t>
        </ns0:is>
      </ns0:c>
      <ns0:c r="C35" s="82" t="n">
        <ns0:v>1</ns0:v>
      </ns0:c>
      <ns0:c r="D35" s="184" t="n">
        <ns0:v>2.9006</ns0:v>
      </ns0:c>
      <ns0:c r="E35" s="184" t="n">
        <ns0:v>2.8875</ns0:v>
      </ns0:c>
      <ns0:c r="F35" s="185" t="n">
        <ns0:v>0.01309999999999967</ns0:v>
      </ns0:c>
      <ns0:c r="G35" s="184" t="n">
        <ns0:v>2.5012</ns0:v>
      </ns0:c>
      <ns0:c r="H35" s="184" t="n">
        <ns0:v>2.4563</ns0:v>
      </ns0:c>
      <ns0:c r="I35" s="186" t="n">
        <ns0:v>0.04489999999999972</ns0:v>
      </ns0:c>
      <ns0:c r="J35" s="184" t="n">
        <ns0:v>9.8848</ns0:v>
      </ns0:c>
      <ns0:c r="K35" s="187" t="n">
        <ns0:v>14.0645</ns0:v>
      </ns0:c>
      <ns0:c r="L35" s="184" t="n">
        <ns0:v>14.8075</ns0:v>
      </ns0:c>
      <ns0:c r="M35" s="184" t="n">
        <ns0:v>14.7999</ns0:v>
      </ns0:c>
    </ns0:row>
    <ns0:row r="36" ht="19.5" customHeight="1">
      <ns0:c r="B36" s="58" t="n"/>
      <ns0:c r="C36" s="82" t="n">
        <ns0:v>2</ns0:v>
      </ns0:c>
      <ns0:c r="D36" s="184" t="n">
        <ns0:v>2.8995</ns0:v>
      </ns0:c>
      <ns0:c r="E36" s="184" t="n">
        <ns0:v>2.9396</ns0:v>
      </ns0:c>
      <ns0:c r="F36" s="185" t="n">
        <ns0:v>-0.0400999999999998</ns0:v>
      </ns0:c>
      <ns0:c r="G36" s="184" t="n">
        <ns0:v>2.4929</ns0:v>
      </ns0:c>
      <ns0:c r="H36" s="184" t="n">
        <ns0:v>2.4473</ns0:v>
      </ns0:c>
      <ns0:c r="I36" s="186" t="n">
        <ns0:v>0.04560000000000031</ns0:v>
      </ns0:c>
      <ns0:c r="J36" s="184" t="n">
        <ns0:v>9.905099999999999</ns0:v>
      </ns0:c>
      <ns0:c r="K36" s="187" t="n">
        <ns0:v>14.0563</ns0:v>
      </ns0:c>
      <ns0:c r="L36" s="184" t="n">
        <ns0:v>14.7868</ns0:v>
      </ns0:c>
      <ns0:c r="M36" s="184" t="n">
        <ns0:v>14.7943</ns0:v>
      </ns0:c>
    </ns0:row>
    <ns0:row r="37" ht="19.5" customHeight="1">
      <ns0:c r="B37" s="58" t="n"/>
      <ns0:c r="C37" s="82" t="n">
        <ns0:v>3</ns0:v>
      </ns0:c>
      <ns0:c r="D37" s="184" t="n">
        <ns0:v>2.8909</ns0:v>
      </ns0:c>
      <ns0:c r="E37" s="184" t="n">
        <ns0:v>2.9292</ns0:v>
      </ns0:c>
      <ns0:c r="F37" s="185" t="n">
        <ns0:v>-0.0383</ns0:v>
      </ns0:c>
      <ns0:c r="G37" s="184" t="n">
        <ns0:v>2.5098</ns0:v>
      </ns0:c>
      <ns0:c r="H37" s="184" t="n">
        <ns0:v>2.4472</ns0:v>
      </ns0:c>
      <ns0:c r="I37" s="186" t="n">
        <ns0:v>0.06259999999999977</ns0:v>
      </ns0:c>
      <ns0:c r="J37" s="184" t="n">
        <ns0:v>9.896699999999999</ns0:v>
      </ns0:c>
      <ns0:c r="K37" s="187" t="n">
        <ns0:v>14.063</ns0:v>
      </ns0:c>
      <ns0:c r="L37" s="184" t="n">
        <ns0:v>14.7985</ns0:v>
      </ns0:c>
      <ns0:c r="M37" s="184" t="n">
        <ns0:v>14.7996</ns0:v>
      </ns0:c>
    </ns0:row>
    <ns0:row r="38" ht="19.5" customHeight="1">
      <ns0:c r="B38" s="58" t="n"/>
      <ns0:c r="C38" s="82" t="n">
        <ns0:v>4</ns0:v>
      </ns0:c>
      <ns0:c r="D38" s="184" t="n">
        <ns0:v>2.945</ns0:v>
      </ns0:c>
      <ns0:c r="E38" s="184" t="n">
        <ns0:v>2.9096</ns0:v>
      </ns0:c>
      <ns0:c r="F38" s="185" t="n">
        <ns0:v>0.03539999999999965</ns0:v>
      </ns0:c>
      <ns0:c r="G38" s="184" t="n">
        <ns0:v>2.4504</ns0:v>
      </ns0:c>
      <ns0:c r="H38" s="184" t="n">
        <ns0:v>2.4967</ns0:v>
      </ns0:c>
      <ns0:c r="I38" s="186" t="n">
        <ns0:v>-0.04630000000000001</ns0:v>
      </ns0:c>
      <ns0:c r="J38" s="184" t="n">
        <ns0:v>9.8979</ns0:v>
      </ns0:c>
      <ns0:c r="K38" s="187" t="n">
        <ns0:v>14.0571</ns0:v>
      </ns0:c>
      <ns0:c r="L38" s="184" t="n">
        <ns0:v>14.808</ns0:v>
      </ns0:c>
      <ns0:c r="M38" s="184" t="n">
        <ns0:v>14.8215</ns0:v>
      </ns0:c>
    </ns0:row>
    <ns0:row r="39" ht="19.5" customHeight="1">
      <ns0:c r="B39" s="58" t="n"/>
      <ns0:c r="C39" s="82" t="n">
        <ns0:v>5</ns0:v>
      </ns0:c>
      <ns0:c r="D39" s="184" t="n">
        <ns0:v>2.9156</ns0:v>
      </ns0:c>
      <ns0:c r="E39" s="184" t="n">
        <ns0:v>2.8933</ns0:v>
      </ns0:c>
      <ns0:c r="F39" s="185" t="n">
        <ns0:v>0.02229999999999999</ns0:v>
      </ns0:c>
      <ns0:c r="G39" s="184" t="n">
        <ns0:v>2.511</ns0:v>
      </ns0:c>
      <ns0:c r="H39" s="184" t="n">
        <ns0:v>2.4324</ns0:v>
      </ns0:c>
      <ns0:c r="I39" s="186" t="n">
        <ns0:v>0.07860000000000023</ns0:v>
      </ns0:c>
      <ns0:c r="J39" s="184" t="n">
        <ns0:v>9.892099999999999</ns0:v>
      </ns0:c>
      <ns0:c r="K39" s="187" t="n">
        <ns0:v>14.0649</ns0:v>
      </ns0:c>
      <ns0:c r="L39" s="184" t="n">
        <ns0:v>14.8061</ns0:v>
      </ns0:c>
      <ns0:c r="M39" s="184" t="n">
        <ns0:v>14.8015</ns0:v>
      </ns0:c>
    </ns0:row>
    <ns0:row r="40" ht="19.5" customHeight="1">
      <ns0:c r="B40" s="58" t="n"/>
      <ns0:c r="C40" s="82" t="inlineStr">
        <ns0:is>
          <ns0:t>MIN</ns0:t>
        </ns0:is>
      </ns0:c>
      <ns0:c r="D40" s="184" t="n">
        <ns0:v>2.8875</ns0:v>
      </ns0:c>
      <ns0:c r="E40" s="47" t="n"/>
      <ns0:c r="F40" s="184" t="n"/>
      <ns0:c r="G40" s="184" t="n">
        <ns0:v>2.4324</ns0:v>
      </ns0:c>
      <ns0:c r="H40" s="47" t="n"/>
      <ns0:c r="I40" s="184" t="n"/>
      <ns0:c r="J40" s="184" t="n">
        <ns0:v>9.8848</ns0:v>
      </ns0:c>
      <ns0:c r="K40" s="184" t="n">
        <ns0:v>14.0563</ns0:v>
      </ns0:c>
      <ns0:c r="L40" s="184" t="n">
        <ns0:v>14.7868</ns0:v>
      </ns0:c>
      <ns0:c r="M40" s="47" t="n"/>
    </ns0:row>
    <ns0:row r="41" ht="19.5" customHeight="1">
      <ns0:c r="B41" s="58" t="n"/>
      <ns0:c r="C41" s="82" t="inlineStr">
        <ns0:is>
          <ns0:t>MAX</ns0:t>
        </ns0:is>
      </ns0:c>
      <ns0:c r="D41" s="184" t="n">
        <ns0:v>2.945</ns0:v>
      </ns0:c>
      <ns0:c r="E41" s="47" t="n"/>
      <ns0:c r="F41" s="184" t="n"/>
      <ns0:c r="G41" s="184" t="n">
        <ns0:v>2.511</ns0:v>
      </ns0:c>
      <ns0:c r="H41" s="47" t="n"/>
      <ns0:c r="I41" s="184" t="n"/>
      <ns0:c r="J41" s="184" t="n">
        <ns0:v>9.905099999999999</ns0:v>
      </ns0:c>
      <ns0:c r="K41" s="184" t="n">
        <ns0:v>14.0649</ns0:v>
      </ns0:c>
      <ns0:c r="L41" s="184" t="n">
        <ns0:v>14.8215</ns0:v>
      </ns0:c>
      <ns0:c r="M41" s="47" t="n"/>
    </ns0:row>
    <ns0:row r="42" ht="19.5" customHeight="1">
      <ns0:c r="B42" s="48" t="n"/>
      <ns0:c r="C42" s="82" t="inlineStr">
        <ns0:is>
          <ns0:t>AVG</ns0:t>
        </ns0:is>
      </ns0:c>
      <ns0:c r="D42" s="184" t="n">
        <ns0:v>2.91625</ns0:v>
      </ns0:c>
      <ns0:c r="E42" s="47" t="n"/>
      <ns0:c r="F42" s="184" t="n"/>
      <ns0:c r="G42" s="184" t="n">
        <ns0:v>2.4717</ns0:v>
      </ns0:c>
      <ns0:c r="H42" s="47" t="n"/>
      <ns0:c r="I42" s="184" t="n"/>
      <ns0:c r="J42" s="184" t="n">
        <ns0:v>9.89495</ns0:v>
      </ns0:c>
      <ns0:c r="K42" s="184" t="n">
        <ns0:v>14.0606</ns0:v>
      </ns0:c>
      <ns0:c r="L42" s="184" t="n">
        <ns0:v>14.80415</ns0:v>
      </ns0:c>
      <ns0:c r="M42" s="47" t="n"/>
    </ns0:row>
    <ns0:row r="43" ht="19.5" customHeight="1"/>
    <ns0:row r="44" ht="19.5" customHeight="1"/>
    <ns0:row r="45" ht="19.5" customHeight="1">
      <ns0:c r="B45" s="183" t="inlineStr">
        <ns0:is>
          <ns0:t>Gap
2023-2024</ns0:t>
        </ns0:is>
      </ns0:c>
      <ns0:c r="C45" s="82" t="inlineStr">
        <ns0:is>
          <ns0:t>MIN</ns0:t>
        </ns0:is>
      </ns0:c>
      <ns0:c r="D45" s="188" t="n">
        <ns0:v>-0.001800000000000246</ns0:v>
      </ns0:c>
      <ns0:c r="E45" s="47" t="n"/>
      <ns0:c r="F45" s="188" t="n"/>
      <ns0:c r="G45" s="188" t="n">
        <ns0:v>0.04859999999999998</ns0:v>
      </ns0:c>
      <ns0:c r="H45" s="47" t="n"/>
      <ns0:c r="I45" s="188" t="n"/>
      <ns0:c r="J45" s="188" t="n">
        <ns0:v>-0.04610000000000092</ns0:v>
      </ns0:c>
      <ns0:c r="K45" s="188" t="n">
        <ns0:v>-0.04790000000000028</ns0:v>
      </ns0:c>
      <ns0:c r="L45" s="188" t="n">
        <ns0:v>0.0149000000000008</ns0:v>
      </ns0:c>
      <ns0:c r="M45" s="47" t="n"/>
    </ns0:row>
    <ns0:row r="46" ht="19.5" customHeight="1">
      <ns0:c r="B46" s="58" t="n"/>
      <ns0:c r="C46" s="82" t="inlineStr">
        <ns0:is>
          <ns0:t>MAX</ns0:t>
        </ns0:is>
      </ns0:c>
      <ns0:c r="D46" s="188" t="n">
        <ns0:v>0.01540000000000008</ns0:v>
      </ns0:c>
      <ns0:c r="E46" s="47" t="n"/>
      <ns0:c r="F46" s="188" t="n"/>
      <ns0:c r="G46" s="188" t="n">
        <ns0:v>-0.008000000000000007</ns0:v>
      </ns0:c>
      <ns0:c r="H46" s="47" t="n"/>
      <ns0:c r="I46" s="188" t="n"/>
      <ns0:c r="J46" s="188" t="n">
        <ns0:v>-0.0237999999999996</ns0:v>
      </ns0:c>
      <ns0:c r="K46" s="188" t="n">
        <ns0:v>-0.04689999999999905</ns0:v>
      </ns0:c>
      <ns0:c r="L46" s="188" t="n">
        <ns0:v>0.00140000000000029</ns0:v>
      </ns0:c>
      <ns0:c r="M46" s="47" t="n"/>
    </ns0:row>
    <ns0:row r="47" ht="19.5" customHeight="1">
      <ns0:c r="B47" s="48" t="n"/>
      <ns0:c r="C47" s="82" t="inlineStr">
        <ns0:is>
          <ns0:t>AVG</ns0:t>
        </ns0:is>
      </ns0:c>
      <ns0:c r="D47" s="188" t="n">
        <ns0:v>0.006800000000000139</ns0:v>
      </ns0:c>
      <ns0:c r="E47" s="47" t="n"/>
      <ns0:c r="F47" s="188" t="n"/>
      <ns0:c r="G47" s="188" t="n">
        <ns0:v>0.02029999999999976</ns0:v>
      </ns0:c>
      <ns0:c r="H47" s="47" t="n"/>
      <ns0:c r="I47" s="188" t="n"/>
      <ns0:c r="J47" s="188" t="n">
        <ns0:v>-0.03495000000000026</ns0:v>
      </ns0:c>
      <ns0:c r="K47" s="188" t="n">
        <ns0:v>-0.04739999999999966</ns0:v>
      </ns0:c>
      <ns0:c r="L47" s="188" t="n">
        <ns0:v>0.008150000000000546</ns0:v>
      </ns0:c>
      <ns0:c r="M47" s="47" t="n"/>
    </ns0:row>
    <ns0:row r="66">
      <ns0:c r="BI66" t="n">
        <ns0:v>14.84</ns0:v>
      </ns0:c>
    </ns0:row>
    <ns0:row r="155">
      <ns0:c r="S155" s="88" t="n"/>
    </ns0:row>
    <ns0:row r="166" ht="26.25" customHeight="1">
      <ns0:c r="B166" s="189" t="inlineStr">
        <ns0:is>
          <ns0:t>Type</ns0:t>
        </ns0:is>
      </ns0:c>
      <ns0:c r="C166" s="189" t="inlineStr">
        <ns0:is>
          <ns0:t>Sample</ns0:t>
        </ns0:is>
      </ns0:c>
      <ns0:c r="D166" s="190" t="inlineStr">
        <ns0:is>
          <ns0:t>Dimension</ns0:t>
        </ns0:is>
      </ns0:c>
      <ns0:c r="E166" s="23" t="n"/>
      <ns0:c r="F166" s="23" t="n"/>
      <ns0:c r="G166" s="23" t="n"/>
      <ns0:c r="H166" s="23" t="n"/>
      <ns0:c r="I166" s="23" t="n"/>
      <ns0:c r="J166" s="23" t="n"/>
      <ns0:c r="K166" s="23" t="n"/>
      <ns0:c r="L166" s="23" t="n"/>
      <ns0:c r="M166" s="23" t="n"/>
      <ns0:c r="N166" s="23" t="n"/>
      <ns0:c r="O166" s="159" t="n"/>
      <ns0:c r="P166" s="191" t="inlineStr">
        <ns0:is>
          <ns0:t>Gap</ns0:t>
        </ns0:is>
      </ns0:c>
      <ns0:c r="Q166" s="23" t="n"/>
      <ns0:c r="R166" s="47" t="n"/>
    </ns0:row>
    <ns0:row r="167" ht="26.25" customHeight="1">
      <ns0:c r="B167" s="48" t="n"/>
      <ns0:c r="C167" s="48" t="n"/>
      <ns0:c r="D167" s="189" t="inlineStr">
        <ns0:is>
          <ns0:t>#3-1</ns0:t>
        </ns0:is>
      </ns0:c>
      <ns0:c r="E167" s="189" t="inlineStr">
        <ns0:is>
          <ns0:t>#3-2</ns0:t>
        </ns0:is>
      </ns0:c>
      <ns0:c r="F167" s="189" t="inlineStr">
        <ns0:is>
          <ns0:t>#3-3</ns0:t>
        </ns0:is>
      </ns0:c>
      <ns0:c r="G167" s="192" t="inlineStr">
        <ns0:is>
          <ns0:t>MIN #3</ns0:t>
        </ns0:is>
      </ns0:c>
      <ns0:c r="H167" s="192" t="inlineStr">
        <ns0:is>
          <ns0:t>MAX #3</ns0:t>
        </ns0:is>
      </ns0:c>
      <ns0:c r="I167" s="193" t="inlineStr">
        <ns0:is>
          <ns0:t>AVG #3</ns0:t>
        </ns0:is>
      </ns0:c>
      <ns0:c r="J167" s="194" t="inlineStr">
        <ns0:is>
          <ns0:t>#4-1</ns0:t>
        </ns0:is>
      </ns0:c>
      <ns0:c r="K167" s="189" t="inlineStr">
        <ns0:is>
          <ns0:t>#4-2</ns0:t>
        </ns0:is>
      </ns0:c>
      <ns0:c r="L167" s="189" t="inlineStr">
        <ns0:is>
          <ns0:t>#4-3</ns0:t>
        </ns0:is>
      </ns0:c>
      <ns0:c r="M167" s="195" t="inlineStr">
        <ns0:is>
          <ns0:t>MIN #4</ns0:t>
        </ns0:is>
      </ns0:c>
      <ns0:c r="N167" s="192" t="inlineStr">
        <ns0:is>
          <ns0:t>MAX #4</ns0:t>
        </ns0:is>
      </ns0:c>
      <ns0:c r="O167" s="193" t="inlineStr">
        <ns0:is>
          <ns0:t>AVG #4</ns0:t>
        </ns0:is>
      </ns0:c>
      <ns0:c r="P167" s="196" t="inlineStr">
        <ns0:is>
          <ns0:t>MIN #3-#4</ns0:t>
        </ns0:is>
      </ns0:c>
      <ns0:c r="Q167" s="197" t="inlineStr">
        <ns0:is>
          <ns0:t>MAX #3-#4</ns0:t>
        </ns0:is>
      </ns0:c>
      <ns0:c r="R167" s="197" t="inlineStr">
        <ns0:is>
          <ns0:t>AVG #3-#4</ns0:t>
        </ns0:is>
      </ns0:c>
    </ns0:row>
    <ns0:row r="168" ht="15" customHeight="1">
      <ns0:c r="B168" s="198" t="inlineStr">
        <ns0:is>
          <ns0:t>Old Frame
Lot: 2023-10-25</ns0:t>
        </ns0:is>
      </ns0:c>
      <ns0:c r="C168" s="82" t="n">
        <ns0:v>1</ns0:v>
      </ns0:c>
      <ns0:c r="D168" s="82" t="n">
        <ns0:v>2.49</ns0:v>
      </ns0:c>
      <ns0:c r="E168" s="82" t="n">
        <ns0:v>2.5</ns0:v>
      </ns0:c>
      <ns0:c r="F168" s="82" t="n">
        <ns0:v>2.5</ns0:v>
      </ns0:c>
      <ns0:c r="G168" s="192" t="n">
        <ns0:v>2.49</ns0:v>
      </ns0:c>
      <ns0:c r="H168" s="192" t="n">
        <ns0:v>2.5</ns0:v>
      </ns0:c>
      <ns0:c r="I168" s="193" t="n">
        <ns0:v>2.495</ns0:v>
      </ns0:c>
      <ns0:c r="J168" s="199" t="n">
        <ns0:v>2.49</ns0:v>
      </ns0:c>
      <ns0:c r="K168" s="82" t="n">
        <ns0:v>2.5</ns0:v>
      </ns0:c>
      <ns0:c r="L168" s="82" t="n">
        <ns0:v>2.5</ns0:v>
      </ns0:c>
      <ns0:c r="M168" s="192" t="n">
        <ns0:v>2.49</ns0:v>
      </ns0:c>
      <ns0:c r="N168" s="192" t="n">
        <ns0:v>2.5</ns0:v>
      </ns0:c>
      <ns0:c r="O168" s="193" t="n">
        <ns0:v>2.495</ns0:v>
      </ns0:c>
      <ns0:c r="P168" s="191" t="n">
        <ns0:v>0</ns0:v>
      </ns0:c>
      <ns0:c r="Q168" s="200" t="n">
        <ns0:v>0</ns0:v>
      </ns0:c>
      <ns0:c r="R168" s="200" t="n">
        <ns0:v>0</ns0:v>
      </ns0:c>
    </ns0:row>
    <ns0:row r="169">
      <ns0:c r="B169" s="58" t="n"/>
      <ns0:c r="C169" s="82" t="n">
        <ns0:v>2</ns0:v>
      </ns0:c>
      <ns0:c r="D169" s="82" t="n">
        <ns0:v>2.51</ns0:v>
      </ns0:c>
      <ns0:c r="E169" s="82" t="n">
        <ns0:v>2.51</ns0:v>
      </ns0:c>
      <ns0:c r="F169" s="82" t="n">
        <ns0:v>2.5</ns0:v>
      </ns0:c>
      <ns0:c r="G169" s="192" t="n">
        <ns0:v>2.5</ns0:v>
      </ns0:c>
      <ns0:c r="H169" s="192" t="n">
        <ns0:v>2.51</ns0:v>
      </ns0:c>
      <ns0:c r="I169" s="193" t="n">
        <ns0:v>2.505</ns0:v>
      </ns0:c>
      <ns0:c r="J169" s="199" t="n">
        <ns0:v>2.5</ns0:v>
      </ns0:c>
      <ns0:c r="K169" s="82" t="n">
        <ns0:v>2.51</ns0:v>
      </ns0:c>
      <ns0:c r="L169" s="82" t="n">
        <ns0:v>2.51</ns0:v>
      </ns0:c>
      <ns0:c r="M169" s="192" t="n">
        <ns0:v>2.5</ns0:v>
      </ns0:c>
      <ns0:c r="N169" s="192" t="n">
        <ns0:v>2.51</ns0:v>
      </ns0:c>
      <ns0:c r="O169" s="193" t="n">
        <ns0:v>2.505</ns0:v>
      </ns0:c>
      <ns0:c r="P169" s="191" t="n">
        <ns0:v>0</ns0:v>
      </ns0:c>
      <ns0:c r="Q169" s="200" t="n">
        <ns0:v>0</ns0:v>
      </ns0:c>
      <ns0:c r="R169" s="200" t="n">
        <ns0:v>0</ns0:v>
      </ns0:c>
    </ns0:row>
    <ns0:row r="170">
      <ns0:c r="B170" s="58" t="n"/>
      <ns0:c r="C170" s="82" t="n">
        <ns0:v>3</ns0:v>
      </ns0:c>
      <ns0:c r="D170" s="82" t="n">
        <ns0:v>2.49</ns0:v>
      </ns0:c>
      <ns0:c r="E170" s="82" t="n">
        <ns0:v>2.5</ns0:v>
      </ns0:c>
      <ns0:c r="F170" s="82" t="n">
        <ns0:v>2.51</ns0:v>
      </ns0:c>
      <ns0:c r="G170" s="192" t="n">
        <ns0:v>2.49</ns0:v>
      </ns0:c>
      <ns0:c r="H170" s="192" t="n">
        <ns0:v>2.51</ns0:v>
      </ns0:c>
      <ns0:c r="I170" s="193" t="n">
        <ns0:v>2.5</ns0:v>
      </ns0:c>
      <ns0:c r="J170" s="199" t="n">
        <ns0:v>2.49</ns0:v>
      </ns0:c>
      <ns0:c r="K170" s="82" t="n">
        <ns0:v>2.5</ns0:v>
      </ns0:c>
      <ns0:c r="L170" s="82" t="n">
        <ns0:v>2.5</ns0:v>
      </ns0:c>
      <ns0:c r="M170" s="192" t="n">
        <ns0:v>2.49</ns0:v>
      </ns0:c>
      <ns0:c r="N170" s="192" t="n">
        <ns0:v>2.5</ns0:v>
      </ns0:c>
      <ns0:c r="O170" s="193" t="n">
        <ns0:v>2.495</ns0:v>
      </ns0:c>
      <ns0:c r="P170" s="191" t="n">
        <ns0:v>0</ns0:v>
      </ns0:c>
      <ns0:c r="Q170" s="200" t="n">
        <ns0:v>0.009999999999999787</ns0:v>
      </ns0:c>
      <ns0:c r="R170" s="200" t="n">
        <ns0:v>0.004999999999999893</ns0:v>
      </ns0:c>
    </ns0:row>
    <ns0:row r="171">
      <ns0:c r="B171" s="58" t="n"/>
      <ns0:c r="C171" s="82" t="n">
        <ns0:v>4</ns0:v>
      </ns0:c>
      <ns0:c r="D171" s="82" t="n">
        <ns0:v>2.5</ns0:v>
      </ns0:c>
      <ns0:c r="E171" s="82" t="n">
        <ns0:v>2.51</ns0:v>
      </ns0:c>
      <ns0:c r="F171" s="82" t="n">
        <ns0:v>2.5</ns0:v>
      </ns0:c>
      <ns0:c r="G171" s="192" t="n">
        <ns0:v>2.5</ns0:v>
      </ns0:c>
      <ns0:c r="H171" s="192" t="n">
        <ns0:v>2.51</ns0:v>
      </ns0:c>
      <ns0:c r="I171" s="193" t="n">
        <ns0:v>2.505</ns0:v>
      </ns0:c>
      <ns0:c r="J171" s="199" t="n">
        <ns0:v>2.49</ns0:v>
      </ns0:c>
      <ns0:c r="K171" s="82" t="n">
        <ns0:v>2.5</ns0:v>
      </ns0:c>
      <ns0:c r="L171" s="82" t="n">
        <ns0:v>2.5</ns0:v>
      </ns0:c>
      <ns0:c r="M171" s="192" t="n">
        <ns0:v>2.49</ns0:v>
      </ns0:c>
      <ns0:c r="N171" s="192" t="n">
        <ns0:v>2.5</ns0:v>
      </ns0:c>
      <ns0:c r="O171" s="193" t="n">
        <ns0:v>2.495</ns0:v>
      </ns0:c>
      <ns0:c r="P171" s="191" t="n">
        <ns0:v>0.009999999999999787</ns0:v>
      </ns0:c>
      <ns0:c r="Q171" s="200" t="n">
        <ns0:v>0.009999999999999787</ns0:v>
      </ns0:c>
      <ns0:c r="R171" s="200" t="n">
        <ns0:v>0.009999999999999787</ns0:v>
      </ns0:c>
    </ns0:row>
    <ns0:row r="172" ht="17.25" customHeight="1">
      <ns0:c r="B172" s="201" t="n"/>
      <ns0:c r="C172" s="202" t="n">
        <ns0:v>5</ns0:v>
      </ns0:c>
      <ns0:c r="D172" s="202" t="n">
        <ns0:v>2.48</ns0:v>
      </ns0:c>
      <ns0:c r="E172" s="202" t="n">
        <ns0:v>2.49</ns0:v>
      </ns0:c>
      <ns0:c r="F172" s="202" t="n">
        <ns0:v>2.49</ns0:v>
      </ns0:c>
      <ns0:c r="G172" s="203" t="n">
        <ns0:v>2.48</ns0:v>
      </ns0:c>
      <ns0:c r="H172" s="203" t="n">
        <ns0:v>2.49</ns0:v>
      </ns0:c>
      <ns0:c r="I172" s="204" t="n">
        <ns0:v>2.485</ns0:v>
      </ns0:c>
      <ns0:c r="J172" s="205" t="n">
        <ns0:v>2.5</ns0:v>
      </ns0:c>
      <ns0:c r="K172" s="202" t="n">
        <ns0:v>2.51</ns0:v>
      </ns0:c>
      <ns0:c r="L172" s="202" t="n">
        <ns0:v>2.51</ns0:v>
      </ns0:c>
      <ns0:c r="M172" s="203" t="n">
        <ns0:v>2.5</ns0:v>
      </ns0:c>
      <ns0:c r="N172" s="203" t="n">
        <ns0:v>2.51</ns0:v>
      </ns0:c>
      <ns0:c r="O172" s="204" t="n">
        <ns0:v>2.505</ns0:v>
      </ns0:c>
      <ns0:c r="P172" s="206" t="n">
        <ns0:v>-0.02000000000000002</ns0:v>
      </ns0:c>
      <ns0:c r="Q172" s="207" t="n">
        <ns0:v>-0.01999999999999957</ns0:v>
      </ns0:c>
      <ns0:c r="R172" s="207" t="n">
        <ns0:v>-0.01999999999999957</ns0:v>
      </ns0:c>
    </ns0:row>
    <ns0:row r="173" ht="15" customHeight="1">
      <ns0:c r="B173" s="208" t="inlineStr">
        <ns0:is>
          <ns0:t>Now Frame
Lot: 2024-06-25</ns0:t>
        </ns0:is>
      </ns0:c>
      <ns0:c r="C173" s="209" t="n">
        <ns0:v>1</ns0:v>
      </ns0:c>
      <ns0:c r="D173" s="209" t="n">
        <ns0:v>2.48</ns0:v>
      </ns0:c>
      <ns0:c r="E173" s="209" t="n">
        <ns0:v>2.46</ns0:v>
      </ns0:c>
      <ns0:c r="F173" s="209" t="n">
        <ns0:v>2.48</ns0:v>
      </ns0:c>
      <ns0:c r="G173" s="210" t="n">
        <ns0:v>2.46</ns0:v>
      </ns0:c>
      <ns0:c r="H173" s="210" t="n">
        <ns0:v>2.48</ns0:v>
      </ns0:c>
      <ns0:c r="I173" s="211" t="n">
        <ns0:v>2.47</ns0:v>
      </ns0:c>
      <ns0:c r="J173" s="212" t="n">
        <ns0:v>2.52</ns0:v>
      </ns0:c>
      <ns0:c r="K173" s="209" t="n">
        <ns0:v>2.5</ns0:v>
      </ns0:c>
      <ns0:c r="L173" s="209" t="n">
        <ns0:v>2.51</ns0:v>
      </ns0:c>
      <ns0:c r="M173" s="210" t="n">
        <ns0:v>2.5</ns0:v>
      </ns0:c>
      <ns0:c r="N173" s="210" t="n">
        <ns0:v>2.52</ns0:v>
      </ns0:c>
      <ns0:c r="O173" s="211" t="n">
        <ns0:v>2.51</ns0:v>
      </ns0:c>
      <ns0:c r="P173" s="213" t="n">
        <ns0:v>-0.04000000000000004</ns0:v>
      </ns0:c>
      <ns0:c r="Q173" s="214" t="n">
        <ns0:v>-0.04000000000000004</ns0:v>
      </ns0:c>
      <ns0:c r="R173" s="214" t="n">
        <ns0:v>-0.04000000000000004</ns0:v>
      </ns0:c>
    </ns0:row>
    <ns0:row r="174">
      <ns0:c r="B174" s="58" t="n"/>
      <ns0:c r="C174" s="82" t="n">
        <ns0:v>2</ns0:v>
      </ns0:c>
      <ns0:c r="D174" s="82" t="n">
        <ns0:v>2.52</ns0:v>
      </ns0:c>
      <ns0:c r="E174" s="82" t="n">
        <ns0:v>2.51</ns0:v>
      </ns0:c>
      <ns0:c r="F174" s="82" t="n">
        <ns0:v>2.52</ns0:v>
      </ns0:c>
      <ns0:c r="G174" s="192" t="n">
        <ns0:v>2.51</ns0:v>
      </ns0:c>
      <ns0:c r="H174" s="192" t="n">
        <ns0:v>2.52</ns0:v>
      </ns0:c>
      <ns0:c r="I174" s="193" t="n">
        <ns0:v>2.515</ns0:v>
      </ns0:c>
      <ns0:c r="J174" s="199" t="n">
        <ns0:v>2.5</ns0:v>
      </ns0:c>
      <ns0:c r="K174" s="82" t="n">
        <ns0:v>2.49</ns0:v>
      </ns0:c>
      <ns0:c r="L174" s="82" t="n">
        <ns0:v>2.51</ns0:v>
      </ns0:c>
      <ns0:c r="M174" s="192" t="n">
        <ns0:v>2.49</ns0:v>
      </ns0:c>
      <ns0:c r="N174" s="192" t="n">
        <ns0:v>2.51</ns0:v>
      </ns0:c>
      <ns0:c r="O174" s="193" t="n">
        <ns0:v>2.5</ns0:v>
      </ns0:c>
      <ns0:c r="P174" s="191" t="n">
        <ns0:v>0.01999999999999957</ns0:v>
      </ns0:c>
      <ns0:c r="Q174" s="200" t="n">
        <ns0:v>0.01000000000000023</ns0:v>
      </ns0:c>
      <ns0:c r="R174" s="200" t="n">
        <ns0:v>0.01499999999999968</ns0:v>
      </ns0:c>
    </ns0:row>
    <ns0:row r="175">
      <ns0:c r="B175" s="58" t="n"/>
      <ns0:c r="C175" s="82" t="n">
        <ns0:v>3</ns0:v>
      </ns0:c>
      <ns0:c r="D175" s="82" t="n">
        <ns0:v>2.52</ns0:v>
      </ns0:c>
      <ns0:c r="E175" s="82" t="n">
        <ns0:v>2.51</ns0:v>
      </ns0:c>
      <ns0:c r="F175" s="82" t="n">
        <ns0:v>2.53</ns0:v>
      </ns0:c>
      <ns0:c r="G175" s="192" t="n">
        <ns0:v>2.51</ns0:v>
      </ns0:c>
      <ns0:c r="H175" s="192" t="n">
        <ns0:v>2.53</ns0:v>
      </ns0:c>
      <ns0:c r="I175" s="193" t="n">
        <ns0:v>2.52</ns0:v>
      </ns0:c>
      <ns0:c r="J175" s="199" t="n">
        <ns0:v>2.5</ns0:v>
      </ns0:c>
      <ns0:c r="K175" s="82" t="n">
        <ns0:v>2.48</ns0:v>
      </ns0:c>
      <ns0:c r="L175" s="82" t="n">
        <ns0:v>2.5</ns0:v>
      </ns0:c>
      <ns0:c r="M175" s="192" t="n">
        <ns0:v>2.48</ns0:v>
      </ns0:c>
      <ns0:c r="N175" s="192" t="n">
        <ns0:v>2.5</ns0:v>
      </ns0:c>
      <ns0:c r="O175" s="193" t="n">
        <ns0:v>2.49</ns0:v>
      </ns0:c>
      <ns0:c r="P175" s="191" t="n">
        <ns0:v>0.0299999999999998</ns0:v>
      </ns0:c>
      <ns0:c r="Q175" s="200" t="n">
        <ns0:v>0.0299999999999998</ns0:v>
      </ns0:c>
      <ns0:c r="R175" s="200" t="n">
        <ns0:v>0.02999999999999936</ns0:v>
      </ns0:c>
    </ns0:row>
    <ns0:row r="176">
      <ns0:c r="B176" s="58" t="n"/>
      <ns0:c r="C176" s="82" t="n">
        <ns0:v>4</ns0:v>
      </ns0:c>
      <ns0:c r="D176" s="82" t="n">
        <ns0:v>2.5</ns0:v>
      </ns0:c>
      <ns0:c r="E176" s="82" t="n">
        <ns0:v>2.48</ns0:v>
      </ns0:c>
      <ns0:c r="F176" s="82" t="n">
        <ns0:v>2.5</ns0:v>
      </ns0:c>
      <ns0:c r="G176" s="192" t="n">
        <ns0:v>2.48</ns0:v>
      </ns0:c>
      <ns0:c r="H176" s="192" t="n">
        <ns0:v>2.5</ns0:v>
      </ns0:c>
      <ns0:c r="I176" s="193" t="n">
        <ns0:v>2.49</ns0:v>
      </ns0:c>
      <ns0:c r="J176" s="199" t="n">
        <ns0:v>2.52</ns0:v>
      </ns0:c>
      <ns0:c r="K176" s="82" t="n">
        <ns0:v>2.51</ns0:v>
      </ns0:c>
      <ns0:c r="L176" s="82" t="n">
        <ns0:v>2.52</ns0:v>
      </ns0:c>
      <ns0:c r="M176" s="192" t="n">
        <ns0:v>2.51</ns0:v>
      </ns0:c>
      <ns0:c r="N176" s="192" t="n">
        <ns0:v>2.52</ns0:v>
      </ns0:c>
      <ns0:c r="O176" s="193" t="n">
        <ns0:v>2.515</ns0:v>
      </ns0:c>
      <ns0:c r="P176" s="191" t="n">
        <ns0:v>-0.0299999999999998</ns0:v>
      </ns0:c>
      <ns0:c r="Q176" s="200" t="n">
        <ns0:v>-0.02000000000000002</ns0:v>
      </ns0:c>
      <ns0:c r="R176" s="200" t="n">
        <ns0:v>-0.02499999999999947</ns0:v>
      </ns0:c>
    </ns0:row>
    <ns0:row r="177" ht="17.25" customHeight="1">
      <ns0:c r="B177" s="201" t="n"/>
      <ns0:c r="C177" s="202" t="n">
        <ns0:v>5</ns0:v>
      </ns0:c>
      <ns0:c r="D177" s="202" t="n">
        <ns0:v>2.5</ns0:v>
      </ns0:c>
      <ns0:c r="E177" s="202" t="n">
        <ns0:v>2.48</ns0:v>
      </ns0:c>
      <ns0:c r="F177" s="202" t="n">
        <ns0:v>2.5</ns0:v>
      </ns0:c>
      <ns0:c r="G177" s="203" t="n">
        <ns0:v>2.48</ns0:v>
      </ns0:c>
      <ns0:c r="H177" s="203" t="n">
        <ns0:v>2.5</ns0:v>
      </ns0:c>
      <ns0:c r="I177" s="204" t="n">
        <ns0:v>2.49</ns0:v>
      </ns0:c>
      <ns0:c r="J177" s="205" t="n">
        <ns0:v>2.52</ns0:v>
      </ns0:c>
      <ns0:c r="K177" s="202" t="n">
        <ns0:v>2.51</ns0:v>
      </ns0:c>
      <ns0:c r="L177" s="202" t="n">
        <ns0:v>2.53</ns0:v>
      </ns0:c>
      <ns0:c r="M177" s="203" t="n">
        <ns0:v>2.51</ns0:v>
      </ns0:c>
      <ns0:c r="N177" s="203" t="n">
        <ns0:v>2.53</ns0:v>
      </ns0:c>
      <ns0:c r="O177" s="204" t="n">
        <ns0:v>2.52</ns0:v>
      </ns0:c>
      <ns0:c r="P177" s="206" t="n">
        <ns0:v>-0.0299999999999998</ns0:v>
      </ns0:c>
      <ns0:c r="Q177" s="207" t="n">
        <ns0:v>-0.0299999999999998</ns0:v>
      </ns0:c>
      <ns0:c r="R177" s="207" t="n">
        <ns0:v>-0.02999999999999936</ns0:v>
      </ns0:c>
    </ns0:row>
    <ns0:row r="178" ht="17.25" customHeight="1">
      <ns0:c r="B178" s="215" t="inlineStr">
        <ns0:is>
          <ns0:t>Lot Frame
NG very high</ns0:t>
        </ns0:is>
      </ns0:c>
      <ns0:c r="C178" s="216" t="n">
        <ns0:v>1</ns0:v>
      </ns0:c>
      <ns0:c r="D178" s="216" t="n">
        <ns0:v>2.46</ns0:v>
      </ns0:c>
      <ns0:c r="E178" s="216" t="n">
        <ns0:v>2.44</ns0:v>
      </ns0:c>
      <ns0:c r="F178" s="216" t="n">
        <ns0:v>2.46</ns0:v>
      </ns0:c>
      <ns0:c r="G178" s="217" t="n">
        <ns0:v>2.44</ns0:v>
      </ns0:c>
      <ns0:c r="H178" s="217" t="n">
        <ns0:v>2.46</ns0:v>
      </ns0:c>
      <ns0:c r="I178" s="218" t="n">
        <ns0:v>2.45</ns0:v>
      </ns0:c>
      <ns0:c r="J178" s="219" t="n">
        <ns0:v>2.51</ns0:v>
      </ns0:c>
      <ns0:c r="K178" s="216" t="n">
        <ns0:v>2.5</ns0:v>
      </ns0:c>
      <ns0:c r="L178" s="216" t="n">
        <ns0:v>2.52</ns0:v>
      </ns0:c>
      <ns0:c r="M178" s="217" t="n">
        <ns0:v>2.5</ns0:v>
      </ns0:c>
      <ns0:c r="N178" s="217" t="n">
        <ns0:v>2.52</ns0:v>
      </ns0:c>
      <ns0:c r="O178" s="218" t="n">
        <ns0:v>2.51</ns0:v>
      </ns0:c>
      <ns0:c r="P178" s="220" t="n">
        <ns0:v>-0.06000000000000005</ns0:v>
      </ns0:c>
      <ns0:c r="Q178" s="221" t="n">
        <ns0:v>-0.06000000000000005</ns0:v>
      </ns0:c>
      <ns0:c r="R178" s="221" t="n">
        <ns0:v>-0.05999999999999961</ns0:v>
      </ns0:c>
    </ns0:row>
    <ns0:row r="179">
      <ns0:c r="B179" s="58" t="n"/>
      <ns0:c r="C179" s="82" t="n">
        <ns0:v>2</ns0:v>
      </ns0:c>
      <ns0:c r="D179" s="82" t="n">
        <ns0:v>2.47</ns0:v>
      </ns0:c>
      <ns0:c r="E179" s="82" t="n">
        <ns0:v>2.45</ns0:v>
      </ns0:c>
      <ns0:c r="F179" s="82" t="n">
        <ns0:v>2.47</ns0:v>
      </ns0:c>
      <ns0:c r="G179" s="192" t="n">
        <ns0:v>2.45</ns0:v>
      </ns0:c>
      <ns0:c r="H179" s="192" t="n">
        <ns0:v>2.47</ns0:v>
      </ns0:c>
      <ns0:c r="I179" s="193" t="n">
        <ns0:v>2.46</ns0:v>
      </ns0:c>
      <ns0:c r="J179" s="199" t="n">
        <ns0:v>2.51</ns0:v>
      </ns0:c>
      <ns0:c r="K179" s="82" t="n">
        <ns0:v>2.5</ns0:v>
      </ns0:c>
      <ns0:c r="L179" s="82" t="n">
        <ns0:v>2.51</ns0:v>
      </ns0:c>
      <ns0:c r="M179" s="192" t="n">
        <ns0:v>2.5</ns0:v>
      </ns0:c>
      <ns0:c r="N179" s="192" t="n">
        <ns0:v>2.51</ns0:v>
      </ns0:c>
      <ns0:c r="O179" s="193" t="n">
        <ns0:v>2.505</ns0:v>
      </ns0:c>
      <ns0:c r="P179" s="191" t="n">
        <ns0:v>-0.04999999999999982</ns0:v>
      </ns0:c>
      <ns0:c r="Q179" s="200" t="n">
        <ns0:v>-0.03999999999999959</ns0:v>
      </ns0:c>
      <ns0:c r="R179" s="200" t="n">
        <ns0:v>-0.04499999999999993</ns0:v>
      </ns0:c>
    </ns0:row>
    <ns0:row r="180">
      <ns0:c r="B180" s="58" t="n"/>
      <ns0:c r="C180" s="82" t="n">
        <ns0:v>3</ns0:v>
      </ns0:c>
      <ns0:c r="D180" s="82" t="n">
        <ns0:v>2.51</ns0:v>
      </ns0:c>
      <ns0:c r="E180" s="82" t="n">
        <ns0:v>2.49</ns0:v>
      </ns0:c>
      <ns0:c r="F180" s="82" t="n">
        <ns0:v>2.5</ns0:v>
      </ns0:c>
      <ns0:c r="G180" s="192" t="n">
        <ns0:v>2.49</ns0:v>
      </ns0:c>
      <ns0:c r="H180" s="192" t="n">
        <ns0:v>2.51</ns0:v>
      </ns0:c>
      <ns0:c r="I180" s="193" t="n">
        <ns0:v>2.5</ns0:v>
      </ns0:c>
      <ns0:c r="J180" s="199" t="n">
        <ns0:v>2.47</ns0:v>
      </ns0:c>
      <ns0:c r="K180" s="82" t="n">
        <ns0:v>2.46</ns0:v>
      </ns0:c>
      <ns0:c r="L180" s="82" t="n">
        <ns0:v>2.48</ns0:v>
      </ns0:c>
      <ns0:c r="M180" s="192" t="n">
        <ns0:v>2.46</ns0:v>
      </ns0:c>
      <ns0:c r="N180" s="192" t="n">
        <ns0:v>2.48</ns0:v>
      </ns0:c>
      <ns0:c r="O180" s="193" t="n">
        <ns0:v>2.47</ns0:v>
      </ns0:c>
      <ns0:c r="P180" s="191" t="n">
        <ns0:v>0.03000000000000025</ns0:v>
      </ns0:c>
      <ns0:c r="Q180" s="200" t="n">
        <ns0:v>0.0299999999999998</ns0:v>
      </ns0:c>
      <ns0:c r="R180" s="200" t="n">
        <ns0:v>0.03000000000000025</ns0:v>
      </ns0:c>
    </ns0:row>
    <ns0:row r="181">
      <ns0:c r="B181" s="58" t="n"/>
      <ns0:c r="C181" s="82" t="n">
        <ns0:v>4</ns0:v>
      </ns0:c>
      <ns0:c r="D181" s="82" t="n">
        <ns0:v>2.46</ns0:v>
      </ns0:c>
      <ns0:c r="E181" s="82" t="n">
        <ns0:v>2.45</ns0:v>
      </ns0:c>
      <ns0:c r="F181" s="82" t="n">
        <ns0:v>2.47</ns0:v>
      </ns0:c>
      <ns0:c r="G181" s="192" t="n">
        <ns0:v>2.45</ns0:v>
      </ns0:c>
      <ns0:c r="H181" s="192" t="n">
        <ns0:v>2.47</ns0:v>
      </ns0:c>
      <ns0:c r="I181" s="193" t="n">
        <ns0:v>2.46</ns0:v>
      </ns0:c>
      <ns0:c r="J181" s="199" t="n">
        <ns0:v>2.51</ns0:v>
      </ns0:c>
      <ns0:c r="K181" s="82" t="n">
        <ns0:v>2.5</ns0:v>
      </ns0:c>
      <ns0:c r="L181" s="82" t="n">
        <ns0:v>2.51</ns0:v>
      </ns0:c>
      <ns0:c r="M181" s="192" t="n">
        <ns0:v>2.5</ns0:v>
      </ns0:c>
      <ns0:c r="N181" s="192" t="n">
        <ns0:v>2.51</ns0:v>
      </ns0:c>
      <ns0:c r="O181" s="193" t="n">
        <ns0:v>2.505</ns0:v>
      </ns0:c>
      <ns0:c r="P181" s="191" t="n">
        <ns0:v>-0.04999999999999982</ns0:v>
      </ns0:c>
      <ns0:c r="Q181" s="200" t="n">
        <ns0:v>-0.03999999999999959</ns0:v>
      </ns0:c>
      <ns0:c r="R181" s="200" t="n">
        <ns0:v>-0.04499999999999993</ns0:v>
      </ns0:c>
    </ns0:row>
    <ns0:row r="182">
      <ns0:c r="B182" s="48" t="n"/>
      <ns0:c r="C182" s="82" t="n">
        <ns0:v>5</ns0:v>
      </ns0:c>
      <ns0:c r="D182" s="82" t="n">
        <ns0:v>2.51</ns0:v>
      </ns0:c>
      <ns0:c r="E182" s="82" t="n">
        <ns0:v>2.5</ns0:v>
      </ns0:c>
      <ns0:c r="F182" s="82" t="n">
        <ns0:v>2.52</ns0:v>
      </ns0:c>
      <ns0:c r="G182" s="192" t="n">
        <ns0:v>2.5</ns0:v>
      </ns0:c>
      <ns0:c r="H182" s="192" t="n">
        <ns0:v>2.52</ns0:v>
      </ns0:c>
      <ns0:c r="I182" s="193" t="n">
        <ns0:v>2.51</ns0:v>
      </ns0:c>
      <ns0:c r="J182" s="199" t="n">
        <ns0:v>2.47</ns0:v>
      </ns0:c>
      <ns0:c r="K182" s="82" t="n">
        <ns0:v>2.44</ns0:v>
      </ns0:c>
      <ns0:c r="L182" s="82" t="n">
        <ns0:v>2.47</ns0:v>
      </ns0:c>
      <ns0:c r="M182" s="192" t="n">
        <ns0:v>2.44</ns0:v>
      </ns0:c>
      <ns0:c r="N182" s="192" t="n">
        <ns0:v>2.47</ns0:v>
      </ns0:c>
      <ns0:c r="O182" s="193" t="n">
        <ns0:v>2.455</ns0:v>
      </ns0:c>
      <ns0:c r="P182" s="191" t="n">
        <ns0:v>0.06000000000000005</ns0:v>
      </ns0:c>
      <ns0:c r="Q182" s="200" t="n">
        <ns0:v>0.04999999999999982</ns0:v>
      </ns0:c>
      <ns0:c r="R182" s="200" t="n">
        <ns0:v>0.05499999999999972</ns0:v>
      </ns0:c>
    </ns0:row>
    <ns0:row r="207">
      <ns0:c r="B207" s="189" t="inlineStr">
        <ns0:is>
          <ns0:t>Type</ns0:t>
        </ns0:is>
      </ns0:c>
      <ns0:c r="C207" s="222" t="inlineStr">
        <ns0:is>
          <ns0:t>Sample</ns0:t>
        </ns0:is>
      </ns0:c>
      <ns0:c r="D207" s="190" t="inlineStr">
        <ns0:is>
          <ns0:t>Dimension</ns0:t>
        </ns0:is>
      </ns0:c>
      <ns0:c r="E207" s="23" t="n"/>
      <ns0:c r="F207" s="23" t="n"/>
      <ns0:c r="G207" s="23" t="n"/>
      <ns0:c r="H207" s="23" t="n"/>
      <ns0:c r="I207" s="23" t="n"/>
      <ns0:c r="J207" s="23" t="n"/>
      <ns0:c r="K207" s="23" t="n"/>
      <ns0:c r="L207" s="23" t="n"/>
      <ns0:c r="M207" s="23" t="n"/>
      <ns0:c r="N207" s="23" t="n"/>
      <ns0:c r="O207" s="159" t="n"/>
      <ns0:c r="P207" s="191" t="inlineStr">
        <ns0:is>
          <ns0:t>Gap</ns0:t>
        </ns0:is>
      </ns0:c>
      <ns0:c r="Q207" s="23" t="n"/>
      <ns0:c r="R207" s="47" t="n"/>
    </ns0:row>
    <ns0:row r="208">
      <ns0:c r="B208" s="48" t="n"/>
      <ns0:c r="C208" s="222" t="n"/>
      <ns0:c r="D208" s="189" t="inlineStr">
        <ns0:is>
          <ns0:t>#3-1</ns0:t>
        </ns0:is>
      </ns0:c>
      <ns0:c r="E208" s="189" t="inlineStr">
        <ns0:is>
          <ns0:t>#3-2</ns0:t>
        </ns0:is>
      </ns0:c>
      <ns0:c r="F208" s="189" t="inlineStr">
        <ns0:is>
          <ns0:t>#3-3</ns0:t>
        </ns0:is>
      </ns0:c>
      <ns0:c r="G208" s="192" t="inlineStr">
        <ns0:is>
          <ns0:t>MIN #3</ns0:t>
        </ns0:is>
      </ns0:c>
      <ns0:c r="H208" s="192" t="inlineStr">
        <ns0:is>
          <ns0:t>MAX #3</ns0:t>
        </ns0:is>
      </ns0:c>
      <ns0:c r="I208" s="193" t="inlineStr">
        <ns0:is>
          <ns0:t>AVG #3</ns0:t>
        </ns0:is>
      </ns0:c>
      <ns0:c r="J208" s="194" t="inlineStr">
        <ns0:is>
          <ns0:t>#4-1</ns0:t>
        </ns0:is>
      </ns0:c>
      <ns0:c r="K208" s="189" t="inlineStr">
        <ns0:is>
          <ns0:t>#4-2</ns0:t>
        </ns0:is>
      </ns0:c>
      <ns0:c r="L208" s="189" t="inlineStr">
        <ns0:is>
          <ns0:t>#4-3</ns0:t>
        </ns0:is>
      </ns0:c>
      <ns0:c r="M208" s="195" t="inlineStr">
        <ns0:is>
          <ns0:t>MIN #4</ns0:t>
        </ns0:is>
      </ns0:c>
      <ns0:c r="N208" s="192" t="inlineStr">
        <ns0:is>
          <ns0:t>MAX #4</ns0:t>
        </ns0:is>
      </ns0:c>
      <ns0:c r="O208" s="193" t="inlineStr">
        <ns0:is>
          <ns0:t>AVG #4</ns0:t>
        </ns0:is>
      </ns0:c>
      <ns0:c r="P208" s="196" t="inlineStr">
        <ns0:is>
          <ns0:t>MIN #3-#4</ns0:t>
        </ns0:is>
      </ns0:c>
      <ns0:c r="Q208" s="197" t="inlineStr">
        <ns0:is>
          <ns0:t>MAX #3-#4</ns0:t>
        </ns0:is>
      </ns0:c>
      <ns0:c r="R208" s="197" t="inlineStr">
        <ns0:is>
          <ns0:t>AVG #3-#4</ns0:t>
        </ns0:is>
      </ns0:c>
    </ns0:row>
    <ns0:row r="209">
      <ns0:c r="B209" s="198" t="inlineStr">
        <ns0:is>
          <ns0:t>Old Frame
Lot: 2023-10-28</ns0:t>
        </ns0:is>
      </ns0:c>
      <ns0:c r="C209" s="82" t="inlineStr">
        <ns0:is>
          <ns0:t>O1</ns0:t>
        </ns0:is>
      </ns0:c>
      <ns0:c r="D209" s="82" t="n">
        <ns0:v>2.51</ns0:v>
      </ns0:c>
      <ns0:c r="E209" s="82" t="n">
        <ns0:v>2.5</ns0:v>
      </ns0:c>
      <ns0:c r="F209" s="82" t="n">
        <ns0:v>2.5</ns0:v>
      </ns0:c>
      <ns0:c r="G209" s="192" t="n">
        <ns0:v>2.5</ns0:v>
      </ns0:c>
      <ns0:c r="H209" s="192" t="n">
        <ns0:v>2.51</ns0:v>
      </ns0:c>
      <ns0:c r="I209" s="193" t="n">
        <ns0:v>2.505</ns0:v>
      </ns0:c>
      <ns0:c r="J209" s="199" t="n">
        <ns0:v>2.51</ns0:v>
      </ns0:c>
      <ns0:c r="K209" s="82" t="n">
        <ns0:v>2.5</ns0:v>
      </ns0:c>
      <ns0:c r="L209" s="82" t="n">
        <ns0:v>2.5</ns0:v>
      </ns0:c>
      <ns0:c r="M209" s="192" t="n">
        <ns0:v>2.5</ns0:v>
      </ns0:c>
      <ns0:c r="N209" s="192" t="n">
        <ns0:v>2.51</ns0:v>
      </ns0:c>
      <ns0:c r="O209" s="193" t="n">
        <ns0:v>2.505</ns0:v>
      </ns0:c>
      <ns0:c r="P209" s="191" t="n">
        <ns0:v>0</ns0:v>
      </ns0:c>
      <ns0:c r="Q209" s="200" t="n">
        <ns0:v>0</ns0:v>
      </ns0:c>
      <ns0:c r="R209" s="200" t="n">
        <ns0:v>0</ns0:v>
      </ns0:c>
    </ns0:row>
    <ns0:row r="210">
      <ns0:c r="B210" s="58" t="n"/>
      <ns0:c r="C210" s="82" t="inlineStr">
        <ns0:is>
          <ns0:t>O2</ns0:t>
        </ns0:is>
      </ns0:c>
      <ns0:c r="D210" s="82" t="n">
        <ns0:v>2.51</ns0:v>
      </ns0:c>
      <ns0:c r="E210" s="82" t="n">
        <ns0:v>2.51</ns0:v>
      </ns0:c>
      <ns0:c r="F210" s="82" t="n">
        <ns0:v>2.51</ns0:v>
      </ns0:c>
      <ns0:c r="G210" s="192" t="n">
        <ns0:v>2.51</ns0:v>
      </ns0:c>
      <ns0:c r="H210" s="192" t="n">
        <ns0:v>2.51</ns0:v>
      </ns0:c>
      <ns0:c r="I210" s="193" t="n">
        <ns0:v>2.51</ns0:v>
      </ns0:c>
      <ns0:c r="J210" s="199" t="n">
        <ns0:v>2.52</ns0:v>
      </ns0:c>
      <ns0:c r="K210" s="82" t="n">
        <ns0:v>2.5</ns0:v>
      </ns0:c>
      <ns0:c r="L210" s="82" t="n">
        <ns0:v>2.51</ns0:v>
      </ns0:c>
      <ns0:c r="M210" s="192" t="n">
        <ns0:v>2.5</ns0:v>
      </ns0:c>
      <ns0:c r="N210" s="192" t="n">
        <ns0:v>2.52</ns0:v>
      </ns0:c>
      <ns0:c r="O210" s="193" t="n">
        <ns0:v>2.51</ns0:v>
      </ns0:c>
      <ns0:c r="P210" s="191" t="n">
        <ns0:v>0.01000000000000023</ns0:v>
      </ns0:c>
      <ns0:c r="Q210" s="200" t="n">
        <ns0:v>-0.009999999999999787</ns0:v>
      </ns0:c>
      <ns0:c r="R210" s="200" t="n">
        <ns0:v>0</ns0:v>
      </ns0:c>
    </ns0:row>
    <ns0:row r="211">
      <ns0:c r="B211" s="58" t="n"/>
      <ns0:c r="C211" s="82" t="inlineStr">
        <ns0:is>
          <ns0:t>O3</ns0:t>
        </ns0:is>
      </ns0:c>
      <ns0:c r="D211" s="82" t="n">
        <ns0:v>2.51</ns0:v>
      </ns0:c>
      <ns0:c r="E211" s="82" t="n">
        <ns0:v>2.5</ns0:v>
      </ns0:c>
      <ns0:c r="F211" s="82" t="n">
        <ns0:v>2.5</ns0:v>
      </ns0:c>
      <ns0:c r="G211" s="192" t="n">
        <ns0:v>2.5</ns0:v>
      </ns0:c>
      <ns0:c r="H211" s="192" t="n">
        <ns0:v>2.51</ns0:v>
      </ns0:c>
      <ns0:c r="I211" s="193" t="n">
        <ns0:v>2.505</ns0:v>
      </ns0:c>
      <ns0:c r="J211" s="199" t="n">
        <ns0:v>2.52</ns0:v>
      </ns0:c>
      <ns0:c r="K211" s="82" t="n">
        <ns0:v>2.5</ns0:v>
      </ns0:c>
      <ns0:c r="L211" s="82" t="n">
        <ns0:v>2.5</ns0:v>
      </ns0:c>
      <ns0:c r="M211" s="192" t="n">
        <ns0:v>2.5</ns0:v>
      </ns0:c>
      <ns0:c r="N211" s="192" t="n">
        <ns0:v>2.52</ns0:v>
      </ns0:c>
      <ns0:c r="O211" s="193" t="n">
        <ns0:v>2.51</ns0:v>
      </ns0:c>
      <ns0:c r="P211" s="191" t="n">
        <ns0:v>0</ns0:v>
      </ns0:c>
      <ns0:c r="Q211" s="200" t="n">
        <ns0:v>-0.009999999999999787</ns0:v>
      </ns0:c>
      <ns0:c r="R211" s="200" t="n">
        <ns0:v>-0.004999999999999893</ns0:v>
      </ns0:c>
    </ns0:row>
    <ns0:row r="212">
      <ns0:c r="B212" s="58" t="n"/>
      <ns0:c r="C212" s="82" t="inlineStr">
        <ns0:is>
          <ns0:t>O4</ns0:t>
        </ns0:is>
      </ns0:c>
      <ns0:c r="D212" s="82" t="n">
        <ns0:v>2.48</ns0:v>
      </ns0:c>
      <ns0:c r="E212" s="82" t="n">
        <ns0:v>2.5</ns0:v>
      </ns0:c>
      <ns0:c r="F212" s="82" t="n">
        <ns0:v>2.51</ns0:v>
      </ns0:c>
      <ns0:c r="G212" s="192" t="n">
        <ns0:v>2.48</ns0:v>
      </ns0:c>
      <ns0:c r="H212" s="192" t="n">
        <ns0:v>2.51</ns0:v>
      </ns0:c>
      <ns0:c r="I212" s="193" t="n">
        <ns0:v>2.495</ns0:v>
      </ns0:c>
      <ns0:c r="J212" s="199" t="n">
        <ns0:v>2.51</ns0:v>
      </ns0:c>
      <ns0:c r="K212" s="82" t="n">
        <ns0:v>2.51</ns0:v>
      </ns0:c>
      <ns0:c r="L212" s="82" t="n">
        <ns0:v>2.49</ns0:v>
      </ns0:c>
      <ns0:c r="M212" s="192" t="n">
        <ns0:v>2.49</ns0:v>
      </ns0:c>
      <ns0:c r="N212" s="192" t="n">
        <ns0:v>2.51</ns0:v>
      </ns0:c>
      <ns0:c r="O212" s="193" t="n">
        <ns0:v>2.5</ns0:v>
      </ns0:c>
      <ns0:c r="P212" s="191" t="n">
        <ns0:v>-0.01000000000000023</ns0:v>
      </ns0:c>
      <ns0:c r="Q212" s="200" t="n">
        <ns0:v>0</ns0:v>
      </ns0:c>
      <ns0:c r="R212" s="200" t="n">
        <ns0:v>-0.004999999999999893</ns0:v>
      </ns0:c>
    </ns0:row>
    <ns0:row r="213" ht="17.25" customHeight="1">
      <ns0:c r="B213" s="201" t="n"/>
      <ns0:c r="C213" s="202" t="inlineStr">
        <ns0:is>
          <ns0:t>O5</ns0:t>
        </ns0:is>
      </ns0:c>
      <ns0:c r="D213" s="202" t="n">
        <ns0:v>2.52</ns0:v>
      </ns0:c>
      <ns0:c r="E213" s="202" t="n">
        <ns0:v>2.51</ns0:v>
      </ns0:c>
      <ns0:c r="F213" s="202" t="n">
        <ns0:v>2.49</ns0:v>
      </ns0:c>
      <ns0:c r="G213" s="203" t="n">
        <ns0:v>2.49</ns0:v>
      </ns0:c>
      <ns0:c r="H213" s="203" t="n">
        <ns0:v>2.52</ns0:v>
      </ns0:c>
      <ns0:c r="I213" s="204" t="n">
        <ns0:v>2.505</ns0:v>
      </ns0:c>
      <ns0:c r="J213" s="205" t="n">
        <ns0:v>2.51</ns0:v>
      </ns0:c>
      <ns0:c r="K213" s="202" t="n">
        <ns0:v>2.51</ns0:v>
      </ns0:c>
      <ns0:c r="L213" s="202" t="n">
        <ns0:v>2.51</ns0:v>
      </ns0:c>
      <ns0:c r="M213" s="203" t="n">
        <ns0:v>2.51</ns0:v>
      </ns0:c>
      <ns0:c r="N213" s="203" t="n">
        <ns0:v>2.51</ns0:v>
      </ns0:c>
      <ns0:c r="O213" s="204" t="n">
        <ns0:v>2.51</ns0:v>
      </ns0:c>
      <ns0:c r="P213" s="206" t="n">
        <ns0:v>-0.02000000000000002</ns0:v>
      </ns0:c>
      <ns0:c r="Q213" s="207" t="n">
        <ns0:v>0.009999999999999787</ns0:v>
      </ns0:c>
      <ns0:c r="R213" s="207" t="n">
        <ns0:v>-0.005000000000000338</ns0:v>
      </ns0:c>
    </ns0:row>
    <ns0:row r="214" ht="17.25" customHeight="1">
      <ns0:c r="B214" s="208" t="inlineStr">
        <ns0:is>
          <ns0:t>Now Frame
Lot: 2024-06-25</ns0:t>
        </ns0:is>
      </ns0:c>
      <ns0:c r="C214" s="209" t="inlineStr">
        <ns0:is>
          <ns0:t>N1</ns0:t>
        </ns0:is>
      </ns0:c>
      <ns0:c r="D214" s="209" t="n">
        <ns0:v>2.51</ns0:v>
      </ns0:c>
      <ns0:c r="E214" s="209" t="n">
        <ns0:v>2.49</ns0:v>
      </ns0:c>
      <ns0:c r="F214" s="209" t="n">
        <ns0:v>2.5</ns0:v>
      </ns0:c>
      <ns0:c r="G214" s="210" t="n">
        <ns0:v>2.49</ns0:v>
      </ns0:c>
      <ns0:c r="H214" s="210" t="n">
        <ns0:v>2.51</ns0:v>
      </ns0:c>
      <ns0:c r="I214" s="211" t="n">
        <ns0:v>2.5</ns0:v>
      </ns0:c>
      <ns0:c r="J214" s="212" t="n">
        <ns0:v>2.53</ns0:v>
      </ns0:c>
      <ns0:c r="K214" s="209" t="n">
        <ns0:v>2.51</ns0:v>
      </ns0:c>
      <ns0:c r="L214" s="209" t="n">
        <ns0:v>2.52</ns0:v>
      </ns0:c>
      <ns0:c r="M214" s="210" t="n">
        <ns0:v>2.51</ns0:v>
      </ns0:c>
      <ns0:c r="N214" s="210" t="n">
        <ns0:v>2.53</ns0:v>
      </ns0:c>
      <ns0:c r="O214" s="211" t="n">
        <ns0:v>2.52</ns0:v>
      </ns0:c>
      <ns0:c r="P214" s="213" t="n">
        <ns0:v>-0.02000000000000002</ns0:v>
      </ns0:c>
      <ns0:c r="Q214" s="214" t="n">
        <ns0:v>-0.02000000000000002</ns0:v>
      </ns0:c>
      <ns0:c r="R214" s="214" t="n">
        <ns0:v>-0.02000000000000046</ns0:v>
      </ns0:c>
    </ns0:row>
    <ns0:row r="215">
      <ns0:c r="B215" s="58" t="n"/>
      <ns0:c r="C215" s="82" t="inlineStr">
        <ns0:is>
          <ns0:t>N2</ns0:t>
        </ns0:is>
      </ns0:c>
      <ns0:c r="D215" s="82" t="n">
        <ns0:v>2.54</ns0:v>
      </ns0:c>
      <ns0:c r="E215" s="82" t="n">
        <ns0:v>2.51</ns0:v>
      </ns0:c>
      <ns0:c r="F215" s="82" t="n">
        <ns0:v>2.52</ns0:v>
      </ns0:c>
      <ns0:c r="G215" s="192" t="n">
        <ns0:v>2.51</ns0:v>
      </ns0:c>
      <ns0:c r="H215" s="192" t="n">
        <ns0:v>2.54</ns0:v>
      </ns0:c>
      <ns0:c r="I215" s="193" t="n">
        <ns0:v>2.525</ns0:v>
      </ns0:c>
      <ns0:c r="J215" s="199" t="n">
        <ns0:v>2.51</ns0:v>
      </ns0:c>
      <ns0:c r="K215" s="82" t="n">
        <ns0:v>2.48</ns0:v>
      </ns0:c>
      <ns0:c r="L215" s="82" t="n">
        <ns0:v>2.5</ns0:v>
      </ns0:c>
      <ns0:c r="M215" s="192" t="n">
        <ns0:v>2.48</ns0:v>
      </ns0:c>
      <ns0:c r="N215" s="192" t="n">
        <ns0:v>2.51</ns0:v>
      </ns0:c>
      <ns0:c r="O215" s="193" t="n">
        <ns0:v>2.495</ns0:v>
      </ns0:c>
      <ns0:c r="P215" s="191" t="n">
        <ns0:v>0.03000000000000025</ns0:v>
      </ns0:c>
      <ns0:c r="Q215" s="200" t="n">
        <ns0:v>0.0299999999999998</ns0:v>
      </ns0:c>
      <ns0:c r="R215" s="200" t="n">
        <ns0:v>0.03000000000000025</ns0:v>
      </ns0:c>
    </ns0:row>
    <ns0:row r="216">
      <ns0:c r="B216" s="58" t="n"/>
      <ns0:c r="C216" s="82" t="inlineStr">
        <ns0:is>
          <ns0:t>N3</ns0:t>
        </ns0:is>
      </ns0:c>
      <ns0:c r="D216" s="82" t="n">
        <ns0:v>2.55</ns0:v>
      </ns0:c>
      <ns0:c r="E216" s="82" t="n">
        <ns0:v>2.53</ns0:v>
      </ns0:c>
      <ns0:c r="F216" s="82" t="n">
        <ns0:v>2.53</ns0:v>
      </ns0:c>
      <ns0:c r="G216" s="192" t="n">
        <ns0:v>2.53</ns0:v>
      </ns0:c>
      <ns0:c r="H216" s="192" t="n">
        <ns0:v>2.55</ns0:v>
      </ns0:c>
      <ns0:c r="I216" s="193" t="n">
        <ns0:v>2.54</ns0:v>
      </ns0:c>
      <ns0:c r="J216" s="199" t="n">
        <ns0:v>2.48</ns0:v>
      </ns0:c>
      <ns0:c r="K216" s="82" t="n">
        <ns0:v>2.52</ns0:v>
      </ns0:c>
      <ns0:c r="L216" s="82" t="n">
        <ns0:v>2.51</ns0:v>
      </ns0:c>
      <ns0:c r="M216" s="192" t="n">
        <ns0:v>2.48</ns0:v>
      </ns0:c>
      <ns0:c r="N216" s="192" t="n">
        <ns0:v>2.52</ns0:v>
      </ns0:c>
      <ns0:c r="O216" s="193" t="n">
        <ns0:v>2.5</ns0:v>
      </ns0:c>
      <ns0:c r="P216" s="191" t="n">
        <ns0:v>0.05000000000000027</ns0:v>
      </ns0:c>
      <ns0:c r="Q216" s="200" t="n">
        <ns0:v>0.03000000000000025</ns0:v>
      </ns0:c>
      <ns0:c r="R216" s="200" t="n">
        <ns0:v>0.04000000000000004</ns0:v>
      </ns0:c>
    </ns0:row>
    <ns0:row r="217">
      <ns0:c r="B217" s="58" t="n"/>
      <ns0:c r="C217" s="82" t="inlineStr">
        <ns0:is>
          <ns0:t>N4</ns0:t>
        </ns0:is>
      </ns0:c>
      <ns0:c r="D217" s="82" t="n">
        <ns0:v>2.55</ns0:v>
      </ns0:c>
      <ns0:c r="E217" s="82" t="n">
        <ns0:v>2.53</ns0:v>
      </ns0:c>
      <ns0:c r="F217" s="82" t="n">
        <ns0:v>2.55</ns0:v>
      </ns0:c>
      <ns0:c r="G217" s="192" t="n">
        <ns0:v>2.53</ns0:v>
      </ns0:c>
      <ns0:c r="H217" s="192" t="n">
        <ns0:v>2.55</ns0:v>
      </ns0:c>
      <ns0:c r="I217" s="193" t="n">
        <ns0:v>2.54</ns0:v>
      </ns0:c>
      <ns0:c r="J217" s="199" t="n">
        <ns0:v>2.48</ns0:v>
      </ns0:c>
      <ns0:c r="K217" s="82" t="n">
        <ns0:v>2.46</ns0:v>
      </ns0:c>
      <ns0:c r="L217" s="82" t="n">
        <ns0:v>2.49</ns0:v>
      </ns0:c>
      <ns0:c r="M217" s="192" t="n">
        <ns0:v>2.46</ns0:v>
      </ns0:c>
      <ns0:c r="N217" s="192" t="n">
        <ns0:v>2.49</ns0:v>
      </ns0:c>
      <ns0:c r="O217" s="193" t="n">
        <ns0:v>2.475</ns0:v>
      </ns0:c>
      <ns0:c r="P217" s="191" t="n">
        <ns0:v>0.07000000000000028</ns0:v>
      </ns0:c>
      <ns0:c r="Q217" s="200" t="n">
        <ns0:v>0.06000000000000005</ns0:v>
      </ns0:c>
      <ns0:c r="R217" s="200" t="n">
        <ns0:v>0.06499999999999995</ns0:v>
      </ns0:c>
    </ns0:row>
    <ns0:row r="218" ht="17.25" customHeight="1">
      <ns0:c r="B218" s="201" t="n"/>
      <ns0:c r="C218" s="202" t="inlineStr">
        <ns0:is>
          <ns0:t>N5</ns0:t>
        </ns0:is>
      </ns0:c>
      <ns0:c r="D218" s="202" t="n">
        <ns0:v>2.53</ns0:v>
      </ns0:c>
      <ns0:c r="E218" s="202" t="n">
        <ns0:v>2.51</ns0:v>
      </ns0:c>
      <ns0:c r="F218" s="202" t="n">
        <ns0:v>2.52</ns0:v>
      </ns0:c>
      <ns0:c r="G218" s="203" t="n">
        <ns0:v>2.51</ns0:v>
      </ns0:c>
      <ns0:c r="H218" s="203" t="n">
        <ns0:v>2.53</ns0:v>
      </ns0:c>
      <ns0:c r="I218" s="204" t="n">
        <ns0:v>2.52</ns0:v>
      </ns0:c>
      <ns0:c r="J218" s="205" t="n">
        <ns0:v>2.46</ns0:v>
      </ns0:c>
      <ns0:c r="K218" s="202" t="n">
        <ns0:v>2.46</ns0:v>
      </ns0:c>
      <ns0:c r="L218" s="202" t="n">
        <ns0:v>2.48</ns0:v>
      </ns0:c>
      <ns0:c r="M218" s="203" t="n">
        <ns0:v>2.46</ns0:v>
      </ns0:c>
      <ns0:c r="N218" s="203" t="n">
        <ns0:v>2.48</ns0:v>
      </ns0:c>
      <ns0:c r="O218" s="204" t="n">
        <ns0:v>2.47</ns0:v>
      </ns0:c>
      <ns0:c r="P218" s="206" t="n">
        <ns0:v>0.05000000000000027</ns0:v>
      </ns0:c>
      <ns0:c r="Q218" s="207" t="n">
        <ns0:v>0.05000000000000027</ns0:v>
      </ns0:c>
      <ns0:c r="R218" s="207" t="n">
        <ns0:v>0.05000000000000071</ns0:v>
      </ns0:c>
    </ns0:row>
    <ns0:row r="219" ht="17.25" customHeight="1">
      <ns0:c r="B219" s="215" t="inlineStr">
        <ns0:is>
          <ns0:t>Lot Frame
NG very high</ns0:t>
        </ns0:is>
      </ns0:c>
      <ns0:c r="C219" s="216" t="inlineStr">
        <ns0:is>
          <ns0:t>H1</ns0:t>
        </ns0:is>
      </ns0:c>
      <ns0:c r="D219" s="216" t="n">
        <ns0:v>2.54</ns0:v>
      </ns0:c>
      <ns0:c r="E219" s="216" t="n">
        <ns0:v>2.51</ns0:v>
      </ns0:c>
      <ns0:c r="F219" s="216" t="n">
        <ns0:v>2.53</ns0:v>
      </ns0:c>
      <ns0:c r="G219" s="217" t="n">
        <ns0:v>2.51</ns0:v>
      </ns0:c>
      <ns0:c r="H219" s="217" t="n">
        <ns0:v>2.54</ns0:v>
      </ns0:c>
      <ns0:c r="I219" s="218" t="n">
        <ns0:v>2.525</ns0:v>
      </ns0:c>
      <ns0:c r="J219" s="219" t="n">
        <ns0:v>2.48</ns0:v>
      </ns0:c>
      <ns0:c r="K219" s="216" t="n">
        <ns0:v>2.45</ns0:v>
      </ns0:c>
      <ns0:c r="L219" s="216" t="n">
        <ns0:v>2.48</ns0:v>
      </ns0:c>
      <ns0:c r="M219" s="217" t="n">
        <ns0:v>2.45</ns0:v>
      </ns0:c>
      <ns0:c r="N219" s="217" t="n">
        <ns0:v>2.48</ns0:v>
      </ns0:c>
      <ns0:c r="O219" s="218" t="n">
        <ns0:v>2.465</ns0:v>
      </ns0:c>
      <ns0:c r="P219" s="220" t="n">
        <ns0:v>0.06000000000000005</ns0:v>
      </ns0:c>
      <ns0:c r="Q219" s="221" t="n">
        <ns0:v>0.06000000000000005</ns0:v>
      </ns0:c>
      <ns0:c r="R219" s="221" t="n">
        <ns0:v>0.0600000000000005</ns0:v>
      </ns0:c>
    </ns0:row>
    <ns0:row r="220">
      <ns0:c r="B220" s="58" t="n"/>
      <ns0:c r="C220" s="82" t="inlineStr">
        <ns0:is>
          <ns0:t>H2</ns0:t>
        </ns0:is>
      </ns0:c>
      <ns0:c r="D220" s="82" t="n">
        <ns0:v>2.51</ns0:v>
      </ns0:c>
      <ns0:c r="E220" s="82" t="n">
        <ns0:v>2.49</ns0:v>
      </ns0:c>
      <ns0:c r="F220" s="82" t="n">
        <ns0:v>2.51</ns0:v>
      </ns0:c>
      <ns0:c r="G220" s="192" t="n">
        <ns0:v>2.49</ns0:v>
      </ns0:c>
      <ns0:c r="H220" s="192" t="n">
        <ns0:v>2.51</ns0:v>
      </ns0:c>
      <ns0:c r="I220" s="193" t="n">
        <ns0:v>2.5</ns0:v>
      </ns0:c>
      <ns0:c r="J220" s="199" t="n">
        <ns0:v>2.51</ns0:v>
      </ns0:c>
      <ns0:c r="K220" s="82" t="n">
        <ns0:v>2.49</ns0:v>
      </ns0:c>
      <ns0:c r="L220" s="82" t="n">
        <ns0:v>2.52</ns0:v>
      </ns0:c>
      <ns0:c r="M220" s="192" t="n">
        <ns0:v>2.49</ns0:v>
      </ns0:c>
      <ns0:c r="N220" s="192" t="n">
        <ns0:v>2.52</ns0:v>
      </ns0:c>
      <ns0:c r="O220" s="193" t="n">
        <ns0:v>2.505</ns0:v>
      </ns0:c>
      <ns0:c r="P220" s="191" t="n">
        <ns0:v>0</ns0:v>
      </ns0:c>
      <ns0:c r="Q220" s="200" t="n">
        <ns0:v>-0.009999999999999787</ns0:v>
      </ns0:c>
      <ns0:c r="R220" s="200" t="n">
        <ns0:v>-0.004999999999999893</ns0:v>
      </ns0:c>
    </ns0:row>
    <ns0:row r="221">
      <ns0:c r="B221" s="58" t="n"/>
      <ns0:c r="C221" s="82" t="inlineStr">
        <ns0:is>
          <ns0:t>H3</ns0:t>
        </ns0:is>
      </ns0:c>
      <ns0:c r="D221" s="82" t="n">
        <ns0:v>2.54</ns0:v>
      </ns0:c>
      <ns0:c r="E221" s="82" t="n">
        <ns0:v>2.51</ns0:v>
      </ns0:c>
      <ns0:c r="F221" s="82" t="n">
        <ns0:v>2.51</ns0:v>
      </ns0:c>
      <ns0:c r="G221" s="192" t="n">
        <ns0:v>2.51</ns0:v>
      </ns0:c>
      <ns0:c r="H221" s="192" t="n">
        <ns0:v>2.54</ns0:v>
      </ns0:c>
      <ns0:c r="I221" s="193" t="n">
        <ns0:v>2.525</ns0:v>
      </ns0:c>
      <ns0:c r="J221" s="199" t="n">
        <ns0:v>2.46</ns0:v>
      </ns0:c>
      <ns0:c r="K221" s="82" t="n">
        <ns0:v>2.44</ns0:v>
      </ns0:c>
      <ns0:c r="L221" s="82" t="n">
        <ns0:v>2.46</ns0:v>
      </ns0:c>
      <ns0:c r="M221" s="192" t="n">
        <ns0:v>2.44</ns0:v>
      </ns0:c>
      <ns0:c r="N221" s="192" t="n">
        <ns0:v>2.46</ns0:v>
      </ns0:c>
      <ns0:c r="O221" s="193" t="n">
        <ns0:v>2.45</ns0:v>
      </ns0:c>
      <ns0:c r="P221" s="191" t="n">
        <ns0:v>0.07000000000000028</ns0:v>
      </ns0:c>
      <ns0:c r="Q221" s="200" t="n">
        <ns0:v>0.08000000000000007</ns0:v>
      </ns0:c>
      <ns0:c r="R221" s="200" t="n">
        <ns0:v>0.07500000000000018</ns0:v>
      </ns0:c>
    </ns0:row>
    <ns0:row r="222">
      <ns0:c r="B222" s="58" t="n"/>
      <ns0:c r="C222" s="82" t="inlineStr">
        <ns0:is>
          <ns0:t>H4</ns0:t>
        </ns0:is>
      </ns0:c>
      <ns0:c r="D222" s="82" t="n">
        <ns0:v>2.44</ns0:v>
      </ns0:c>
      <ns0:c r="E222" s="82" t="n">
        <ns0:v>2.42</ns0:v>
      </ns0:c>
      <ns0:c r="F222" s="82" t="n">
        <ns0:v>2.46</ns0:v>
      </ns0:c>
      <ns0:c r="G222" s="192" t="n">
        <ns0:v>2.42</ns0:v>
      </ns0:c>
      <ns0:c r="H222" s="192" t="n">
        <ns0:v>2.46</ns0:v>
      </ns0:c>
      <ns0:c r="I222" s="193" t="n">
        <ns0:v>2.44</ns0:v>
      </ns0:c>
      <ns0:c r="J222" s="199" t="n">
        <ns0:v>2.53</ns0:v>
      </ns0:c>
      <ns0:c r="K222" s="82" t="n">
        <ns0:v>2.5</ns0:v>
      </ns0:c>
      <ns0:c r="L222" s="82" t="n">
        <ns0:v>2.51</ns0:v>
      </ns0:c>
      <ns0:c r="M222" s="192" t="n">
        <ns0:v>2.5</ns0:v>
      </ns0:c>
      <ns0:c r="N222" s="192" t="n">
        <ns0:v>2.53</ns0:v>
      </ns0:c>
      <ns0:c r="O222" s="193" t="n">
        <ns0:v>2.515</ns0:v>
      </ns0:c>
      <ns0:c r="P222" s="191" t="n">
        <ns0:v>-0.08000000000000007</ns0:v>
      </ns0:c>
      <ns0:c r="Q222" s="200" t="n">
        <ns0:v>-0.07000000000000028</ns0:v>
      </ns0:c>
      <ns0:c r="R222" s="200" t="n">
        <ns0:v>-0.07500000000000018</ns0:v>
      </ns0:c>
    </ns0:row>
    <ns0:row r="223">
      <ns0:c r="B223" s="48" t="n"/>
      <ns0:c r="C223" s="82" t="inlineStr">
        <ns0:is>
          <ns0:t>H5</ns0:t>
        </ns0:is>
      </ns0:c>
      <ns0:c r="D223" s="82" t="n">
        <ns0:v>2.48</ns0:v>
      </ns0:c>
      <ns0:c r="E223" s="82" t="n">
        <ns0:v>2.43</ns0:v>
      </ns0:c>
      <ns0:c r="F223" s="82" t="n">
        <ns0:v>2.44</ns0:v>
      </ns0:c>
      <ns0:c r="G223" s="192" t="n">
        <ns0:v>2.43</ns0:v>
      </ns0:c>
      <ns0:c r="H223" s="192" t="n">
        <ns0:v>2.48</ns0:v>
      </ns0:c>
      <ns0:c r="I223" s="193" t="n">
        <ns0:v>2.455</ns0:v>
      </ns0:c>
      <ns0:c r="J223" s="199" t="n">
        <ns0:v>2.55</ns0:v>
      </ns0:c>
      <ns0:c r="K223" s="82" t="n">
        <ns0:v>2.5</ns0:v>
      </ns0:c>
      <ns0:c r="L223" s="82" t="n">
        <ns0:v>2.53</ns0:v>
      </ns0:c>
      <ns0:c r="M223" s="192" t="n">
        <ns0:v>2.5</ns0:v>
      </ns0:c>
      <ns0:c r="N223" s="192" t="n">
        <ns0:v>2.55</ns0:v>
      </ns0:c>
      <ns0:c r="O223" s="193" t="n">
        <ns0:v>2.525</ns0:v>
      </ns0:c>
      <ns0:c r="P223" s="191" t="n">
        <ns0:v>-0.06999999999999984</ns0:v>
      </ns0:c>
      <ns0:c r="Q223" s="200" t="n">
        <ns0:v>-0.07000000000000028</ns0:v>
      </ns0:c>
      <ns0:c r="R223" s="200" t="n">
        <ns0:v>-0.07000000000000028</ns0:v>
      </ns0:c>
    </ns0:row>
    <ns0:row r="228">
      <ns0:c r="AD228" t="inlineStr">
        <ns0:is>
          <ns0:t>10/28 LOT</ns0:t>
        </ns0:is>
      </ns0:c>
      <ns0:c r="AE228" t="inlineStr">
        <ns0:is>
          <ns0:t>NOW LOT</ns0:t>
        </ns0:is>
      </ns0:c>
      <ns0:c r="AF228" t="inlineStr">
        <ns0:is>
          <ns0:t>NG HIGH LOT</ns0:t>
        </ns0:is>
      </ns0:c>
    </ns0:row>
    <ns0:row r="229">
      <ns0:c r="D229" s="223" t="n"/>
      <ns0:c r="E229" s="223" t="n"/>
      <ns0:c r="F229" s="223" t="n"/>
      <ns0:c r="G229" s="223" t="n"/>
      <ns0:c r="H229" s="223" t="n"/>
      <ns0:c r="I229" s="223" t="n"/>
      <ns0:c r="V229" s="224" t="n">
        <ns0:v>2.51</ns0:v>
      </ns0:c>
      <ns0:c r="W229" s="224" t="n">
        <ns0:v>2.51</ns0:v>
      </ns0:c>
      <ns0:c r="X229" s="224" t="n">
        <ns0:v>2.54</ns0:v>
      </ns0:c>
      <ns0:c r="AC229" t="n">
        <ns0:v>2.4</ns0:v>
      </ns0:c>
      <ns0:c r="AD229" t="n">
        <ns0:v>0</ns0:v>
      </ns0:c>
      <ns0:c r="AE229" t="n">
        <ns0:v>0</ns0:v>
      </ns0:c>
      <ns0:c r="AF229" t="n">
        <ns0:v>0</ns0:v>
      </ns0:c>
    </ns0:row>
    <ns0:row r="230">
      <ns0:c r="D230" s="223" t="n"/>
      <ns0:c r="E230" s="223" t="n"/>
      <ns0:c r="F230" s="223" t="n"/>
      <ns0:c r="G230" s="223" t="n"/>
      <ns0:c r="H230" s="223" t="n"/>
      <ns0:c r="I230" s="223" t="n"/>
      <ns0:c r="V230" s="224" t="n">
        <ns0:v>2.5</ns0:v>
      </ns0:c>
      <ns0:c r="W230" s="224" t="n">
        <ns0:v>2.49</ns0:v>
      </ns0:c>
      <ns0:c r="X230" s="224" t="n">
        <ns0:v>2.51</ns0:v>
      </ns0:c>
      <ns0:c r="AC230" t="n">
        <ns0:v>2.41</ns0:v>
      </ns0:c>
      <ns0:c r="AD230" t="n">
        <ns0:v>0</ns0:v>
      </ns0:c>
      <ns0:c r="AE230" t="n">
        <ns0:v>0</ns0:v>
      </ns0:c>
      <ns0:c r="AF230" t="n">
        <ns0:v>0</ns0:v>
      </ns0:c>
    </ns0:row>
    <ns0:row r="231">
      <ns0:c r="D231" s="223" t="n"/>
      <ns0:c r="E231" s="223" t="n"/>
      <ns0:c r="F231" s="223" t="n"/>
      <ns0:c r="G231" s="223" t="n"/>
      <ns0:c r="H231" s="223" t="n"/>
      <ns0:c r="I231" s="223" t="n"/>
      <ns0:c r="V231" s="224" t="n">
        <ns0:v>2.5</ns0:v>
      </ns0:c>
      <ns0:c r="W231" s="224" t="n">
        <ns0:v>2.5</ns0:v>
      </ns0:c>
      <ns0:c r="X231" s="224" t="n">
        <ns0:v>2.53</ns0:v>
      </ns0:c>
      <ns0:c r="AC231" t="n">
        <ns0:v>2.42</ns0:v>
      </ns0:c>
      <ns0:c r="AD231" t="n">
        <ns0:v>0</ns0:v>
      </ns0:c>
      <ns0:c r="AE231" t="n">
        <ns0:v>0</ns0:v>
      </ns0:c>
      <ns0:c r="AF231" t="n">
        <ns0:v>1</ns0:v>
      </ns0:c>
    </ns0:row>
    <ns0:row r="232">
      <ns0:c r="D232" s="223" t="n"/>
      <ns0:c r="E232" s="223" t="n"/>
      <ns0:c r="F232" s="223" t="n"/>
      <ns0:c r="G232" s="223" t="n"/>
      <ns0:c r="H232" s="223" t="n"/>
      <ns0:c r="I232" s="223" t="n"/>
      <ns0:c r="V232" s="224" t="n">
        <ns0:v>2.51</ns0:v>
      </ns0:c>
      <ns0:c r="W232" s="224" t="n">
        <ns0:v>2.53</ns0:v>
      </ns0:c>
      <ns0:c r="X232" s="224" t="n">
        <ns0:v>2.48</ns0:v>
      </ns0:c>
      <ns0:c r="AC232" t="n">
        <ns0:v>2.43</ns0:v>
      </ns0:c>
      <ns0:c r="AD232" t="n">
        <ns0:v>0</ns0:v>
      </ns0:c>
      <ns0:c r="AE232" t="n">
        <ns0:v>0</ns0:v>
      </ns0:c>
      <ns0:c r="AF232" t="n">
        <ns0:v>1</ns0:v>
      </ns0:c>
    </ns0:row>
    <ns0:row r="233">
      <ns0:c r="D233" s="223" t="n"/>
      <ns0:c r="E233" s="223" t="n"/>
      <ns0:c r="F233" s="223" t="n"/>
      <ns0:c r="G233" s="223" t="n"/>
      <ns0:c r="H233" s="223" t="n"/>
      <ns0:c r="I233" s="223" t="n"/>
      <ns0:c r="V233" s="224" t="n">
        <ns0:v>2.5</ns0:v>
      </ns0:c>
      <ns0:c r="W233" s="224" t="n">
        <ns0:v>2.51</ns0:v>
      </ns0:c>
      <ns0:c r="X233" s="224" t="n">
        <ns0:v>2.45</ns0:v>
      </ns0:c>
      <ns0:c r="AC233" t="n">
        <ns0:v>2.44</ns0:v>
      </ns0:c>
      <ns0:c r="AD233" t="n">
        <ns0:v>0</ns0:v>
      </ns0:c>
      <ns0:c r="AE233" t="n">
        <ns0:v>0</ns0:v>
      </ns0:c>
      <ns0:c r="AF233" t="n">
        <ns0:v>3</ns0:v>
      </ns0:c>
    </ns0:row>
    <ns0:row r="234">
      <ns0:c r="D234" s="223" t="n"/>
      <ns0:c r="E234" s="223" t="n"/>
      <ns0:c r="F234" s="223" t="n"/>
      <ns0:c r="G234" s="223" t="n"/>
      <ns0:c r="H234" s="223" t="n"/>
      <ns0:c r="I234" s="223" t="n"/>
      <ns0:c r="V234" s="224" t="n">
        <ns0:v>2.5</ns0:v>
      </ns0:c>
      <ns0:c r="W234" s="224" t="n">
        <ns0:v>2.52</ns0:v>
      </ns0:c>
      <ns0:c r="X234" s="224" t="n">
        <ns0:v>2.48</ns0:v>
      </ns0:c>
      <ns0:c r="AC234" t="n">
        <ns0:v>2.449999999999999</ns0:v>
      </ns0:c>
      <ns0:c r="AD234" t="n">
        <ns0:v>0</ns0:v>
      </ns0:c>
      <ns0:c r="AE234" t="n">
        <ns0:v>0</ns0:v>
      </ns0:c>
      <ns0:c r="AF234" t="n">
        <ns0:v>1</ns0:v>
      </ns0:c>
    </ns0:row>
    <ns0:row r="235">
      <ns0:c r="D235" s="223" t="n"/>
      <ns0:c r="E235" s="223" t="n"/>
      <ns0:c r="F235" s="223" t="n"/>
      <ns0:c r="G235" s="223" t="n"/>
      <ns0:c r="H235" s="223" t="n"/>
      <ns0:c r="I235" s="223" t="n"/>
      <ns0:c r="V235" s="224" t="n">
        <ns0:v>2.51</ns0:v>
      </ns0:c>
      <ns0:c r="W235" s="224" t="n">
        <ns0:v>2.54</ns0:v>
      </ns0:c>
      <ns0:c r="X235" s="224" t="n">
        <ns0:v>2.51</ns0:v>
      </ns0:c>
      <ns0:c r="AC235" t="n">
        <ns0:v>2.459999999999999</ns0:v>
      </ns0:c>
      <ns0:c r="AD235" t="n">
        <ns0:v>0</ns0:v>
      </ns0:c>
      <ns0:c r="AE235" t="n">
        <ns0:v>3</ns0:v>
      </ns0:c>
      <ns0:c r="AF235" t="n">
        <ns0:v>3</ns0:v>
      </ns0:c>
    </ns0:row>
    <ns0:row r="236">
      <ns0:c r="D236" s="223" t="n"/>
      <ns0:c r="E236" s="223" t="n"/>
      <ns0:c r="F236" s="223" t="n"/>
      <ns0:c r="G236" s="223" t="n"/>
      <ns0:c r="H236" s="223" t="n"/>
      <ns0:c r="I236" s="223" t="n"/>
      <ns0:c r="V236" s="224" t="n">
        <ns0:v>2.51</ns0:v>
      </ns0:c>
      <ns0:c r="W236" s="224" t="n">
        <ns0:v>2.51</ns0:v>
      </ns0:c>
      <ns0:c r="X236" s="224" t="n">
        <ns0:v>2.49</ns0:v>
      </ns0:c>
      <ns0:c r="AC236" t="n">
        <ns0:v>2.469999999999999</ns0:v>
      </ns0:c>
      <ns0:c r="AD236" t="n">
        <ns0:v>0</ns0:v>
      </ns0:c>
      <ns0:c r="AE236" t="n">
        <ns0:v>0</ns0:v>
      </ns0:c>
      <ns0:c r="AF236" t="n">
        <ns0:v>0</ns0:v>
      </ns0:c>
    </ns0:row>
    <ns0:row r="237">
      <ns0:c r="D237" s="223" t="n"/>
      <ns0:c r="E237" s="223" t="n"/>
      <ns0:c r="F237" s="223" t="n"/>
      <ns0:c r="G237" s="223" t="n"/>
      <ns0:c r="H237" s="223" t="n"/>
      <ns0:c r="I237" s="223" t="n"/>
      <ns0:c r="V237" s="224" t="n">
        <ns0:v>2.51</ns0:v>
      </ns0:c>
      <ns0:c r="W237" s="224" t="n">
        <ns0:v>2.52</ns0:v>
      </ns0:c>
      <ns0:c r="X237" s="224" t="n">
        <ns0:v>2.51</ns0:v>
      </ns0:c>
      <ns0:c r="AC237" t="n">
        <ns0:v>2.479999999999999</ns0:v>
      </ns0:c>
      <ns0:c r="AD237" t="n">
        <ns0:v>1</ns0:v>
      </ns0:c>
      <ns0:c r="AE237" t="n">
        <ns0:v>4</ns0:v>
      </ns0:c>
      <ns0:c r="AF237" t="n">
        <ns0:v>3</ns0:v>
      </ns0:c>
    </ns0:row>
    <ns0:row r="238">
      <ns0:c r="D238" s="223" t="n"/>
      <ns0:c r="E238" s="223" t="n"/>
      <ns0:c r="F238" s="223" t="n"/>
      <ns0:c r="G238" s="223" t="n"/>
      <ns0:c r="H238" s="223" t="n"/>
      <ns0:c r="I238" s="223" t="n"/>
      <ns0:c r="V238" s="224" t="n">
        <ns0:v>2.52</ns0:v>
      </ns0:c>
      <ns0:c r="W238" s="224" t="n">
        <ns0:v>2.51</ns0:v>
      </ns0:c>
      <ns0:c r="X238" s="224" t="n">
        <ns0:v>2.51</ns0:v>
      </ns0:c>
      <ns0:c r="AC238" t="n">
        <ns0:v>2.489999999999998</ns0:v>
      </ns0:c>
      <ns0:c r="AD238" t="n">
        <ns0:v>2</ns0:v>
      </ns0:c>
      <ns0:c r="AE238" t="n">
        <ns0:v>2</ns0:v>
      </ns0:c>
      <ns0:c r="AF238" t="n">
        <ns0:v>2</ns0:v>
      </ns0:c>
    </ns0:row>
    <ns0:row r="239">
      <ns0:c r="D239" s="223" t="n"/>
      <ns0:c r="E239" s="223" t="n"/>
      <ns0:c r="F239" s="223" t="n"/>
      <ns0:c r="G239" s="223" t="n"/>
      <ns0:c r="H239" s="223" t="n"/>
      <ns0:c r="I239" s="223" t="n"/>
      <ns0:c r="V239" s="224" t="n">
        <ns0:v>2.5</ns0:v>
      </ns0:c>
      <ns0:c r="W239" s="224" t="n">
        <ns0:v>2.48</ns0:v>
      </ns0:c>
      <ns0:c r="X239" s="224" t="n">
        <ns0:v>2.49</ns0:v>
      </ns0:c>
      <ns0:c r="AC239" t="n">
        <ns0:v>2.499999999999998</ns0:v>
      </ns0:c>
      <ns0:c r="AD239" t="n">
        <ns0:v>10</ns0:v>
      </ns0:c>
      <ns0:c r="AE239" t="n">
        <ns0:v>2</ns0:v>
      </ns0:c>
      <ns0:c r="AF239" t="n">
        <ns0:v>2</ns0:v>
      </ns0:c>
    </ns0:row>
    <ns0:row r="240">
      <ns0:c r="D240" s="223" t="n"/>
      <ns0:c r="E240" s="223" t="n"/>
      <ns0:c r="F240" s="223" t="n"/>
      <ns0:c r="G240" s="223" t="n"/>
      <ns0:c r="H240" s="223" t="n"/>
      <ns0:c r="I240" s="223" t="n"/>
      <ns0:c r="V240" s="224" t="n">
        <ns0:v>2.51</ns0:v>
      </ns0:c>
      <ns0:c r="W240" s="224" t="n">
        <ns0:v>2.5</ns0:v>
      </ns0:c>
      <ns0:c r="X240" s="224" t="n">
        <ns0:v>2.52</ns0:v>
      </ns0:c>
      <ns0:c r="AC240" t="n">
        <ns0:v>2.509999999999998</ns0:v>
      </ns0:c>
      <ns0:c r="AD240" t="n">
        <ns0:v>14</ns0:v>
      </ns0:c>
      <ns0:c r="AE240" t="n">
        <ns0:v>6</ns0:v>
      </ns0:c>
      <ns0:c r="AF240" t="n">
        <ns0:v>7</ns0:v>
      </ns0:c>
    </ns0:row>
    <ns0:row r="241">
      <ns0:c r="D241" s="223" t="n"/>
      <ns0:c r="E241" s="223" t="n"/>
      <ns0:c r="F241" s="223" t="n"/>
      <ns0:c r="G241" s="223" t="n"/>
      <ns0:c r="H241" s="223" t="n"/>
      <ns0:c r="I241" s="223" t="n"/>
      <ns0:c r="V241" s="224" t="n">
        <ns0:v>2.51</ns0:v>
      </ns0:c>
      <ns0:c r="W241" s="224" t="n">
        <ns0:v>2.55</ns0:v>
      </ns0:c>
      <ns0:c r="X241" s="224" t="n">
        <ns0:v>2.54</ns0:v>
      </ns0:c>
      <ns0:c r="AC241" t="n">
        <ns0:v>2.519999999999998</ns0:v>
      </ns0:c>
      <ns0:c r="AD241" t="n">
        <ns0:v>3</ns0:v>
      </ns0:c>
      <ns0:c r="AE241" t="n">
        <ns0:v>4</ns0:v>
      </ns0:c>
      <ns0:c r="AF241" t="n">
        <ns0:v>1</ns0:v>
      </ns0:c>
    </ns0:row>
    <ns0:row r="242">
      <ns0:c r="D242" s="223" t="n"/>
      <ns0:c r="E242" s="223" t="n"/>
      <ns0:c r="F242" s="223" t="n"/>
      <ns0:c r="G242" s="223" t="n"/>
      <ns0:c r="H242" s="223" t="n"/>
      <ns0:c r="I242" s="223" t="n"/>
      <ns0:c r="V242" s="224" t="n">
        <ns0:v>2.5</ns0:v>
      </ns0:c>
      <ns0:c r="W242" s="224" t="n">
        <ns0:v>2.53</ns0:v>
      </ns0:c>
      <ns0:c r="X242" s="224" t="n">
        <ns0:v>2.51</ns0:v>
      </ns0:c>
      <ns0:c r="AC242" t="n">
        <ns0:v>2.529999999999998</ns0:v>
      </ns0:c>
      <ns0:c r="AD242" t="n">
        <ns0:v>0</ns0:v>
      </ns0:c>
      <ns0:c r="AE242" t="n">
        <ns0:v>5</ns0:v>
      </ns0:c>
      <ns0:c r="AF242" t="n">
        <ns0:v>3</ns0:v>
      </ns0:c>
    </ns0:row>
    <ns0:row r="243">
      <ns0:c r="D243" s="223" t="n"/>
      <ns0:c r="E243" s="223" t="n"/>
      <ns0:c r="F243" s="223" t="n"/>
      <ns0:c r="G243" s="223" t="n"/>
      <ns0:c r="H243" s="223" t="n"/>
      <ns0:c r="I243" s="223" t="n"/>
      <ns0:c r="V243" s="224" t="n">
        <ns0:v>2.5</ns0:v>
      </ns0:c>
      <ns0:c r="W243" s="224" t="n">
        <ns0:v>2.53</ns0:v>
      </ns0:c>
      <ns0:c r="X243" s="224" t="n">
        <ns0:v>2.51</ns0:v>
      </ns0:c>
      <ns0:c r="AC243" t="n">
        <ns0:v>2.539999999999997</ns0:v>
      </ns0:c>
      <ns0:c r="AD243" t="n">
        <ns0:v>0</ns0:v>
      </ns0:c>
      <ns0:c r="AE243" t="n">
        <ns0:v>1</ns0:v>
      </ns0:c>
      <ns0:c r="AF243" t="n">
        <ns0:v>2</ns0:v>
      </ns0:c>
    </ns0:row>
    <ns0:row r="244">
      <ns0:c r="V244" s="224" t="n">
        <ns0:v>2.52</ns0:v>
      </ns0:c>
      <ns0:c r="W244" s="224" t="n">
        <ns0:v>2.48</ns0:v>
      </ns0:c>
      <ns0:c r="X244" s="224" t="n">
        <ns0:v>2.46</ns0:v>
      </ns0:c>
      <ns0:c r="AC244" t="n">
        <ns0:v>2.549999999999997</ns0:v>
      </ns0:c>
      <ns0:c r="AD244" t="n">
        <ns0:v>0</ns0:v>
      </ns0:c>
      <ns0:c r="AE244" t="n">
        <ns0:v>3</ns0:v>
      </ns0:c>
      <ns0:c r="AF244" t="n">
        <ns0:v>1</ns0:v>
      </ns0:c>
    </ns0:row>
    <ns0:row r="245">
      <ns0:c r="V245" s="224" t="n">
        <ns0:v>2.5</ns0:v>
      </ns0:c>
      <ns0:c r="W245" s="224" t="n">
        <ns0:v>2.52</ns0:v>
      </ns0:c>
      <ns0:c r="X245" s="224" t="n">
        <ns0:v>2.44</ns0:v>
      </ns0:c>
      <ns0:c r="AC245" t="n">
        <ns0:v>2.559999999999997</ns0:v>
      </ns0:c>
      <ns0:c r="AD245" t="n">
        <ns0:v>0</ns0:v>
      </ns0:c>
      <ns0:c r="AE245" t="n">
        <ns0:v>0</ns0:v>
      </ns0:c>
      <ns0:c r="AF245" t="n">
        <ns0:v>0</ns0:v>
      </ns0:c>
    </ns0:row>
    <ns0:row r="246">
      <ns0:c r="V246" s="224" t="n">
        <ns0:v>2.5</ns0:v>
      </ns0:c>
      <ns0:c r="W246" s="224" t="n">
        <ns0:v>2.51</ns0:v>
      </ns0:c>
      <ns0:c r="X246" s="224" t="n">
        <ns0:v>2.46</ns0:v>
      </ns0:c>
      <ns0:c r="AC246" t="n">
        <ns0:v>2.569999999999997</ns0:v>
      </ns0:c>
      <ns0:c r="AD246" t="n">
        <ns0:v>0</ns0:v>
      </ns0:c>
      <ns0:c r="AE246" t="n">
        <ns0:v>0</ns0:v>
      </ns0:c>
      <ns0:c r="AF246" t="n">
        <ns0:v>0</ns0:v>
      </ns0:c>
    </ns0:row>
    <ns0:row r="247">
      <ns0:c r="V247" s="224" t="n">
        <ns0:v>2.48</ns0:v>
      </ns0:c>
      <ns0:c r="W247" s="224" t="n">
        <ns0:v>2.55</ns0:v>
      </ns0:c>
      <ns0:c r="X247" s="224" t="n">
        <ns0:v>2.44</ns0:v>
      </ns0:c>
      <ns0:c r="AC247" t="n">
        <ns0:v>2.579999999999997</ns0:v>
      </ns0:c>
      <ns0:c r="AD247" t="n">
        <ns0:v>0</ns0:v>
      </ns0:c>
      <ns0:c r="AE247" t="n">
        <ns0:v>0</ns0:v>
      </ns0:c>
      <ns0:c r="AF247" t="n">
        <ns0:v>0</ns0:v>
      </ns0:c>
    </ns0:row>
    <ns0:row r="248">
      <ns0:c r="V248" s="224" t="n">
        <ns0:v>2.5</ns0:v>
      </ns0:c>
      <ns0:c r="W248" s="224" t="n">
        <ns0:v>2.53</ns0:v>
      </ns0:c>
      <ns0:c r="X248" s="224" t="n">
        <ns0:v>2.42</ns0:v>
      </ns0:c>
      <ns0:c r="AC248" t="n">
        <ns0:v>2.589999999999996</ns0:v>
      </ns0:c>
      <ns0:c r="AD248" t="n">
        <ns0:v>0</ns0:v>
      </ns0:c>
      <ns0:c r="AE248" t="n">
        <ns0:v>0</ns0:v>
      </ns0:c>
      <ns0:c r="AF248" t="n">
        <ns0:v>0</ns0:v>
      </ns0:c>
    </ns0:row>
    <ns0:row r="249">
      <ns0:c r="V249" s="224" t="n">
        <ns0:v>2.51</ns0:v>
      </ns0:c>
      <ns0:c r="W249" s="224" t="n">
        <ns0:v>2.55</ns0:v>
      </ns0:c>
      <ns0:c r="X249" s="224" t="n">
        <ns0:v>2.46</ns0:v>
      </ns0:c>
      <ns0:c r="AC249" t="n">
        <ns0:v>2.599999999999996</ns0:v>
      </ns0:c>
      <ns0:c r="AD249" t="n">
        <ns0:v>0</ns0:v>
      </ns0:c>
      <ns0:c r="AE249" t="n">
        <ns0:v>0</ns0:v>
      </ns0:c>
      <ns0:c r="AF249" t="n">
        <ns0:v>0</ns0:v>
      </ns0:c>
    </ns0:row>
    <ns0:row r="250">
      <ns0:c r="V250" s="224" t="n">
        <ns0:v>2.51</ns0:v>
      </ns0:c>
      <ns0:c r="W250" s="224" t="n">
        <ns0:v>2.48</ns0:v>
      </ns0:c>
      <ns0:c r="X250" s="224" t="n">
        <ns0:v>2.53</ns0:v>
      </ns0:c>
    </ns0:row>
    <ns0:row r="251">
      <ns0:c r="V251" s="224" t="n">
        <ns0:v>2.51</ns0:v>
      </ns0:c>
      <ns0:c r="W251" s="224" t="n">
        <ns0:v>2.46</ns0:v>
      </ns0:c>
      <ns0:c r="X251" s="224" t="n">
        <ns0:v>2.5</ns0:v>
      </ns0:c>
    </ns0:row>
    <ns0:row r="252">
      <ns0:c r="V252" s="224" t="n">
        <ns0:v>2.49</ns0:v>
      </ns0:c>
      <ns0:c r="W252" s="224" t="n">
        <ns0:v>2.49</ns0:v>
      </ns0:c>
      <ns0:c r="X252" s="224" t="n">
        <ns0:v>2.51</ns0:v>
      </ns0:c>
    </ns0:row>
    <ns0:row r="253">
      <ns0:c r="V253" s="224" t="n">
        <ns0:v>2.52</ns0:v>
      </ns0:c>
      <ns0:c r="W253" s="224" t="n">
        <ns0:v>2.53</ns0:v>
      </ns0:c>
      <ns0:c r="X253" s="224" t="n">
        <ns0:v>2.48</ns0:v>
      </ns0:c>
    </ns0:row>
    <ns0:row r="254">
      <ns0:c r="V254" s="224" t="n">
        <ns0:v>2.51</ns0:v>
      </ns0:c>
      <ns0:c r="W254" s="224" t="n">
        <ns0:v>2.51</ns0:v>
      </ns0:c>
      <ns0:c r="X254" s="224" t="n">
        <ns0:v>2.43</ns0:v>
      </ns0:c>
    </ns0:row>
    <ns0:row r="255">
      <ns0:c r="V255" s="224" t="n">
        <ns0:v>2.49</ns0:v>
      </ns0:c>
      <ns0:c r="W255" s="224" t="n">
        <ns0:v>2.52</ns0:v>
      </ns0:c>
      <ns0:c r="X255" s="224" t="n">
        <ns0:v>2.44</ns0:v>
      </ns0:c>
    </ns0:row>
    <ns0:row r="256">
      <ns0:c r="V256" s="224" t="n">
        <ns0:v>2.51</ns0:v>
      </ns0:c>
      <ns0:c r="W256" s="224" t="n">
        <ns0:v>2.46</ns0:v>
      </ns0:c>
      <ns0:c r="X256" s="224" t="n">
        <ns0:v>2.55</ns0:v>
      </ns0:c>
    </ns0:row>
    <ns0:row r="257">
      <ns0:c r="V257" s="224" t="n">
        <ns0:v>2.51</ns0:v>
      </ns0:c>
      <ns0:c r="W257" s="224" t="n">
        <ns0:v>2.46</ns0:v>
      </ns0:c>
      <ns0:c r="X257" s="224" t="n">
        <ns0:v>2.5</ns0:v>
      </ns0:c>
    </ns0:row>
    <ns0:row r="258">
      <ns0:c r="V258" s="224" t="n">
        <ns0:v>2.51</ns0:v>
      </ns0:c>
      <ns0:c r="W258" s="224" t="n">
        <ns0:v>2.48</ns0:v>
      </ns0:c>
      <ns0:c r="X258" s="224" t="n">
        <ns0:v>2.53</ns0:v>
      </ns0:c>
    </ns0:row>
    <ns0:row r="259">
      <ns0:c r="X259" s="1" t="n"/>
      <ns0:c r="Z259" s="1" t="n"/>
    </ns0:row>
  </ns0:sheetData>
  <ns0:mergeCells count="47">
    <ns0:mergeCell ref="C166:C167"/>
    <ns0:mergeCell ref="B35:B42"/>
    <ns0:mergeCell ref="D34:E34"/>
    <ns0:mergeCell ref="L32:M32"/>
    <ns0:mergeCell ref="G42:H42"/>
    <ns0:mergeCell ref="B178:B182"/>
    <ns0:mergeCell ref="D46:E46"/>
    <ns0:mergeCell ref="B168:B172"/>
    <ns0:mergeCell ref="B2:H3"/>
    <ns0:mergeCell ref="B24:B26"/>
    <ns0:mergeCell ref="D40:E40"/>
    <ns0:mergeCell ref="L47:M47"/>
    <ns0:mergeCell ref="P166:R166"/>
    <ns0:mergeCell ref="D45:E45"/>
    <ns0:mergeCell ref="D166:O166"/>
    <ns0:mergeCell ref="B45:B47"/>
    <ns0:mergeCell ref="B166:B167"/>
    <ns0:mergeCell ref="L42:M42"/>
    <ns0:mergeCell ref="L33:M33"/>
    <ns0:mergeCell ref="B173:B177"/>
    <ns0:mergeCell ref="D32:E32"/>
    <ns0:mergeCell ref="D41:E41"/>
    <ns0:mergeCell ref="L45:M45"/>
    <ns0:mergeCell ref="B27:B34"/>
    <ns0:mergeCell ref="D47:E47"/>
    <ns0:mergeCell ref="G34:H34"/>
    <ns0:mergeCell ref="D22:M22"/>
    <ns0:mergeCell ref="B209:B213"/>
    <ns0:mergeCell ref="B207:B208"/>
    <ns0:mergeCell ref="D207:O207"/>
    <ns0:mergeCell ref="G33:H33"/>
    <ns0:mergeCell ref="P207:R207"/>
    <ns0:mergeCell ref="L41:M41"/>
    <ns0:mergeCell ref="G45:H45"/>
    <ns0:mergeCell ref="L40:M40"/>
    <ns0:mergeCell ref="B214:B218"/>
    <ns0:mergeCell ref="L34:M34"/>
    <ns0:mergeCell ref="D42:E42"/>
    <ns0:mergeCell ref="G47:H47"/>
    <ns0:mergeCell ref="B219:B223"/>
    <ns0:mergeCell ref="B22:B23"/>
    <ns0:mergeCell ref="G32:H32"/>
    <ns0:mergeCell ref="D33:E33"/>
    <ns0:mergeCell ref="L46:M46"/>
    <ns0:mergeCell ref="G41:H41"/>
    <ns0:mergeCell ref="G46:H46"/>
    <ns0:mergeCell ref="G40:H40"/>
  </ns0:mergeCells>
  <ns0:pageMargins left="0.75" right="0.75" top="1" bottom="1" header="0.5" footer="0.5"/>
</ns0:worksheet>
</file>

<file path=xl/worksheets/sheet11.xml><?xml version="1.0" encoding="utf-8"?>
<ns0:worksheet xmlns:ns0="http://schemas.openxmlformats.org/spreadsheetml/2006/main">
  <ns0:sheetPr>
    <ns0:outlinePr summaryBelow="1" summaryRight="1"/>
    <ns0:pageSetUpPr/>
  </ns0:sheetPr>
  <ns0:dimension ref="B2:U61"/>
  <ns0:sheetViews>
    <ns0:sheetView workbookViewId="0">
      <ns0:selection activeCell="A1" sqref="A1"/>
    </ns0:sheetView>
  </ns0:sheetViews>
  <ns0:sheetFormatPr baseColWidth="8" defaultRowHeight="15"/>
  <ns0:cols>
    <ns0:col width="12.14285714285714" customWidth="1" min="3" max="3"/>
    <ns0:col width="13.14285714285714" customWidth="1" min="4" max="4"/>
    <ns0:col width="11.28571428571429" customWidth="1" min="6" max="6"/>
    <ns0:col width="11.28571428571429" customWidth="1" min="7" max="7"/>
    <ns0:col width="11.85714285714286" customWidth="1" min="9" max="9"/>
    <ns0:col width="11.42857142857143" customWidth="1" min="10" max="10"/>
    <ns0:col width="11.42857142857143" customWidth="1" min="11" max="11"/>
    <ns0:col width="11.42857142857143" customWidth="1" min="12" max="12"/>
    <ns0:col width="11.42857142857143" customWidth="1" min="13" max="13"/>
    <ns0:col width="11.42857142857143" customWidth="1" min="14" max="14"/>
    <ns0:col width="11.42857142857143" customWidth="1" min="15" max="15"/>
    <ns0:col width="11.42857142857143" customWidth="1" min="16" max="16"/>
    <ns0:col width="11.42857142857143" customWidth="1" min="17" max="17"/>
    <ns0:col width="11.42857142857143" customWidth="1" min="18" max="18"/>
    <ns0:col width="11.42857142857143" customWidth="1" min="19" max="19"/>
  </ns0:cols>
  <ns0:sheetData>
    <ns0:row r="2">
      <ns0:c r="B2" s="88" t="inlineStr">
        <ns0:is>
          <ns0:t>* R-PT Wing Width</ns0:t>
        </ns0:is>
      </ns0:c>
    </ns0:row>
    <ns0:row r="3">
      <ns0:c r="B3" s="89" t="inlineStr">
        <ns0:is>
          <ns0:t>Cavity</ns0:t>
        </ns0:is>
      </ns0:c>
      <ns0:c r="C3" s="91" t="inlineStr">
        <ns0:is>
          <ns0:t>Small (~2.51)</ns0:t>
        </ns0:is>
      </ns0:c>
      <ns0:c r="D3" s="47" t="n"/>
      <ns0:c r="E3" s="92" t="inlineStr">
        <ns0:is>
          <ns0:t>Medium (2.52)</ns0:t>
        </ns0:is>
      </ns0:c>
      <ns0:c r="F3" s="47" t="n"/>
      <ns0:c r="G3" s="93" t="inlineStr">
        <ns0:is>
          <ns0:t>BIG (2.53~)</ns0:t>
        </ns0:is>
      </ns0:c>
      <ns0:c r="H3" s="47" t="n"/>
    </ns0:row>
    <ns0:row r="4">
      <ns0:c r="B4" s="89" t="inlineStr">
        <ns0:is>
          <ns0:t>D</ns0:t>
        </ns0:is>
      </ns0:c>
      <ns0:c r="C4" s="91" t="n">
        <ns0:v>2</ns0:v>
      </ns0:c>
      <ns0:c r="D4" s="94" t="n">
        <ns0:v>0.02</ns0:v>
      </ns0:c>
      <ns0:c r="E4" s="92" t="n">
        <ns0:v>7</ns0:v>
      </ns0:c>
      <ns0:c r="F4" s="95" t="n">
        <ns0:v>0.07000000000000001</ns0:v>
      </ns0:c>
      <ns0:c r="G4" s="93" t="n">
        <ns0:v>16</ns0:v>
      </ns0:c>
      <ns0:c r="H4" s="96" t="n">
        <ns0:v>0.16</ns0:v>
      </ns0:c>
    </ns0:row>
    <ns0:row r="5">
      <ns0:c r="B5" s="89" t="inlineStr">
        <ns0:is>
          <ns0:t>C</ns0:t>
        </ns0:is>
      </ns0:c>
      <ns0:c r="C5" s="91" t="n">
        <ns0:v>6</ns0:v>
      </ns0:c>
      <ns0:c r="D5" s="94" t="n">
        <ns0:v>0.06</ns0:v>
      </ns0:c>
      <ns0:c r="E5" s="92" t="n">
        <ns0:v>5</ns0:v>
      </ns0:c>
      <ns0:c r="F5" s="95" t="n">
        <ns0:v>0.05</ns0:v>
      </ns0:c>
      <ns0:c r="G5" s="93" t="n">
        <ns0:v>14</ns0:v>
      </ns0:c>
      <ns0:c r="H5" s="96" t="n">
        <ns0:v>0.14</ns0:v>
      </ns0:c>
    </ns0:row>
    <ns0:row r="6">
      <ns0:c r="B6" s="89" t="inlineStr">
        <ns0:is>
          <ns0:t>B</ns0:t>
        </ns0:is>
      </ns0:c>
      <ns0:c r="C6" s="91" t="n">
        <ns0:v>3</ns0:v>
      </ns0:c>
      <ns0:c r="D6" s="94" t="n">
        <ns0:v>0.03</ns0:v>
      </ns0:c>
      <ns0:c r="E6" s="92" t="n">
        <ns0:v>9</ns0:v>
      </ns0:c>
      <ns0:c r="F6" s="95" t="n">
        <ns0:v>0.09</ns0:v>
      </ns0:c>
      <ns0:c r="G6" s="93" t="n">
        <ns0:v>13</ns0:v>
      </ns0:c>
      <ns0:c r="H6" s="96" t="n">
        <ns0:v>0.13</ns0:v>
      </ns0:c>
    </ns0:row>
    <ns0:row r="7">
      <ns0:c r="B7" s="89" t="inlineStr">
        <ns0:is>
          <ns0:t>A</ns0:t>
        </ns0:is>
      </ns0:c>
      <ns0:c r="C7" s="91" t="n">
        <ns0:v>10</ns0:v>
      </ns0:c>
      <ns0:c r="D7" s="94" t="n">
        <ns0:v>0.1</ns0:v>
      </ns0:c>
      <ns0:c r="E7" s="92" t="n">
        <ns0:v>6</ns0:v>
      </ns0:c>
      <ns0:c r="F7" s="95" t="n">
        <ns0:v>0.06</ns0:v>
      </ns0:c>
      <ns0:c r="G7" s="93" t="n">
        <ns0:v>9</ns0:v>
      </ns0:c>
      <ns0:c r="H7" s="96" t="n">
        <ns0:v>0.09</ns0:v>
      </ns0:c>
    </ns0:row>
    <ns0:row r="8">
      <ns0:c r="B8" s="225" t="inlineStr">
        <ns0:is>
          <ns0:t>TOTAL</ns0:t>
        </ns0:is>
      </ns0:c>
      <ns0:c r="C8" s="226" t="n">
        <ns0:v>21</ns0:v>
      </ns0:c>
      <ns0:c r="D8" s="227" t="n">
        <ns0:v>0.21</ns0:v>
      </ns0:c>
      <ns0:c r="E8" s="226" t="n">
        <ns0:v>27</ns0:v>
      </ns0:c>
      <ns0:c r="F8" s="227" t="n">
        <ns0:v>0.27</ns0:v>
      </ns0:c>
      <ns0:c r="G8" s="226" t="n">
        <ns0:v>52</ns0:v>
      </ns0:c>
      <ns0:c r="H8" s="227" t="n">
        <ns0:v>0.52</ns0:v>
      </ns0:c>
    </ns0:row>
    <ns0:row r="10">
      <ns0:c r="B10" s="97" t="inlineStr">
        <ns0:is>
          <ns0:t>RESULT CHECKING PROCESS SUB3</ns0:t>
        </ns0:is>
      </ns0:c>
    </ns0:row>
    <ns0:row r="11">
      <ns0:c r="B11" s="98" t="inlineStr">
        <ns0:is>
          <ns0:t>Date</ns0:t>
        </ns0:is>
      </ns0:c>
      <ns0:c r="C11" s="98" t="inlineStr">
        <ns0:is>
          <ns0:t>Type</ns0:t>
        </ns0:is>
      </ns0:c>
      <ns0:c r="D11" s="45" t="n"/>
      <ns0:c r="E11" s="99" t="inlineStr">
        <ns0:is>
          <ns0:t xml:space="preserve">Input </ns0:t>
        </ns0:is>
      </ns0:c>
      <ns0:c r="F11" s="98" t="inlineStr">
        <ns0:is>
          <ns0:t xml:space="preserve">OK </ns0:t>
        </ns0:is>
      </ns0:c>
      <ns0:c r="G11" s="98" t="inlineStr">
        <ns0:is>
          <ns0:t xml:space="preserve">NG </ns0:t>
        </ns0:is>
      </ns0:c>
      <ns0:c r="H11" s="47" t="n"/>
      <ns0:c r="I11" s="98" t="inlineStr">
        <ns0:is>
          <ns0:t>Total NG</ns0:t>
        </ns0:is>
      </ns0:c>
      <ns0:c r="J11" s="98" t="inlineStr">
        <ns0:is>
          <ns0:t>Total NG Rate</ns0:t>
        </ns0:is>
      </ns0:c>
    </ns0:row>
    <ns0:row r="12">
      <ns0:c r="B12" s="48" t="n"/>
      <ns0:c r="C12" s="18" t="n"/>
      <ns0:c r="D12" s="17" t="n"/>
      <ns0:c r="E12" s="48" t="n"/>
      <ns0:c r="F12" s="48" t="n"/>
      <ns0:c r="G12" s="100" t="inlineStr">
        <ns0:is>
          <ns0:t>Over Glue</ns0:t>
        </ns0:is>
      </ns0:c>
      <ns0:c r="H12" s="100" t="inlineStr">
        <ns0:is>
          <ns0:t>SP Separate</ns0:t>
        </ns0:is>
      </ns0:c>
      <ns0:c r="I12" s="48" t="n"/>
      <ns0:c r="J12" s="48" t="n"/>
    </ns0:row>
    <ns0:row r="13" ht="18.9375" customHeight="1">
      <ns0:c r="B13" s="101" t="n">
        <ns0:v>45470</ns0:v>
      </ns0:c>
      <ns0:c r="C13" s="102" t="inlineStr">
        <ns0:is>
          <ns0:t>Cavity B - B ( 2.53 )</ns0:t>
        </ns0:is>
      </ns0:c>
      <ns0:c r="D13" s="47" t="n"/>
      <ns0:c r="E13" s="103" t="n">
        <ns0:v>13</ns0:v>
      </ns0:c>
      <ns0:c r="F13" s="103" t="n">
        <ns0:v>13</ns0:v>
      </ns0:c>
      <ns0:c r="G13" s="103" t="n">
        <ns0:v>0</ns0:v>
      </ns0:c>
      <ns0:c r="H13" s="103" t="n">
        <ns0:v>0</ns0:v>
      </ns0:c>
      <ns0:c r="I13" s="103" t="n">
        <ns0:v>0</ns0:v>
      </ns0:c>
      <ns0:c r="J13" s="228" t="n">
        <ns0:v>0</ns0:v>
      </ns0:c>
    </ns0:row>
    <ns0:row r="14" ht="18.9375" customHeight="1">
      <ns0:c r="B14" s="58" t="n"/>
      <ns0:c r="C14" s="102" t="inlineStr">
        <ns0:is>
          <ns0:t>Cavity B - M ( 2.52 )</ns0:t>
        </ns0:is>
      </ns0:c>
      <ns0:c r="D14" s="47" t="n"/>
      <ns0:c r="E14" s="103" t="n">
        <ns0:v>9</ns0:v>
      </ns0:c>
      <ns0:c r="F14" s="103" t="n">
        <ns0:v>9</ns0:v>
      </ns0:c>
      <ns0:c r="G14" s="103" t="n">
        <ns0:v>0</ns0:v>
      </ns0:c>
      <ns0:c r="H14" s="103" t="n">
        <ns0:v>0</ns0:v>
      </ns0:c>
      <ns0:c r="I14" s="103" t="n">
        <ns0:v>0</ns0:v>
      </ns0:c>
      <ns0:c r="J14" s="228" t="n">
        <ns0:v>0</ns0:v>
      </ns0:c>
    </ns0:row>
    <ns0:row r="15" ht="18.9375" customHeight="1">
      <ns0:c r="B15" s="58" t="n"/>
      <ns0:c r="C15" s="102" t="inlineStr">
        <ns0:is>
          <ns0:t>Cavity B - S ( 2.51 )</ns0:t>
        </ns0:is>
      </ns0:c>
      <ns0:c r="D15" s="47" t="n"/>
      <ns0:c r="E15" s="103" t="n">
        <ns0:v>1</ns0:v>
      </ns0:c>
      <ns0:c r="F15" s="103" t="n">
        <ns0:v>1</ns0:v>
      </ns0:c>
      <ns0:c r="G15" s="103" t="n">
        <ns0:v>0</ns0:v>
      </ns0:c>
      <ns0:c r="H15" s="103" t="n">
        <ns0:v>0</ns0:v>
      </ns0:c>
      <ns0:c r="I15" s="103" t="n">
        <ns0:v>0</ns0:v>
      </ns0:c>
      <ns0:c r="J15" s="228" t="n">
        <ns0:v>0</ns0:v>
      </ns0:c>
    </ns0:row>
    <ns0:row r="16" ht="18.9375" customHeight="1">
      <ns0:c r="B16" s="58" t="n"/>
      <ns0:c r="C16" s="102" t="inlineStr">
        <ns0:is>
          <ns0:t>Cavity C - B ( 2.53 )</ns0:t>
        </ns0:is>
      </ns0:c>
      <ns0:c r="D16" s="47" t="n"/>
      <ns0:c r="E16" s="103" t="n">
        <ns0:v>13</ns0:v>
      </ns0:c>
      <ns0:c r="F16" s="103" t="n">
        <ns0:v>13</ns0:v>
      </ns0:c>
      <ns0:c r="G16" s="103" t="n">
        <ns0:v>0</ns0:v>
      </ns0:c>
      <ns0:c r="H16" s="103" t="n">
        <ns0:v>0</ns0:v>
      </ns0:c>
      <ns0:c r="I16" s="103" t="n">
        <ns0:v>0</ns0:v>
      </ns0:c>
      <ns0:c r="J16" s="228" t="n">
        <ns0:v>0</ns0:v>
      </ns0:c>
    </ns0:row>
    <ns0:row r="17" ht="18.9375" customHeight="1">
      <ns0:c r="B17" s="58" t="n"/>
      <ns0:c r="C17" s="102" t="inlineStr">
        <ns0:is>
          <ns0:t>Cavity C - M ( 2.52 )</ns0:t>
        </ns0:is>
      </ns0:c>
      <ns0:c r="D17" s="47" t="n"/>
      <ns0:c r="E17" s="103" t="n">
        <ns0:v>5</ns0:v>
      </ns0:c>
      <ns0:c r="F17" s="103" t="n">
        <ns0:v>5</ns0:v>
      </ns0:c>
      <ns0:c r="G17" s="103" t="n">
        <ns0:v>0</ns0:v>
      </ns0:c>
      <ns0:c r="H17" s="103" t="n">
        <ns0:v>0</ns0:v>
      </ns0:c>
      <ns0:c r="I17" s="103" t="n">
        <ns0:v>0</ns0:v>
      </ns0:c>
      <ns0:c r="J17" s="228" t="n">
        <ns0:v>0</ns0:v>
      </ns0:c>
    </ns0:row>
    <ns0:row r="18" ht="18.9375" customHeight="1">
      <ns0:c r="B18" s="58" t="n"/>
      <ns0:c r="C18" s="102" t="inlineStr">
        <ns0:is>
          <ns0:t>Cavity C - S ( 2.51 )</ns0:t>
        </ns0:is>
      </ns0:c>
      <ns0:c r="D18" s="47" t="n"/>
      <ns0:c r="E18" s="103" t="n">
        <ns0:v>6</ns0:v>
      </ns0:c>
      <ns0:c r="F18" s="103" t="n">
        <ns0:v>6</ns0:v>
      </ns0:c>
      <ns0:c r="G18" s="103" t="n">
        <ns0:v>0</ns0:v>
      </ns0:c>
      <ns0:c r="H18" s="103" t="n">
        <ns0:v>0</ns0:v>
      </ns0:c>
      <ns0:c r="I18" s="103" t="n">
        <ns0:v>0</ns0:v>
      </ns0:c>
      <ns0:c r="J18" s="228" t="n">
        <ns0:v>0</ns0:v>
      </ns0:c>
    </ns0:row>
    <ns0:row r="19" ht="18.9375" customHeight="1">
      <ns0:c r="B19" s="58" t="n"/>
      <ns0:c r="C19" s="102" t="inlineStr">
        <ns0:is>
          <ns0:t>Cavity D - B ( 2.53 )</ns0:t>
        </ns0:is>
      </ns0:c>
      <ns0:c r="D19" s="47" t="n"/>
      <ns0:c r="E19" s="103" t="n">
        <ns0:v>16</ns0:v>
      </ns0:c>
      <ns0:c r="F19" s="103" t="n">
        <ns0:v>15</ns0:v>
      </ns0:c>
      <ns0:c r="G19" s="103" t="n">
        <ns0:v>0</ns0:v>
      </ns0:c>
      <ns0:c r="H19" s="103" t="n">
        <ns0:v>1</ns0:v>
      </ns0:c>
      <ns0:c r="I19" s="103" t="n">
        <ns0:v>1</ns0:v>
      </ns0:c>
      <ns0:c r="J19" s="228" t="n">
        <ns0:v>0.0625</ns0:v>
      </ns0:c>
    </ns0:row>
    <ns0:row r="20" ht="18.9375" customHeight="1">
      <ns0:c r="B20" s="58" t="n"/>
      <ns0:c r="C20" s="102" t="inlineStr">
        <ns0:is>
          <ns0:t>Cavity D - M ( 2.52 )</ns0:t>
        </ns0:is>
      </ns0:c>
      <ns0:c r="D20" s="47" t="n"/>
      <ns0:c r="E20" s="103" t="n">
        <ns0:v>7</ns0:v>
      </ns0:c>
      <ns0:c r="F20" s="103" t="n">
        <ns0:v>7</ns0:v>
      </ns0:c>
      <ns0:c r="G20" s="103" t="n">
        <ns0:v>0</ns0:v>
      </ns0:c>
      <ns0:c r="H20" s="103" t="n">
        <ns0:v>0</ns0:v>
      </ns0:c>
      <ns0:c r="I20" s="103" t="n">
        <ns0:v>0</ns0:v>
      </ns0:c>
      <ns0:c r="J20" s="228" t="n">
        <ns0:v>0</ns0:v>
      </ns0:c>
    </ns0:row>
    <ns0:row r="21" ht="18.9375" customHeight="1">
      <ns0:c r="B21" s="48" t="n"/>
      <ns0:c r="C21" s="102" t="inlineStr">
        <ns0:is>
          <ns0:t>Cavity D - S ( 2.51 )</ns0:t>
        </ns0:is>
      </ns0:c>
      <ns0:c r="D21" s="47" t="n"/>
      <ns0:c r="E21" s="103" t="n">
        <ns0:v>2</ns0:v>
      </ns0:c>
      <ns0:c r="F21" s="103" t="n">
        <ns0:v>2</ns0:v>
      </ns0:c>
      <ns0:c r="G21" s="103" t="n">
        <ns0:v>0</ns0:v>
      </ns0:c>
      <ns0:c r="H21" s="103" t="n">
        <ns0:v>0</ns0:v>
      </ns0:c>
      <ns0:c r="I21" s="103" t="n">
        <ns0:v>0</ns0:v>
      </ns0:c>
      <ns0:c r="J21" s="228" t="n">
        <ns0:v>0</ns0:v>
      </ns0:c>
    </ns0:row>
    <ns0:row r="22">
      <ns0:c r="B22" t="inlineStr">
        <ns0:is>
          <ns0:t>RESULT CHECKING FUNCTION</ns0:t>
        </ns0:is>
      </ns0:c>
    </ns0:row>
    <ns0:row r="23">
      <ns0:c r="B23" s="98" t="inlineStr">
        <ns0:is>
          <ns0:t>Date</ns0:t>
        </ns0:is>
      </ns0:c>
      <ns0:c r="C23" s="105" t="inlineStr">
        <ns0:is>
          <ns0:t>Type</ns0:t>
        </ns0:is>
      </ns0:c>
      <ns0:c r="D23" s="98" t="inlineStr">
        <ns0:is>
          <ns0:t>Cavity</ns0:t>
        </ns0:is>
      </ns0:c>
      <ns0:c r="E23" s="98" t="inlineStr">
        <ns0:is>
          <ns0:t>R-PT</ns0:t>
        </ns0:is>
      </ns0:c>
      <ns0:c r="F23" s="99" t="inlineStr">
        <ns0:is>
          <ns0:t xml:space="preserve">Input </ns0:t>
        </ns0:is>
      </ns0:c>
      <ns0:c r="G23" s="98" t="inlineStr">
        <ns0:is>
          <ns0:t xml:space="preserve">OK </ns0:t>
        </ns0:is>
      </ns0:c>
      <ns0:c r="H23" s="98" t="inlineStr">
        <ns0:is>
          <ns0:t xml:space="preserve">Sigma </ns0:t>
        </ns0:is>
      </ns0:c>
      <ns0:c r="I23" s="23" t="n"/>
      <ns0:c r="J23" s="23" t="n"/>
      <ns0:c r="K23" s="47" t="n"/>
      <ns0:c r="L23" s="98" t="inlineStr">
        <ns0:is>
          <ns0:t xml:space="preserve">Hearing </ns0:t>
        </ns0:is>
      </ns0:c>
      <ns0:c r="M23" s="47" t="n"/>
      <ns0:c r="N23" s="98" t="inlineStr">
        <ns0:is>
          <ns0:t>Total NG</ns0:t>
        </ns0:is>
      </ns0:c>
      <ns0:c r="O23" s="98" t="inlineStr">
        <ns0:is>
          <ns0:t>Total NG rate</ns0:t>
        </ns0:is>
      </ns0:c>
      <ns0:c r="P23" s="98" t="inlineStr">
        <ns0:is>
          <ns0:t>Recheck Hearing</ns0:t>
        </ns0:is>
      </ns0:c>
      <ns0:c r="Q23" s="47" t="n"/>
      <ns0:c r="R23" s="98" t="inlineStr">
        <ns0:is>
          <ns0:t>Total NG</ns0:t>
        </ns0:is>
      </ns0:c>
      <ns0:c r="S23" s="98" t="inlineStr">
        <ns0:is>
          <ns0:t>Total NG rate</ns0:t>
        </ns0:is>
      </ns0:c>
      <ns0:c r="T23" s="98" t="inlineStr">
        <ns0:is>
          <ns0:t>Note</ns0:t>
        </ns0:is>
      </ns0:c>
      <ns0:c r="U23" s="45" t="n"/>
    </ns0:row>
    <ns0:row r="24">
      <ns0:c r="B24" s="48" t="n"/>
      <ns0:c r="C24" s="18" t="n"/>
      <ns0:c r="D24" s="48" t="n"/>
      <ns0:c r="E24" s="48" t="n"/>
      <ns0:c r="F24" s="48" t="n"/>
      <ns0:c r="G24" s="48" t="n"/>
      <ns0:c r="H24" s="98" t="inlineStr">
        <ns0:is>
          <ns0:t xml:space="preserve">SPL </ns0:t>
        </ns0:is>
      </ns0:c>
      <ns0:c r="I24" s="98" t="inlineStr">
        <ns0:is>
          <ns0:t xml:space="preserve">THD </ns0:t>
        </ns0:is>
      </ns0:c>
      <ns0:c r="J24" s="98" t="inlineStr">
        <ns0:is>
          <ns0:t xml:space="preserve">SPL+THD </ns0:t>
        </ns0:is>
      </ns0:c>
      <ns0:c r="K24" s="98" t="inlineStr">
        <ns0:is>
          <ns0:t>SPL+THD+F0</ns0:t>
        </ns0:is>
      </ns0:c>
      <ns0:c r="L24" s="98" t="inlineStr">
        <ns0:is>
          <ns0:t xml:space="preserve">Noise </ns0:t>
        </ns0:is>
      </ns0:c>
      <ns0:c r="M24" s="98" t="inlineStr">
        <ns0:is>
          <ns0:t xml:space="preserve">Touch </ns0:t>
        </ns0:is>
      </ns0:c>
      <ns0:c r="N24" s="48" t="n"/>
      <ns0:c r="O24" s="48" t="n"/>
      <ns0:c r="P24" s="98" t="inlineStr">
        <ns0:is>
          <ns0:t xml:space="preserve">Noise </ns0:t>
        </ns0:is>
      </ns0:c>
      <ns0:c r="Q24" s="98" t="inlineStr">
        <ns0:is>
          <ns0:t xml:space="preserve">Touch </ns0:t>
        </ns0:is>
      </ns0:c>
      <ns0:c r="R24" s="48" t="n"/>
      <ns0:c r="S24" s="48" t="n"/>
      <ns0:c r="T24" s="18" t="n"/>
      <ns0:c r="U24" s="17" t="n"/>
    </ns0:row>
    <ns0:row r="25" ht="12" customHeight="1">
      <ns0:c r="B25" s="229" t="n">
        <ns0:v>45471</ns0:v>
      </ns0:c>
      <ns0:c r="C25" s="107" t="inlineStr">
        <ns0:is>
          <ns0:t>Material Frame</ns0:t>
        </ns0:is>
      </ns0:c>
      <ns0:c r="D25" s="230" t="inlineStr">
        <ns0:is>
          <ns0:t>B</ns0:t>
        </ns0:is>
      </ns0:c>
      <ns0:c r="E25" s="230" t="inlineStr">
        <ns0:is>
          <ns0:t>Big</ns0:t>
        </ns0:is>
      </ns0:c>
      <ns0:c r="F25" s="231" t="n">
        <ns0:v>13</ns0:v>
      </ns0:c>
      <ns0:c r="G25" s="232" t="n">
        <ns0:v>12</ns0:v>
      </ns0:c>
      <ns0:c r="H25" s="232" t="n">
        <ns0:v>0</ns0:v>
      </ns0:c>
      <ns0:c r="I25" s="232" t="n">
        <ns0:v>0</ns0:v>
      </ns0:c>
      <ns0:c r="J25" s="232" t="n">
        <ns0:v>0</ns0:v>
      </ns0:c>
      <ns0:c r="K25" s="232" t="n">
        <ns0:v>0</ns0:v>
      </ns0:c>
      <ns0:c r="L25" s="232" t="n">
        <ns0:v>1</ns0:v>
      </ns0:c>
      <ns0:c r="M25" s="232" t="n">
        <ns0:v>0</ns0:v>
      </ns0:c>
      <ns0:c r="N25" s="232" t="n">
        <ns0:v>1</ns0:v>
      </ns0:c>
      <ns0:c r="O25" s="233" t="n">
        <ns0:v>0.07692307692307693</ns0:v>
      </ns0:c>
      <ns0:c r="P25" s="232" t="n">
        <ns0:v>0</ns0:v>
      </ns0:c>
      <ns0:c r="Q25" s="232" t="n">
        <ns0:v>1</ns0:v>
      </ns0:c>
      <ns0:c r="R25" s="232" t="n">
        <ns0:v>1</ns0:v>
      </ns0:c>
      <ns0:c r="S25" s="233" t="n">
        <ns0:v>0.07692307692307693</ns0:v>
      </ns0:c>
      <ns0:c r="T25" s="232" t="inlineStr">
        <ns0:is>
          <ns0:t xml:space="preserve"> Hearing voltage up 10%</ns0:t>
        </ns0:is>
      </ns0:c>
      <ns0:c r="U25" s="45" t="n"/>
    </ns0:row>
    <ns0:row r="26" ht="12" customHeight="1">
      <ns0:c r="B26" s="58" t="n"/>
      <ns0:c r="C26" s="58" t="n"/>
      <ns0:c r="D26" s="48" t="n"/>
      <ns0:c r="E26" s="48" t="n"/>
      <ns0:c r="F26" s="48" t="n"/>
      <ns0:c r="G26" s="48" t="n"/>
      <ns0:c r="H26" s="234" t="n">
        <ns0:v>0</ns0:v>
      </ns0:c>
      <ns0:c r="I26" s="234" t="n">
        <ns0:v>0</ns0:v>
      </ns0:c>
      <ns0:c r="J26" s="234" t="n">
        <ns0:v>0</ns0:v>
      </ns0:c>
      <ns0:c r="K26" s="234" t="n">
        <ns0:v>0</ns0:v>
      </ns0:c>
      <ns0:c r="L26" s="234" t="n">
        <ns0:v>0.07692307692307693</ns0:v>
      </ns0:c>
      <ns0:c r="M26" s="234" t="n">
        <ns0:v>0</ns0:v>
      </ns0:c>
      <ns0:c r="N26" s="48" t="n"/>
      <ns0:c r="O26" s="48" t="n"/>
      <ns0:c r="P26" s="234" t="n">
        <ns0:v>0</ns0:v>
      </ns0:c>
      <ns0:c r="Q26" s="234" t="n">
        <ns0:v>0.08333333333333333</ns0:v>
      </ns0:c>
      <ns0:c r="R26" s="48" t="n"/>
      <ns0:c r="S26" s="48" t="n"/>
      <ns0:c r="T26" s="18" t="n"/>
      <ns0:c r="U26" s="17" t="n"/>
    </ns0:row>
    <ns0:row r="27" ht="12" customHeight="1">
      <ns0:c r="B27" s="58" t="n"/>
      <ns0:c r="C27" s="58" t="n"/>
      <ns0:c r="D27" s="108" t="inlineStr">
        <ns0:is>
          <ns0:t>B</ns0:t>
        </ns0:is>
      </ns0:c>
      <ns0:c r="E27" s="108" t="inlineStr">
        <ns0:is>
          <ns0:t>Medium</ns0:t>
        </ns0:is>
      </ns0:c>
      <ns0:c r="F27" s="109" t="n">
        <ns0:v>9</ns0:v>
      </ns0:c>
      <ns0:c r="G27" s="110" t="n">
        <ns0:v>9</ns0:v>
      </ns0:c>
      <ns0:c r="H27" s="110" t="n">
        <ns0:v>0</ns0:v>
      </ns0:c>
      <ns0:c r="I27" s="110" t="n">
        <ns0:v>0</ns0:v>
      </ns0:c>
      <ns0:c r="J27" s="110" t="n">
        <ns0:v>0</ns0:v>
      </ns0:c>
      <ns0:c r="K27" s="110" t="n">
        <ns0:v>0</ns0:v>
      </ns0:c>
      <ns0:c r="L27" s="110" t="n">
        <ns0:v>0</ns0:v>
      </ns0:c>
      <ns0:c r="M27" s="110" t="n">
        <ns0:v>0</ns0:v>
      </ns0:c>
      <ns0:c r="N27" s="110" t="n">
        <ns0:v>0</ns0:v>
      </ns0:c>
      <ns0:c r="O27" s="111" t="n">
        <ns0:v>0</ns0:v>
      </ns0:c>
      <ns0:c r="P27" s="110" t="n">
        <ns0:v>0</ns0:v>
      </ns0:c>
      <ns0:c r="Q27" s="110" t="n">
        <ns0:v>0</ns0:v>
      </ns0:c>
      <ns0:c r="R27" s="110" t="n">
        <ns0:v>0</ns0:v>
      </ns0:c>
      <ns0:c r="S27" s="111" t="n">
        <ns0:v>0</ns0:v>
      </ns0:c>
      <ns0:c r="T27" s="110" t="inlineStr">
        <ns0:is>
          <ns0:t xml:space="preserve"> Hearing voltage up 10%</ns0:t>
        </ns0:is>
      </ns0:c>
      <ns0:c r="U27" s="45" t="n"/>
    </ns0:row>
    <ns0:row r="28" ht="12" customHeight="1">
      <ns0:c r="B28" s="58" t="n"/>
      <ns0:c r="C28" s="58" t="n"/>
      <ns0:c r="D28" s="48" t="n"/>
      <ns0:c r="E28" s="48" t="n"/>
      <ns0:c r="F28" s="48" t="n"/>
      <ns0:c r="G28" s="48" t="n"/>
      <ns0:c r="H28" s="112" t="n">
        <ns0:v>0</ns0:v>
      </ns0:c>
      <ns0:c r="I28" s="112" t="n">
        <ns0:v>0</ns0:v>
      </ns0:c>
      <ns0:c r="J28" s="112" t="n">
        <ns0:v>0</ns0:v>
      </ns0:c>
      <ns0:c r="K28" s="112" t="n">
        <ns0:v>0</ns0:v>
      </ns0:c>
      <ns0:c r="L28" s="112" t="n">
        <ns0:v>0</ns0:v>
      </ns0:c>
      <ns0:c r="M28" s="112" t="n">
        <ns0:v>0</ns0:v>
      </ns0:c>
      <ns0:c r="N28" s="48" t="n"/>
      <ns0:c r="O28" s="48" t="n"/>
      <ns0:c r="P28" s="112" t="n">
        <ns0:v>0</ns0:v>
      </ns0:c>
      <ns0:c r="Q28" s="112" t="n">
        <ns0:v>0</ns0:v>
      </ns0:c>
      <ns0:c r="R28" s="48" t="n"/>
      <ns0:c r="S28" s="48" t="n"/>
      <ns0:c r="T28" s="18" t="n"/>
      <ns0:c r="U28" s="17" t="n"/>
    </ns0:row>
    <ns0:row r="29" ht="12" customHeight="1">
      <ns0:c r="B29" s="58" t="n"/>
      <ns0:c r="C29" s="58" t="n"/>
      <ns0:c r="D29" s="108" t="inlineStr">
        <ns0:is>
          <ns0:t>B</ns0:t>
        </ns0:is>
      </ns0:c>
      <ns0:c r="E29" s="108" t="inlineStr">
        <ns0:is>
          <ns0:t>Small</ns0:t>
        </ns0:is>
      </ns0:c>
      <ns0:c r="F29" s="235" t="n">
        <ns0:v>1</ns0:v>
      </ns0:c>
      <ns0:c r="G29" s="110" t="n">
        <ns0:v>1</ns0:v>
      </ns0:c>
      <ns0:c r="H29" s="110" t="n">
        <ns0:v>0</ns0:v>
      </ns0:c>
      <ns0:c r="I29" s="110" t="n">
        <ns0:v>0</ns0:v>
      </ns0:c>
      <ns0:c r="J29" s="110" t="n">
        <ns0:v>0</ns0:v>
      </ns0:c>
      <ns0:c r="K29" s="110" t="n">
        <ns0:v>0</ns0:v>
      </ns0:c>
      <ns0:c r="L29" s="110" t="n">
        <ns0:v>0</ns0:v>
      </ns0:c>
      <ns0:c r="M29" s="110" t="n">
        <ns0:v>0</ns0:v>
      </ns0:c>
      <ns0:c r="N29" s="110" t="n">
        <ns0:v>0</ns0:v>
      </ns0:c>
      <ns0:c r="O29" s="111" t="n">
        <ns0:v>0</ns0:v>
      </ns0:c>
      <ns0:c r="P29" s="110" t="n">
        <ns0:v>0</ns0:v>
      </ns0:c>
      <ns0:c r="Q29" s="110" t="n">
        <ns0:v>0</ns0:v>
      </ns0:c>
      <ns0:c r="R29" s="110" t="n">
        <ns0:v>0</ns0:v>
      </ns0:c>
      <ns0:c r="S29" s="111" t="n">
        <ns0:v>0</ns0:v>
      </ns0:c>
      <ns0:c r="T29" s="110" t="inlineStr">
        <ns0:is>
          <ns0:t xml:space="preserve"> Hearing voltage up 10%</ns0:t>
        </ns0:is>
      </ns0:c>
      <ns0:c r="U29" s="45" t="n"/>
    </ns0:row>
    <ns0:row r="30" ht="12" customHeight="1">
      <ns0:c r="B30" s="58" t="n"/>
      <ns0:c r="C30" s="58" t="n"/>
      <ns0:c r="D30" s="48" t="n"/>
      <ns0:c r="E30" s="48" t="n"/>
      <ns0:c r="F30" s="48" t="n"/>
      <ns0:c r="G30" s="48" t="n"/>
      <ns0:c r="H30" s="112" t="n">
        <ns0:v>0</ns0:v>
      </ns0:c>
      <ns0:c r="I30" s="112" t="n">
        <ns0:v>0</ns0:v>
      </ns0:c>
      <ns0:c r="J30" s="112" t="n">
        <ns0:v>0</ns0:v>
      </ns0:c>
      <ns0:c r="K30" s="112" t="n">
        <ns0:v>0</ns0:v>
      </ns0:c>
      <ns0:c r="L30" s="112" t="n">
        <ns0:v>0</ns0:v>
      </ns0:c>
      <ns0:c r="M30" s="112" t="n">
        <ns0:v>0</ns0:v>
      </ns0:c>
      <ns0:c r="N30" s="48" t="n"/>
      <ns0:c r="O30" s="48" t="n"/>
      <ns0:c r="P30" s="112" t="n">
        <ns0:v>0</ns0:v>
      </ns0:c>
      <ns0:c r="Q30" s="112" t="n">
        <ns0:v>0</ns0:v>
      </ns0:c>
      <ns0:c r="R30" s="48" t="n"/>
      <ns0:c r="S30" s="48" t="n"/>
      <ns0:c r="T30" s="18" t="n"/>
      <ns0:c r="U30" s="17" t="n"/>
    </ns0:row>
    <ns0:row r="31" ht="12" customHeight="1">
      <ns0:c r="B31" s="58" t="n"/>
      <ns0:c r="C31" s="58" t="n"/>
      <ns0:c r="D31" s="230" t="inlineStr">
        <ns0:is>
          <ns0:t>C</ns0:t>
        </ns0:is>
      </ns0:c>
      <ns0:c r="E31" s="230" t="inlineStr">
        <ns0:is>
          <ns0:t>Big</ns0:t>
        </ns0:is>
      </ns0:c>
      <ns0:c r="F31" s="231" t="n">
        <ns0:v>13</ns0:v>
      </ns0:c>
      <ns0:c r="G31" s="232" t="n">
        <ns0:v>11</ns0:v>
      </ns0:c>
      <ns0:c r="H31" s="232" t="n">
        <ns0:v>0</ns0:v>
      </ns0:c>
      <ns0:c r="I31" s="232" t="n">
        <ns0:v>0</ns0:v>
      </ns0:c>
      <ns0:c r="J31" s="232" t="n">
        <ns0:v>0</ns0:v>
      </ns0:c>
      <ns0:c r="K31" s="232" t="n">
        <ns0:v>0</ns0:v>
      </ns0:c>
      <ns0:c r="L31" s="232" t="n">
        <ns0:v>1</ns0:v>
      </ns0:c>
      <ns0:c r="M31" s="232" t="n">
        <ns0:v>1</ns0:v>
      </ns0:c>
      <ns0:c r="N31" s="232" t="n">
        <ns0:v>2</ns0:v>
      </ns0:c>
      <ns0:c r="O31" s="233" t="n">
        <ns0:v>0.1538461538461539</ns0:v>
      </ns0:c>
      <ns0:c r="P31" s="232" t="n">
        <ns0:v>1</ns0:v>
      </ns0:c>
      <ns0:c r="Q31" s="232" t="n">
        <ns0:v>1</ns0:v>
      </ns0:c>
      <ns0:c r="R31" s="232" t="n">
        <ns0:v>2</ns0:v>
      </ns0:c>
      <ns0:c r="S31" s="233" t="n">
        <ns0:v>0.1538461538461539</ns0:v>
      </ns0:c>
      <ns0:c r="T31" s="232" t="inlineStr">
        <ns0:is>
          <ns0:t xml:space="preserve"> Hearing voltage up 10%</ns0:t>
        </ns0:is>
      </ns0:c>
      <ns0:c r="U31" s="45" t="n"/>
    </ns0:row>
    <ns0:row r="32" ht="12" customHeight="1">
      <ns0:c r="B32" s="58" t="n"/>
      <ns0:c r="C32" s="58" t="n"/>
      <ns0:c r="D32" s="48" t="n"/>
      <ns0:c r="E32" s="48" t="n"/>
      <ns0:c r="F32" s="48" t="n"/>
      <ns0:c r="G32" s="48" t="n"/>
      <ns0:c r="H32" s="234" t="n">
        <ns0:v>0</ns0:v>
      </ns0:c>
      <ns0:c r="I32" s="234" t="n">
        <ns0:v>0</ns0:v>
      </ns0:c>
      <ns0:c r="J32" s="234" t="n">
        <ns0:v>0</ns0:v>
      </ns0:c>
      <ns0:c r="K32" s="234" t="n">
        <ns0:v>0</ns0:v>
      </ns0:c>
      <ns0:c r="L32" s="234" t="n">
        <ns0:v>0.5</ns0:v>
      </ns0:c>
      <ns0:c r="M32" s="234" t="n">
        <ns0:v>0.5</ns0:v>
      </ns0:c>
      <ns0:c r="N32" s="48" t="n"/>
      <ns0:c r="O32" s="48" t="n"/>
      <ns0:c r="P32" s="234" t="n">
        <ns0:v>0.07692307692307693</ns0:v>
      </ns0:c>
      <ns0:c r="Q32" s="234" t="n">
        <ns0:v>0.09090909090909091</ns0:v>
      </ns0:c>
      <ns0:c r="R32" s="48" t="n"/>
      <ns0:c r="S32" s="48" t="n"/>
      <ns0:c r="T32" s="18" t="n"/>
      <ns0:c r="U32" s="17" t="n"/>
    </ns0:row>
    <ns0:row r="33" ht="12" customHeight="1">
      <ns0:c r="B33" s="58" t="n"/>
      <ns0:c r="C33" s="58" t="n"/>
      <ns0:c r="D33" s="108" t="inlineStr">
        <ns0:is>
          <ns0:t>C</ns0:t>
        </ns0:is>
      </ns0:c>
      <ns0:c r="E33" s="108" t="inlineStr">
        <ns0:is>
          <ns0:t>Medium</ns0:t>
        </ns0:is>
      </ns0:c>
      <ns0:c r="F33" s="109" t="n">
        <ns0:v>5</ns0:v>
      </ns0:c>
      <ns0:c r="G33" s="110" t="n">
        <ns0:v>5</ns0:v>
      </ns0:c>
      <ns0:c r="H33" s="110" t="n">
        <ns0:v>0</ns0:v>
      </ns0:c>
      <ns0:c r="I33" s="110" t="n">
        <ns0:v>0</ns0:v>
      </ns0:c>
      <ns0:c r="J33" s="110" t="n">
        <ns0:v>0</ns0:v>
      </ns0:c>
      <ns0:c r="K33" s="110" t="n">
        <ns0:v>0</ns0:v>
      </ns0:c>
      <ns0:c r="L33" s="110" t="n">
        <ns0:v>0</ns0:v>
      </ns0:c>
      <ns0:c r="M33" s="110" t="n">
        <ns0:v>0</ns0:v>
      </ns0:c>
      <ns0:c r="N33" s="110" t="n">
        <ns0:v>0</ns0:v>
      </ns0:c>
      <ns0:c r="O33" s="111" t="n">
        <ns0:v>0</ns0:v>
      </ns0:c>
      <ns0:c r="P33" s="110" t="n">
        <ns0:v>0</ns0:v>
      </ns0:c>
      <ns0:c r="Q33" s="110" t="n">
        <ns0:v>0</ns0:v>
      </ns0:c>
      <ns0:c r="R33" s="110" t="n">
        <ns0:v>0</ns0:v>
      </ns0:c>
      <ns0:c r="S33" s="111" t="n">
        <ns0:v>0</ns0:v>
      </ns0:c>
      <ns0:c r="T33" s="110" t="inlineStr">
        <ns0:is>
          <ns0:t xml:space="preserve"> Hearing voltage up 10%</ns0:t>
        </ns0:is>
      </ns0:c>
      <ns0:c r="U33" s="45" t="n"/>
    </ns0:row>
    <ns0:row r="34" ht="12" customHeight="1">
      <ns0:c r="B34" s="58" t="n"/>
      <ns0:c r="C34" s="58" t="n"/>
      <ns0:c r="D34" s="48" t="n"/>
      <ns0:c r="E34" s="48" t="n"/>
      <ns0:c r="F34" s="48" t="n"/>
      <ns0:c r="G34" s="48" t="n"/>
      <ns0:c r="H34" s="112" t="n">
        <ns0:v>0</ns0:v>
      </ns0:c>
      <ns0:c r="I34" s="112" t="n">
        <ns0:v>0</ns0:v>
      </ns0:c>
      <ns0:c r="J34" s="112" t="n">
        <ns0:v>0</ns0:v>
      </ns0:c>
      <ns0:c r="K34" s="112" t="n">
        <ns0:v>0</ns0:v>
      </ns0:c>
      <ns0:c r="L34" s="112" t="n">
        <ns0:v>0</ns0:v>
      </ns0:c>
      <ns0:c r="M34" s="112" t="n">
        <ns0:v>0</ns0:v>
      </ns0:c>
      <ns0:c r="N34" s="48" t="n"/>
      <ns0:c r="O34" s="48" t="n"/>
      <ns0:c r="P34" s="112" t="n">
        <ns0:v>0</ns0:v>
      </ns0:c>
      <ns0:c r="Q34" s="112" t="n">
        <ns0:v>0</ns0:v>
      </ns0:c>
      <ns0:c r="R34" s="48" t="n"/>
      <ns0:c r="S34" s="48" t="n"/>
      <ns0:c r="T34" s="18" t="n"/>
      <ns0:c r="U34" s="17" t="n"/>
    </ns0:row>
    <ns0:row r="35" ht="12" customHeight="1">
      <ns0:c r="B35" s="58" t="n"/>
      <ns0:c r="C35" s="58" t="n"/>
      <ns0:c r="D35" s="108" t="inlineStr">
        <ns0:is>
          <ns0:t>C</ns0:t>
        </ns0:is>
      </ns0:c>
      <ns0:c r="E35" s="108" t="inlineStr">
        <ns0:is>
          <ns0:t>Small</ns0:t>
        </ns0:is>
      </ns0:c>
      <ns0:c r="F35" s="235" t="n">
        <ns0:v>6</ns0:v>
      </ns0:c>
      <ns0:c r="G35" s="110" t="n">
        <ns0:v>6</ns0:v>
      </ns0:c>
      <ns0:c r="H35" s="110" t="n">
        <ns0:v>0</ns0:v>
      </ns0:c>
      <ns0:c r="I35" s="110" t="n">
        <ns0:v>0</ns0:v>
      </ns0:c>
      <ns0:c r="J35" s="110" t="n">
        <ns0:v>0</ns0:v>
      </ns0:c>
      <ns0:c r="K35" s="110" t="n">
        <ns0:v>0</ns0:v>
      </ns0:c>
      <ns0:c r="L35" s="110" t="n">
        <ns0:v>0</ns0:v>
      </ns0:c>
      <ns0:c r="M35" s="110" t="n">
        <ns0:v>0</ns0:v>
      </ns0:c>
      <ns0:c r="N35" s="110" t="n">
        <ns0:v>0</ns0:v>
      </ns0:c>
      <ns0:c r="O35" s="111" t="n">
        <ns0:v>0</ns0:v>
      </ns0:c>
      <ns0:c r="P35" s="110" t="n">
        <ns0:v>0</ns0:v>
      </ns0:c>
      <ns0:c r="Q35" s="110" t="n">
        <ns0:v>0</ns0:v>
      </ns0:c>
      <ns0:c r="R35" s="110" t="n">
        <ns0:v>0</ns0:v>
      </ns0:c>
      <ns0:c r="S35" s="111" t="n">
        <ns0:v>0</ns0:v>
      </ns0:c>
      <ns0:c r="T35" s="110" t="inlineStr">
        <ns0:is>
          <ns0:t xml:space="preserve"> Hearing voltage up 10%</ns0:t>
        </ns0:is>
      </ns0:c>
      <ns0:c r="U35" s="45" t="n"/>
    </ns0:row>
    <ns0:row r="36" ht="12" customHeight="1">
      <ns0:c r="B36" s="58" t="n"/>
      <ns0:c r="C36" s="58" t="n"/>
      <ns0:c r="D36" s="48" t="n"/>
      <ns0:c r="E36" s="48" t="n"/>
      <ns0:c r="F36" s="48" t="n"/>
      <ns0:c r="G36" s="48" t="n"/>
      <ns0:c r="H36" s="112" t="n">
        <ns0:v>0</ns0:v>
      </ns0:c>
      <ns0:c r="I36" s="112" t="n">
        <ns0:v>0</ns0:v>
      </ns0:c>
      <ns0:c r="J36" s="112" t="n">
        <ns0:v>0</ns0:v>
      </ns0:c>
      <ns0:c r="K36" s="112" t="n">
        <ns0:v>0</ns0:v>
      </ns0:c>
      <ns0:c r="L36" s="112" t="n">
        <ns0:v>0</ns0:v>
      </ns0:c>
      <ns0:c r="M36" s="112" t="n">
        <ns0:v>0</ns0:v>
      </ns0:c>
      <ns0:c r="N36" s="48" t="n"/>
      <ns0:c r="O36" s="48" t="n"/>
      <ns0:c r="P36" s="112" t="n">
        <ns0:v>0</ns0:v>
      </ns0:c>
      <ns0:c r="Q36" s="112" t="n">
        <ns0:v>0</ns0:v>
      </ns0:c>
      <ns0:c r="R36" s="48" t="n"/>
      <ns0:c r="S36" s="48" t="n"/>
      <ns0:c r="T36" s="18" t="n"/>
      <ns0:c r="U36" s="17" t="n"/>
    </ns0:row>
    <ns0:row r="37" ht="12" customHeight="1">
      <ns0:c r="B37" s="58" t="n"/>
      <ns0:c r="C37" s="58" t="n"/>
      <ns0:c r="D37" s="230" t="inlineStr">
        <ns0:is>
          <ns0:t>D</ns0:t>
        </ns0:is>
      </ns0:c>
      <ns0:c r="E37" s="230" t="inlineStr">
        <ns0:is>
          <ns0:t>Big</ns0:t>
        </ns0:is>
      </ns0:c>
      <ns0:c r="F37" s="231" t="n">
        <ns0:v>16</ns0:v>
      </ns0:c>
      <ns0:c r="G37" s="232" t="n">
        <ns0:v>14</ns0:v>
      </ns0:c>
      <ns0:c r="H37" s="232" t="n">
        <ns0:v>0</ns0:v>
      </ns0:c>
      <ns0:c r="I37" s="232" t="n">
        <ns0:v>0</ns0:v>
      </ns0:c>
      <ns0:c r="J37" s="232" t="n">
        <ns0:v>0</ns0:v>
      </ns0:c>
      <ns0:c r="K37" s="232" t="n">
        <ns0:v>0</ns0:v>
      </ns0:c>
      <ns0:c r="L37" s="232" t="n">
        <ns0:v>2</ns0:v>
      </ns0:c>
      <ns0:c r="M37" s="232" t="n">
        <ns0:v>0</ns0:v>
      </ns0:c>
      <ns0:c r="N37" s="232" t="n">
        <ns0:v>2</ns0:v>
      </ns0:c>
      <ns0:c r="O37" s="233" t="n">
        <ns0:v>0.125</ns0:v>
      </ns0:c>
      <ns0:c r="P37" s="232" t="n">
        <ns0:v>0</ns0:v>
      </ns0:c>
      <ns0:c r="Q37" s="232" t="n">
        <ns0:v>2</ns0:v>
      </ns0:c>
      <ns0:c r="R37" s="232" t="n">
        <ns0:v>2</ns0:v>
      </ns0:c>
      <ns0:c r="S37" s="233" t="n">
        <ns0:v>0.125</ns0:v>
      </ns0:c>
      <ns0:c r="T37" s="232" t="inlineStr">
        <ns0:is>
          <ns0:t xml:space="preserve"> Hearing voltage up 10%</ns0:t>
        </ns0:is>
      </ns0:c>
      <ns0:c r="U37" s="45" t="n"/>
    </ns0:row>
    <ns0:row r="38" ht="12" customHeight="1">
      <ns0:c r="B38" s="58" t="n"/>
      <ns0:c r="C38" s="58" t="n"/>
      <ns0:c r="D38" s="48" t="n"/>
      <ns0:c r="E38" s="48" t="n"/>
      <ns0:c r="F38" s="48" t="n"/>
      <ns0:c r="G38" s="48" t="n"/>
      <ns0:c r="H38" s="234" t="n">
        <ns0:v>0</ns0:v>
      </ns0:c>
      <ns0:c r="I38" s="234" t="n">
        <ns0:v>0</ns0:v>
      </ns0:c>
      <ns0:c r="J38" s="234" t="n">
        <ns0:v>0</ns0:v>
      </ns0:c>
      <ns0:c r="K38" s="234" t="n">
        <ns0:v>0</ns0:v>
      </ns0:c>
      <ns0:c r="L38" s="234" t="n">
        <ns0:v>1</ns0:v>
      </ns0:c>
      <ns0:c r="M38" s="234" t="n">
        <ns0:v>0</ns0:v>
      </ns0:c>
      <ns0:c r="N38" s="48" t="n"/>
      <ns0:c r="O38" s="48" t="n"/>
      <ns0:c r="P38" s="234" t="n">
        <ns0:v>0</ns0:v>
      </ns0:c>
      <ns0:c r="Q38" s="234" t="n">
        <ns0:v>0.1428571428571428</ns0:v>
      </ns0:c>
      <ns0:c r="R38" s="48" t="n"/>
      <ns0:c r="S38" s="48" t="n"/>
      <ns0:c r="T38" s="18" t="n"/>
      <ns0:c r="U38" s="17" t="n"/>
    </ns0:row>
    <ns0:row r="39" ht="12" customHeight="1">
      <ns0:c r="B39" s="58" t="n"/>
      <ns0:c r="C39" s="58" t="n"/>
      <ns0:c r="D39" s="108" t="inlineStr">
        <ns0:is>
          <ns0:t>D</ns0:t>
        </ns0:is>
      </ns0:c>
      <ns0:c r="E39" s="108" t="inlineStr">
        <ns0:is>
          <ns0:t>Medium</ns0:t>
        </ns0:is>
      </ns0:c>
      <ns0:c r="F39" s="109" t="n">
        <ns0:v>7</ns0:v>
      </ns0:c>
      <ns0:c r="G39" s="110" t="n">
        <ns0:v>5</ns0:v>
      </ns0:c>
      <ns0:c r="H39" s="110" t="n">
        <ns0:v>0</ns0:v>
      </ns0:c>
      <ns0:c r="I39" s="110" t="n">
        <ns0:v>0</ns0:v>
      </ns0:c>
      <ns0:c r="J39" s="110" t="n">
        <ns0:v>0</ns0:v>
      </ns0:c>
      <ns0:c r="K39" s="110" t="n">
        <ns0:v>0</ns0:v>
      </ns0:c>
      <ns0:c r="L39" s="110" t="n">
        <ns0:v>2</ns0:v>
      </ns0:c>
      <ns0:c r="M39" s="110" t="n">
        <ns0:v>0</ns0:v>
      </ns0:c>
      <ns0:c r="N39" s="110" t="n">
        <ns0:v>2</ns0:v>
      </ns0:c>
      <ns0:c r="O39" s="111" t="n">
        <ns0:v>0.2857142857142857</ns0:v>
      </ns0:c>
      <ns0:c r="P39" s="110" t="n">
        <ns0:v>0</ns0:v>
      </ns0:c>
      <ns0:c r="Q39" s="110" t="n">
        <ns0:v>0</ns0:v>
      </ns0:c>
      <ns0:c r="R39" s="110" t="n">
        <ns0:v>0</ns0:v>
      </ns0:c>
      <ns0:c r="S39" s="111" t="n">
        <ns0:v>0</ns0:v>
      </ns0:c>
      <ns0:c r="T39" s="110" t="inlineStr">
        <ns0:is>
          <ns0:t xml:space="preserve"> Hearing voltage up 10%</ns0:t>
        </ns0:is>
      </ns0:c>
      <ns0:c r="U39" s="45" t="n"/>
    </ns0:row>
    <ns0:row r="40" ht="12" customHeight="1">
      <ns0:c r="B40" s="58" t="n"/>
      <ns0:c r="C40" s="58" t="n"/>
      <ns0:c r="D40" s="48" t="n"/>
      <ns0:c r="E40" s="48" t="n"/>
      <ns0:c r="F40" s="48" t="n"/>
      <ns0:c r="G40" s="48" t="n"/>
      <ns0:c r="H40" s="112" t="n">
        <ns0:v>0</ns0:v>
      </ns0:c>
      <ns0:c r="I40" s="112" t="n">
        <ns0:v>0</ns0:v>
      </ns0:c>
      <ns0:c r="J40" s="112" t="n">
        <ns0:v>0</ns0:v>
      </ns0:c>
      <ns0:c r="K40" s="112" t="n">
        <ns0:v>0</ns0:v>
      </ns0:c>
      <ns0:c r="L40" s="112" t="n">
        <ns0:v>1</ns0:v>
      </ns0:c>
      <ns0:c r="M40" s="112" t="n">
        <ns0:v>0</ns0:v>
      </ns0:c>
      <ns0:c r="N40" s="48" t="n"/>
      <ns0:c r="O40" s="48" t="n"/>
      <ns0:c r="P40" s="112" t="n">
        <ns0:v>0</ns0:v>
      </ns0:c>
      <ns0:c r="Q40" s="112" t="n">
        <ns0:v>0</ns0:v>
      </ns0:c>
      <ns0:c r="R40" s="48" t="n"/>
      <ns0:c r="S40" s="48" t="n"/>
      <ns0:c r="T40" s="18" t="n"/>
      <ns0:c r="U40" s="17" t="n"/>
    </ns0:row>
    <ns0:row r="41" ht="12" customHeight="1">
      <ns0:c r="B41" s="58" t="n"/>
      <ns0:c r="C41" s="58" t="n"/>
      <ns0:c r="D41" s="108" t="inlineStr">
        <ns0:is>
          <ns0:t>D</ns0:t>
        </ns0:is>
      </ns0:c>
      <ns0:c r="E41" s="108" t="inlineStr">
        <ns0:is>
          <ns0:t>Small</ns0:t>
        </ns0:is>
      </ns0:c>
      <ns0:c r="F41" s="235" t="n">
        <ns0:v>2</ns0:v>
      </ns0:c>
      <ns0:c r="G41" s="110" t="n">
        <ns0:v>2</ns0:v>
      </ns0:c>
      <ns0:c r="H41" s="110" t="n">
        <ns0:v>0</ns0:v>
      </ns0:c>
      <ns0:c r="I41" s="110" t="n">
        <ns0:v>0</ns0:v>
      </ns0:c>
      <ns0:c r="J41" s="110" t="n">
        <ns0:v>0</ns0:v>
      </ns0:c>
      <ns0:c r="K41" s="110" t="n">
        <ns0:v>0</ns0:v>
      </ns0:c>
      <ns0:c r="L41" s="110" t="n">
        <ns0:v>0</ns0:v>
      </ns0:c>
      <ns0:c r="M41" s="110" t="n">
        <ns0:v>0</ns0:v>
      </ns0:c>
      <ns0:c r="N41" s="110" t="n">
        <ns0:v>0</ns0:v>
      </ns0:c>
      <ns0:c r="O41" s="111" t="n">
        <ns0:v>0</ns0:v>
      </ns0:c>
      <ns0:c r="P41" s="110" t="n">
        <ns0:v>0</ns0:v>
      </ns0:c>
      <ns0:c r="Q41" s="110" t="n">
        <ns0:v>0</ns0:v>
      </ns0:c>
      <ns0:c r="R41" s="110" t="n">
        <ns0:v>0</ns0:v>
      </ns0:c>
      <ns0:c r="S41" s="111" t="n">
        <ns0:v>0</ns0:v>
      </ns0:c>
      <ns0:c r="T41" s="110" t="inlineStr">
        <ns0:is>
          <ns0:t xml:space="preserve"> Hearing voltage up 10%</ns0:t>
        </ns0:is>
      </ns0:c>
      <ns0:c r="U41" s="45" t="n"/>
    </ns0:row>
    <ns0:row r="42" ht="12" customHeight="1">
      <ns0:c r="B42" s="58" t="n"/>
      <ns0:c r="C42" s="58" t="n"/>
      <ns0:c r="D42" s="48" t="n"/>
      <ns0:c r="E42" s="48" t="n"/>
      <ns0:c r="F42" s="48" t="n"/>
      <ns0:c r="G42" s="48" t="n"/>
      <ns0:c r="H42" s="112" t="n">
        <ns0:v>0</ns0:v>
      </ns0:c>
      <ns0:c r="I42" s="112" t="n">
        <ns0:v>0</ns0:v>
      </ns0:c>
      <ns0:c r="J42" s="112" t="n">
        <ns0:v>0</ns0:v>
      </ns0:c>
      <ns0:c r="K42" s="112" t="n">
        <ns0:v>0</ns0:v>
      </ns0:c>
      <ns0:c r="L42" s="112" t="n">
        <ns0:v>0</ns0:v>
      </ns0:c>
      <ns0:c r="M42" s="112" t="n">
        <ns0:v>0</ns0:v>
      </ns0:c>
      <ns0:c r="N42" s="48" t="n"/>
      <ns0:c r="O42" s="48" t="n"/>
      <ns0:c r="P42" s="112" t="n">
        <ns0:v>0</ns0:v>
      </ns0:c>
      <ns0:c r="Q42" s="112" t="n">
        <ns0:v>0</ns0:v>
      </ns0:c>
      <ns0:c r="R42" s="48" t="n"/>
      <ns0:c r="S42" s="48" t="n"/>
      <ns0:c r="T42" s="18" t="n"/>
      <ns0:c r="U42" s="17" t="n"/>
    </ns0:row>
    <ns0:row r="43" ht="12" customHeight="1">
      <ns0:c r="B43" s="58" t="n"/>
      <ns0:c r="C43" s="58" t="n"/>
      <ns0:c r="D43" s="108" t="inlineStr">
        <ns0:is>
          <ns0:t>Normal</ns0:t>
        </ns0:is>
      </ns0:c>
      <ns0:c r="E43" s="236" t="n"/>
      <ns0:c r="F43" s="109" t="n">
        <ns0:v>797</ns0:v>
      </ns0:c>
      <ns0:c r="G43" s="110" t="n">
        <ns0:v>674</ns0:v>
      </ns0:c>
      <ns0:c r="H43" s="110" t="n">
        <ns0:v>0</ns0:v>
      </ns0:c>
      <ns0:c r="I43" s="110" t="n">
        <ns0:v>0</ns0:v>
      </ns0:c>
      <ns0:c r="J43" s="110" t="n">
        <ns0:v>0</ns0:v>
      </ns0:c>
      <ns0:c r="K43" s="110" t="n">
        <ns0:v>0</ns0:v>
      </ns0:c>
      <ns0:c r="L43" s="110" t="n">
        <ns0:v>25</ns0:v>
      </ns0:c>
      <ns0:c r="M43" s="110" t="n">
        <ns0:v>98</ns0:v>
      </ns0:c>
      <ns0:c r="N43" s="110" t="n">
        <ns0:v>123</ns0:v>
      </ns0:c>
      <ns0:c r="O43" s="111" t="n">
        <ns0:v>0.1543287327478043</ns0:v>
      </ns0:c>
      <ns0:c r="P43" s="110" t="n">
        <ns0:v>13</ns0:v>
      </ns0:c>
      <ns0:c r="Q43" s="110" t="n">
        <ns0:v>17</ns0:v>
      </ns0:c>
      <ns0:c r="R43" s="110" t="n">
        <ns0:v>30</ns0:v>
      </ns0:c>
      <ns0:c r="S43" s="111" t="n">
        <ns0:v>0.03764115432873275</ns0:v>
      </ns0:c>
      <ns0:c r="T43" s="110" t="inlineStr">
        <ns0:is>
          <ns0:t xml:space="preserve"> Hearing voltage up 10%</ns0:t>
        </ns0:is>
      </ns0:c>
      <ns0:c r="U43" s="45" t="n"/>
    </ns0:row>
    <ns0:row r="44" ht="12" customHeight="1">
      <ns0:c r="B44" s="48" t="n"/>
      <ns0:c r="C44" s="48" t="n"/>
      <ns0:c r="D44" s="48" t="n"/>
      <ns0:c r="E44" s="237" t="n"/>
      <ns0:c r="F44" s="48" t="n"/>
      <ns0:c r="G44" s="48" t="n"/>
      <ns0:c r="H44" s="112" t="n">
        <ns0:v>0</ns0:v>
      </ns0:c>
      <ns0:c r="I44" s="112" t="n">
        <ns0:v>0</ns0:v>
      </ns0:c>
      <ns0:c r="J44" s="112" t="n">
        <ns0:v>0</ns0:v>
      </ns0:c>
      <ns0:c r="K44" s="112" t="n">
        <ns0:v>0</ns0:v>
      </ns0:c>
      <ns0:c r="L44" s="112" t="n">
        <ns0:v>0.03136762860727729</ns0:v>
      </ns0:c>
      <ns0:c r="M44" s="112" t="n">
        <ns0:v>0.122961104140527</ns0:v>
      </ns0:c>
      <ns0:c r="N44" s="48" t="n"/>
      <ns0:c r="O44" s="48" t="n"/>
      <ns0:c r="P44" s="112" t="n">
        <ns0:v>0.01631116687578419</ns0:v>
      </ns0:c>
      <ns0:c r="Q44" s="112" t="n">
        <ns0:v>0.02522255192878338</ns0:v>
      </ns0:c>
      <ns0:c r="R44" s="48" t="n"/>
      <ns0:c r="S44" s="48" t="n"/>
      <ns0:c r="T44" s="18" t="n"/>
      <ns0:c r="U44" s="17" t="n"/>
    </ns0:row>
    <ns0:row r="46">
      <ns0:c r="C46" s="238" t="inlineStr">
        <ns0:is>
          <ns0:t>Frame Outside Size 
Change
14.83~84</ns0:t>
        </ns0:is>
      </ns0:c>
      <ns0:c r="D46" s="45" t="n"/>
      <ns0:c r="E46" s="239" t="inlineStr">
        <ns0:is>
          <ns0:t>Cavity</ns0:t>
        </ns0:is>
      </ns0:c>
      <ns0:c r="F46" s="239" t="inlineStr">
        <ns0:is>
          <ns0:t xml:space="preserve">Input </ns0:t>
        </ns0:is>
      </ns0:c>
      <ns0:c r="G46" s="240" t="inlineStr">
        <ns0:is>
          <ns0:t xml:space="preserve">OK </ns0:t>
        </ns0:is>
      </ns0:c>
      <ns0:c r="H46" s="240" t="inlineStr">
        <ns0:is>
          <ns0:t xml:space="preserve">Sigma </ns0:t>
        </ns0:is>
      </ns0:c>
      <ns0:c r="I46" s="80" t="n"/>
      <ns0:c r="J46" s="80" t="n"/>
      <ns0:c r="K46" s="45" t="n"/>
      <ns0:c r="L46" s="240" t="inlineStr">
        <ns0:is>
          <ns0:t>+ 10% Voltage Up</ns0:t>
        </ns0:is>
      </ns0:c>
      <ns0:c r="M46" s="23" t="n"/>
      <ns0:c r="N46" s="23" t="n"/>
      <ns0:c r="O46" s="47" t="n"/>
      <ns0:c r="P46" s="240" t="inlineStr">
        <ns0:is>
          <ns0:t>Standard Voltage</ns0:t>
        </ns0:is>
      </ns0:c>
      <ns0:c r="Q46" s="23" t="n"/>
      <ns0:c r="R46" s="23" t="n"/>
      <ns0:c r="S46" s="47" t="n"/>
      <ns0:c r="T46" s="239" t="inlineStr">
        <ns0:is>
          <ns0:t>Improve Rate
(Standard Voltage)</ns0:t>
        </ns0:is>
      </ns0:c>
      <ns0:c r="U46" s="45" t="n"/>
    </ns0:row>
    <ns0:row r="47" ht="15" customHeight="1">
      <ns0:c r="C47" s="12" t="n"/>
      <ns0:c r="D47" s="11" t="n"/>
      <ns0:c r="E47" s="58" t="n"/>
      <ns0:c r="F47" s="58" t="n"/>
      <ns0:c r="G47" s="58" t="n"/>
      <ns0:c r="H47" s="18" t="n"/>
      <ns0:c r="I47" s="19" t="n"/>
      <ns0:c r="J47" s="19" t="n"/>
      <ns0:c r="K47" s="17" t="n"/>
      <ns0:c r="L47" s="240" t="inlineStr">
        <ns0:is>
          <ns0:t xml:space="preserve">Hearing </ns0:t>
        </ns0:is>
      </ns0:c>
      <ns0:c r="M47" s="47" t="n"/>
      <ns0:c r="N47" s="240" t="inlineStr">
        <ns0:is>
          <ns0:t>Total NG</ns0:t>
        </ns0:is>
      </ns0:c>
      <ns0:c r="O47" s="239" t="inlineStr">
        <ns0:is>
          <ns0:t>Total NG 
rate</ns0:t>
        </ns0:is>
      </ns0:c>
      <ns0:c r="P47" s="240" t="inlineStr">
        <ns0:is>
          <ns0:t>Recheck Hearing</ns0:t>
        </ns0:is>
      </ns0:c>
      <ns0:c r="Q47" s="47" t="n"/>
      <ns0:c r="R47" s="240" t="inlineStr">
        <ns0:is>
          <ns0:t>Total NG</ns0:t>
        </ns0:is>
      </ns0:c>
      <ns0:c r="S47" s="239" t="inlineStr">
        <ns0:is>
          <ns0:t>Total NG 
rate</ns0:t>
        </ns0:is>
      </ns0:c>
      <ns0:c r="T47" s="12" t="n"/>
      <ns0:c r="U47" s="11" t="n"/>
    </ns0:row>
    <ns0:row r="48">
      <ns0:c r="C48" s="12" t="n"/>
      <ns0:c r="D48" s="11" t="n"/>
      <ns0:c r="E48" s="48" t="n"/>
      <ns0:c r="F48" s="48" t="n"/>
      <ns0:c r="G48" s="48" t="n"/>
      <ns0:c r="H48" s="240" t="inlineStr">
        <ns0:is>
          <ns0:t xml:space="preserve">SPL </ns0:t>
        </ns0:is>
      </ns0:c>
      <ns0:c r="I48" s="240" t="inlineStr">
        <ns0:is>
          <ns0:t xml:space="preserve">THD </ns0:t>
        </ns0:is>
      </ns0:c>
      <ns0:c r="J48" s="240" t="inlineStr">
        <ns0:is>
          <ns0:t xml:space="preserve">SPL+THD </ns0:t>
        </ns0:is>
      </ns0:c>
      <ns0:c r="K48" s="240" t="inlineStr">
        <ns0:is>
          <ns0:t>SPL+THD+F0</ns0:t>
        </ns0:is>
      </ns0:c>
      <ns0:c r="L48" s="240" t="inlineStr">
        <ns0:is>
          <ns0:t xml:space="preserve">Noise </ns0:t>
        </ns0:is>
      </ns0:c>
      <ns0:c r="M48" s="240" t="inlineStr">
        <ns0:is>
          <ns0:t xml:space="preserve">Touch </ns0:t>
        </ns0:is>
      </ns0:c>
      <ns0:c r="N48" s="48" t="n"/>
      <ns0:c r="O48" s="48" t="n"/>
      <ns0:c r="P48" s="240" t="inlineStr">
        <ns0:is>
          <ns0:t xml:space="preserve">Noise </ns0:t>
        </ns0:is>
      </ns0:c>
      <ns0:c r="Q48" s="240" t="inlineStr">
        <ns0:is>
          <ns0:t xml:space="preserve">Touch </ns0:t>
        </ns0:is>
      </ns0:c>
      <ns0:c r="R48" s="48" t="n"/>
      <ns0:c r="S48" s="48" t="n"/>
      <ns0:c r="T48" s="18" t="n"/>
      <ns0:c r="U48" s="17" t="n"/>
    </ns0:row>
    <ns0:row r="49">
      <ns0:c r="C49" s="12" t="n"/>
      <ns0:c r="D49" s="11" t="n"/>
      <ns0:c r="E49" s="103" t="inlineStr">
        <ns0:is>
          <ns0:t>B</ns0:t>
        </ns0:is>
      </ns0:c>
      <ns0:c r="F49" s="103" t="n">
        <ns0:v>23</ns0:v>
      </ns0:c>
      <ns0:c r="G49" s="103" t="n">
        <ns0:v>22</ns0:v>
      </ns0:c>
      <ns0:c r="H49" s="103" t="n">
        <ns0:v>0</ns0:v>
      </ns0:c>
      <ns0:c r="I49" s="103" t="n">
        <ns0:v>0</ns0:v>
      </ns0:c>
      <ns0:c r="J49" s="103" t="n">
        <ns0:v>0</ns0:v>
      </ns0:c>
      <ns0:c r="K49" s="103" t="n">
        <ns0:v>0</ns0:v>
      </ns0:c>
      <ns0:c r="L49" s="103" t="n">
        <ns0:v>1</ns0:v>
      </ns0:c>
      <ns0:c r="M49" s="103" t="n">
        <ns0:v>0</ns0:v>
      </ns0:c>
      <ns0:c r="N49" s="103" t="n">
        <ns0:v>1</ns0:v>
      </ns0:c>
      <ns0:c r="O49" s="104" t="n">
        <ns0:v>0.04347826086956522</ns0:v>
      </ns0:c>
      <ns0:c r="P49" s="103" t="n">
        <ns0:v>0</ns0:v>
      </ns0:c>
      <ns0:c r="Q49" s="103" t="n">
        <ns0:v>1</ns0:v>
      </ns0:c>
      <ns0:c r="R49" s="103" t="n">
        <ns0:v>1</ns0:v>
      </ns0:c>
      <ns0:c r="S49" s="104" t="n">
        <ns0:v>0.04347826086956522</ns0:v>
      </ns0:c>
      <ns0:c r="T49" s="241" t="n">
        <ns0:v>0.155072463768116</ns0:v>
      </ns0:c>
      <ns0:c r="U49" s="47" t="n"/>
    </ns0:row>
    <ns0:row r="50">
      <ns0:c r="C50" s="12" t="n"/>
      <ns0:c r="D50" s="11" t="n"/>
      <ns0:c r="E50" s="103" t="inlineStr">
        <ns0:is>
          <ns0:t>C</ns0:t>
        </ns0:is>
      </ns0:c>
      <ns0:c r="F50" s="103" t="n">
        <ns0:v>24</ns0:v>
      </ns0:c>
      <ns0:c r="G50" s="103" t="n">
        <ns0:v>22</ns0:v>
      </ns0:c>
      <ns0:c r="H50" s="103" t="n">
        <ns0:v>0</ns0:v>
      </ns0:c>
      <ns0:c r="I50" s="103" t="n">
        <ns0:v>0</ns0:v>
      </ns0:c>
      <ns0:c r="J50" s="103" t="n">
        <ns0:v>0</ns0:v>
      </ns0:c>
      <ns0:c r="K50" s="103" t="n">
        <ns0:v>0</ns0:v>
      </ns0:c>
      <ns0:c r="L50" s="103" t="n">
        <ns0:v>1</ns0:v>
      </ns0:c>
      <ns0:c r="M50" s="103" t="n">
        <ns0:v>1</ns0:v>
      </ns0:c>
      <ns0:c r="N50" s="103" t="n">
        <ns0:v>2</ns0:v>
      </ns0:c>
      <ns0:c r="O50" s="104" t="n">
        <ns0:v>0.08333333333333333</ns0:v>
      </ns0:c>
      <ns0:c r="P50" s="103" t="n">
        <ns0:v>1</ns0:v>
      </ns0:c>
      <ns0:c r="Q50" s="103" t="n">
        <ns0:v>1</ns0:v>
      </ns0:c>
      <ns0:c r="R50" s="103" t="n">
        <ns0:v>2</ns0:v>
      </ns0:c>
      <ns0:c r="S50" s="104" t="n">
        <ns0:v>0.08333333333333333</ns0:v>
      </ns0:c>
      <ns0:c r="T50" s="241" t="n">
        <ns0:v>1.213888888888889</ns0:v>
      </ns0:c>
      <ns0:c r="U50" s="47" t="n"/>
    </ns0:row>
    <ns0:row r="51">
      <ns0:c r="C51" s="12" t="n"/>
      <ns0:c r="D51" s="11" t="n"/>
      <ns0:c r="E51" s="103" t="inlineStr">
        <ns0:is>
          <ns0:t>D</ns0:t>
        </ns0:is>
      </ns0:c>
      <ns0:c r="F51" s="103" t="n">
        <ns0:v>25</ns0:v>
      </ns0:c>
      <ns0:c r="G51" s="103" t="n">
        <ns0:v>21</ns0:v>
      </ns0:c>
      <ns0:c r="H51" s="103" t="n">
        <ns0:v>0</ns0:v>
      </ns0:c>
      <ns0:c r="I51" s="103" t="n">
        <ns0:v>0</ns0:v>
      </ns0:c>
      <ns0:c r="J51" s="103" t="n">
        <ns0:v>0</ns0:v>
      </ns0:c>
      <ns0:c r="K51" s="103" t="n">
        <ns0:v>0</ns0:v>
      </ns0:c>
      <ns0:c r="L51" s="103" t="n">
        <ns0:v>4</ns0:v>
      </ns0:c>
      <ns0:c r="M51" s="103" t="n">
        <ns0:v>0</ns0:v>
      </ns0:c>
      <ns0:c r="N51" s="103" t="n">
        <ns0:v>4</ns0:v>
      </ns0:c>
      <ns0:c r="O51" s="104" t="n">
        <ns0:v>0.16</ns0:v>
      </ns0:c>
      <ns0:c r="P51" s="103" t="n">
        <ns0:v>0</ns0:v>
      </ns0:c>
      <ns0:c r="Q51" s="103" t="n">
        <ns0:v>2</ns0:v>
      </ns0:c>
      <ns0:c r="R51" s="103" t="n">
        <ns0:v>2</ns0:v>
      </ns0:c>
      <ns0:c r="S51" s="104" t="n">
        <ns0:v>0.08</ns0:v>
      </ns0:c>
      <ns0:c r="T51" s="241" t="n">
        <ns0:v>1.125333333333333</ns0:v>
      </ns0:c>
      <ns0:c r="U51" s="47" t="n"/>
    </ns0:row>
    <ns0:row r="52">
      <ns0:c r="C52" s="12" t="n"/>
      <ns0:c r="D52" s="11" t="n"/>
      <ns0:c r="E52" s="242" t="inlineStr">
        <ns0:is>
          <ns0:t>B+C+D</ns0:t>
        </ns0:is>
      </ns0:c>
      <ns0:c r="F52" s="242" t="n">
        <ns0:v>72</ns0:v>
      </ns0:c>
      <ns0:c r="G52" s="242" t="n">
        <ns0:v>65</ns0:v>
      </ns0:c>
      <ns0:c r="H52" s="242" t="n">
        <ns0:v>0</ns0:v>
      </ns0:c>
      <ns0:c r="I52" s="242" t="n">
        <ns0:v>0</ns0:v>
      </ns0:c>
      <ns0:c r="J52" s="242" t="n">
        <ns0:v>0</ns0:v>
      </ns0:c>
      <ns0:c r="K52" s="242" t="n">
        <ns0:v>0</ns0:v>
      </ns0:c>
      <ns0:c r="L52" s="242" t="n">
        <ns0:v>6</ns0:v>
      </ns0:c>
      <ns0:c r="M52" s="242" t="n">
        <ns0:v>1</ns0:v>
      </ns0:c>
      <ns0:c r="N52" s="242" t="n">
        <ns0:v>7</ns0:v>
      </ns0:c>
      <ns0:c r="O52" s="243" t="n">
        <ns0:v>0.09722222222222222</ns0:v>
      </ns0:c>
      <ns0:c r="P52" s="242" t="n">
        <ns0:v>1</ns0:v>
      </ns0:c>
      <ns0:c r="Q52" s="242" t="n">
        <ns0:v>4</ns0:v>
      </ns0:c>
      <ns0:c r="R52" s="242" t="n">
        <ns0:v>5</ns0:v>
      </ns0:c>
      <ns0:c r="S52" s="243" t="n">
        <ns0:v>0.06944444444444445</ns0:v>
      </ns0:c>
      <ns0:c r="T52" s="244" t="n">
        <ns0:v>0.8449074074074077</ns0:v>
      </ns0:c>
      <ns0:c r="U52" s="47" t="n"/>
    </ns0:row>
    <ns0:row r="53">
      <ns0:c r="C53" s="18" t="n"/>
      <ns0:c r="D53" s="17" t="n"/>
      <ns0:c r="E53" s="245" t="inlineStr">
        <ns0:is>
          <ns0:t>Normal</ns0:t>
        </ns0:is>
      </ns0:c>
      <ns0:c r="F53" s="245" t="n">
        <ns0:v>797</ns0:v>
      </ns0:c>
      <ns0:c r="G53" s="245" t="n">
        <ns0:v>674</ns0:v>
      </ns0:c>
      <ns0:c r="H53" s="245" t="n">
        <ns0:v>0</ns0:v>
      </ns0:c>
      <ns0:c r="I53" s="245" t="n">
        <ns0:v>0</ns0:v>
      </ns0:c>
      <ns0:c r="J53" s="245" t="n">
        <ns0:v>0</ns0:v>
      </ns0:c>
      <ns0:c r="K53" s="245" t="n">
        <ns0:v>0</ns0:v>
      </ns0:c>
      <ns0:c r="L53" s="245" t="n">
        <ns0:v>25</ns0:v>
      </ns0:c>
      <ns0:c r="M53" s="245" t="n">
        <ns0:v>98</ns0:v>
      </ns0:c>
      <ns0:c r="N53" s="245" t="n">
        <ns0:v>123</ns0:v>
      </ns0:c>
      <ns0:c r="O53" s="246" t="n">
        <ns0:v>0.1543287327478043</ns0:v>
      </ns0:c>
      <ns0:c r="P53" s="245" t="n">
        <ns0:v>13</ns0:v>
      </ns0:c>
      <ns0:c r="Q53" s="245" t="n">
        <ns0:v>17</ns0:v>
      </ns0:c>
      <ns0:c r="R53" s="245" t="n">
        <ns0:v>30</ns0:v>
      </ns0:c>
      <ns0:c r="S53" s="246" t="n">
        <ns0:v>0.03764115432873275</ns0:v>
      </ns0:c>
      <ns0:c r="T53" s="247" t="n"/>
      <ns0:c r="U53" s="47" t="n"/>
    </ns0:row>
    <ns0:row r="55">
      <ns0:c r="C55" s="238" t="inlineStr">
        <ns0:is>
          <ns0:t>R-PT Wing Width
(BIG : &gt; 2.53)
(Medium : &gt; 2.51)
(Small : &lt;= 2.51)
SPEC : 2.50
(Not Checking Point)</ns0:t>
        </ns0:is>
      </ns0:c>
      <ns0:c r="D55" s="45" t="n"/>
      <ns0:c r="E55" s="239" t="inlineStr">
        <ns0:is>
          <ns0:t>R-PT</ns0:t>
        </ns0:is>
      </ns0:c>
      <ns0:c r="F55" s="239" t="inlineStr">
        <ns0:is>
          <ns0:t xml:space="preserve">Input </ns0:t>
        </ns0:is>
      </ns0:c>
      <ns0:c r="G55" s="240" t="inlineStr">
        <ns0:is>
          <ns0:t xml:space="preserve">OK </ns0:t>
        </ns0:is>
      </ns0:c>
      <ns0:c r="H55" s="240" t="inlineStr">
        <ns0:is>
          <ns0:t xml:space="preserve">Sigma </ns0:t>
        </ns0:is>
      </ns0:c>
      <ns0:c r="I55" s="80" t="n"/>
      <ns0:c r="J55" s="80" t="n"/>
      <ns0:c r="K55" s="45" t="n"/>
      <ns0:c r="L55" s="240" t="inlineStr">
        <ns0:is>
          <ns0:t>+ 10% Voltage Up</ns0:t>
        </ns0:is>
      </ns0:c>
      <ns0:c r="M55" s="23" t="n"/>
      <ns0:c r="N55" s="23" t="n"/>
      <ns0:c r="O55" s="47" t="n"/>
      <ns0:c r="P55" s="240" t="inlineStr">
        <ns0:is>
          <ns0:t>Standard Voltage</ns0:t>
        </ns0:is>
      </ns0:c>
      <ns0:c r="Q55" s="23" t="n"/>
      <ns0:c r="R55" s="23" t="n"/>
      <ns0:c r="S55" s="47" t="n"/>
      <ns0:c r="T55" s="239" t="inlineStr">
        <ns0:is>
          <ns0:t>Improve Rate
(Standard Voltage)</ns0:t>
        </ns0:is>
      </ns0:c>
      <ns0:c r="U55" s="45" t="n"/>
    </ns0:row>
    <ns0:row r="56">
      <ns0:c r="C56" s="12" t="n"/>
      <ns0:c r="D56" s="11" t="n"/>
      <ns0:c r="E56" s="58" t="n"/>
      <ns0:c r="F56" s="58" t="n"/>
      <ns0:c r="G56" s="58" t="n"/>
      <ns0:c r="H56" s="18" t="n"/>
      <ns0:c r="I56" s="19" t="n"/>
      <ns0:c r="J56" s="19" t="n"/>
      <ns0:c r="K56" s="17" t="n"/>
      <ns0:c r="L56" s="240" t="inlineStr">
        <ns0:is>
          <ns0:t xml:space="preserve">Hearing </ns0:t>
        </ns0:is>
      </ns0:c>
      <ns0:c r="M56" s="47" t="n"/>
      <ns0:c r="N56" s="240" t="inlineStr">
        <ns0:is>
          <ns0:t>Total NG</ns0:t>
        </ns0:is>
      </ns0:c>
      <ns0:c r="O56" s="239" t="inlineStr">
        <ns0:is>
          <ns0:t>Total NG 
rate</ns0:t>
        </ns0:is>
      </ns0:c>
      <ns0:c r="P56" s="240" t="inlineStr">
        <ns0:is>
          <ns0:t>Recheck Hearing</ns0:t>
        </ns0:is>
      </ns0:c>
      <ns0:c r="Q56" s="47" t="n"/>
      <ns0:c r="R56" s="240" t="inlineStr">
        <ns0:is>
          <ns0:t>Total NG</ns0:t>
        </ns0:is>
      </ns0:c>
      <ns0:c r="S56" s="239" t="inlineStr">
        <ns0:is>
          <ns0:t>Total NG 
rate</ns0:t>
        </ns0:is>
      </ns0:c>
      <ns0:c r="T56" s="12" t="n"/>
      <ns0:c r="U56" s="11" t="n"/>
    </ns0:row>
    <ns0:row r="57">
      <ns0:c r="C57" s="12" t="n"/>
      <ns0:c r="D57" s="11" t="n"/>
      <ns0:c r="E57" s="48" t="n"/>
      <ns0:c r="F57" s="48" t="n"/>
      <ns0:c r="G57" s="48" t="n"/>
      <ns0:c r="H57" s="240" t="inlineStr">
        <ns0:is>
          <ns0:t xml:space="preserve">SPL </ns0:t>
        </ns0:is>
      </ns0:c>
      <ns0:c r="I57" s="240" t="inlineStr">
        <ns0:is>
          <ns0:t xml:space="preserve">THD </ns0:t>
        </ns0:is>
      </ns0:c>
      <ns0:c r="J57" s="240" t="inlineStr">
        <ns0:is>
          <ns0:t xml:space="preserve">SPL+THD </ns0:t>
        </ns0:is>
      </ns0:c>
      <ns0:c r="K57" s="240" t="inlineStr">
        <ns0:is>
          <ns0:t>SPL+THD+F0</ns0:t>
        </ns0:is>
      </ns0:c>
      <ns0:c r="L57" s="240" t="inlineStr">
        <ns0:is>
          <ns0:t xml:space="preserve">Noise </ns0:t>
        </ns0:is>
      </ns0:c>
      <ns0:c r="M57" s="240" t="inlineStr">
        <ns0:is>
          <ns0:t xml:space="preserve">Touch </ns0:t>
        </ns0:is>
      </ns0:c>
      <ns0:c r="N57" s="48" t="n"/>
      <ns0:c r="O57" s="48" t="n"/>
      <ns0:c r="P57" s="240" t="inlineStr">
        <ns0:is>
          <ns0:t xml:space="preserve">Noise </ns0:t>
        </ns0:is>
      </ns0:c>
      <ns0:c r="Q57" s="240" t="inlineStr">
        <ns0:is>
          <ns0:t xml:space="preserve">Touch </ns0:t>
        </ns0:is>
      </ns0:c>
      <ns0:c r="R57" s="48" t="n"/>
      <ns0:c r="S57" s="48" t="n"/>
      <ns0:c r="T57" s="18" t="n"/>
      <ns0:c r="U57" s="17" t="n"/>
    </ns0:row>
    <ns0:row r="58">
      <ns0:c r="C58" s="12" t="n"/>
      <ns0:c r="D58" s="11" t="n"/>
      <ns0:c r="E58" s="103" t="inlineStr">
        <ns0:is>
          <ns0:t>Big</ns0:t>
        </ns0:is>
      </ns0:c>
      <ns0:c r="F58" s="103" t="n">
        <ns0:v>42</ns0:v>
      </ns0:c>
      <ns0:c r="G58" s="103" t="n">
        <ns0:v>37</ns0:v>
      </ns0:c>
      <ns0:c r="H58" s="103" t="n">
        <ns0:v>0</ns0:v>
      </ns0:c>
      <ns0:c r="I58" s="103" t="n">
        <ns0:v>0</ns0:v>
      </ns0:c>
      <ns0:c r="J58" s="103" t="n">
        <ns0:v>0</ns0:v>
      </ns0:c>
      <ns0:c r="K58" s="103" t="n">
        <ns0:v>0</ns0:v>
      </ns0:c>
      <ns0:c r="L58" s="103" t="n">
        <ns0:v>4</ns0:v>
      </ns0:c>
      <ns0:c r="M58" s="103" t="n">
        <ns0:v>1</ns0:v>
      </ns0:c>
      <ns0:c r="N58" s="103" t="n">
        <ns0:v>5</ns0:v>
      </ns0:c>
      <ns0:c r="O58" s="104" t="n">
        <ns0:v>0.119047619047619</ns0:v>
      </ns0:c>
      <ns0:c r="P58" s="103" t="n">
        <ns0:v>1</ns0:v>
      </ns0:c>
      <ns0:c r="Q58" s="103" t="n">
        <ns0:v>4</ns0:v>
      </ns0:c>
      <ns0:c r="R58" s="103" t="n">
        <ns0:v>5</ns0:v>
      </ns0:c>
      <ns0:c r="S58" s="104" t="n">
        <ns0:v>0.119047619047619</ns0:v>
      </ns0:c>
      <ns0:c r="T58" s="241" t="n">
        <ns0:v>2.162698412698413</ns0:v>
      </ns0:c>
      <ns0:c r="U58" s="47" t="n"/>
    </ns0:row>
    <ns0:row r="59">
      <ns0:c r="C59" s="12" t="n"/>
      <ns0:c r="D59" s="11" t="n"/>
      <ns0:c r="E59" s="103" t="inlineStr">
        <ns0:is>
          <ns0:t>Medium</ns0:t>
        </ns0:is>
      </ns0:c>
      <ns0:c r="F59" s="103" t="n">
        <ns0:v>21</ns0:v>
      </ns0:c>
      <ns0:c r="G59" s="103" t="n">
        <ns0:v>19</ns0:v>
      </ns0:c>
      <ns0:c r="H59" s="103" t="n">
        <ns0:v>0</ns0:v>
      </ns0:c>
      <ns0:c r="I59" s="103" t="n">
        <ns0:v>0</ns0:v>
      </ns0:c>
      <ns0:c r="J59" s="103" t="n">
        <ns0:v>0</ns0:v>
      </ns0:c>
      <ns0:c r="K59" s="103" t="n">
        <ns0:v>0</ns0:v>
      </ns0:c>
      <ns0:c r="L59" s="103" t="n">
        <ns0:v>2</ns0:v>
      </ns0:c>
      <ns0:c r="M59" s="103" t="n">
        <ns0:v>0</ns0:v>
      </ns0:c>
      <ns0:c r="N59" s="103" t="n">
        <ns0:v>2</ns0:v>
      </ns0:c>
      <ns0:c r="O59" s="104" t="n">
        <ns0:v>0.09523809523809523</ns0:v>
      </ns0:c>
      <ns0:c r="P59" s="103" t="n">
        <ns0:v>0</ns0:v>
      </ns0:c>
      <ns0:c r="Q59" s="103" t="n">
        <ns0:v>0</ns0:v>
      </ns0:c>
      <ns0:c r="R59" s="103" t="n">
        <ns0:v>0</ns0:v>
      </ns0:c>
      <ns0:c r="S59" s="104" t="n">
        <ns0:v>0</ns0:v>
      </ns0:c>
      <ns0:c r="T59" s="241" t="n">
        <ns0:v>-1</ns0:v>
      </ns0:c>
      <ns0:c r="U59" s="47" t="n"/>
    </ns0:row>
    <ns0:row r="60">
      <ns0:c r="C60" s="12" t="n"/>
      <ns0:c r="D60" s="11" t="n"/>
      <ns0:c r="E60" s="103" t="inlineStr">
        <ns0:is>
          <ns0:t>Small</ns0:t>
        </ns0:is>
      </ns0:c>
      <ns0:c r="F60" s="103" t="n">
        <ns0:v>9</ns0:v>
      </ns0:c>
      <ns0:c r="G60" s="103" t="n">
        <ns0:v>9</ns0:v>
      </ns0:c>
      <ns0:c r="H60" s="103" t="n">
        <ns0:v>0</ns0:v>
      </ns0:c>
      <ns0:c r="I60" s="103" t="n">
        <ns0:v>0</ns0:v>
      </ns0:c>
      <ns0:c r="J60" s="103" t="n">
        <ns0:v>0</ns0:v>
      </ns0:c>
      <ns0:c r="K60" s="103" t="n">
        <ns0:v>0</ns0:v>
      </ns0:c>
      <ns0:c r="L60" s="103" t="n">
        <ns0:v>0</ns0:v>
      </ns0:c>
      <ns0:c r="M60" s="103" t="n">
        <ns0:v>0</ns0:v>
      </ns0:c>
      <ns0:c r="N60" s="103" t="n">
        <ns0:v>0</ns0:v>
      </ns0:c>
      <ns0:c r="O60" s="104" t="n">
        <ns0:v>0</ns0:v>
      </ns0:c>
      <ns0:c r="P60" s="103" t="n">
        <ns0:v>0</ns0:v>
      </ns0:c>
      <ns0:c r="Q60" s="103" t="n">
        <ns0:v>0</ns0:v>
      </ns0:c>
      <ns0:c r="R60" s="103" t="n">
        <ns0:v>0</ns0:v>
      </ns0:c>
      <ns0:c r="S60" s="104" t="n">
        <ns0:v>0</ns0:v>
      </ns0:c>
      <ns0:c r="T60" s="241" t="n">
        <ns0:v>-1</ns0:v>
      </ns0:c>
      <ns0:c r="U60" s="47" t="n"/>
    </ns0:row>
    <ns0:row r="61">
      <ns0:c r="C61" s="18" t="n"/>
      <ns0:c r="D61" s="17" t="n"/>
      <ns0:c r="E61" s="245" t="inlineStr">
        <ns0:is>
          <ns0:t>Normal</ns0:t>
        </ns0:is>
      </ns0:c>
      <ns0:c r="F61" s="245" t="n">
        <ns0:v>797</ns0:v>
      </ns0:c>
      <ns0:c r="G61" s="245" t="n">
        <ns0:v>674</ns0:v>
      </ns0:c>
      <ns0:c r="H61" s="245" t="n">
        <ns0:v>0</ns0:v>
      </ns0:c>
      <ns0:c r="I61" s="245" t="n">
        <ns0:v>0</ns0:v>
      </ns0:c>
      <ns0:c r="J61" s="245" t="n">
        <ns0:v>0</ns0:v>
      </ns0:c>
      <ns0:c r="K61" s="245" t="n">
        <ns0:v>0</ns0:v>
      </ns0:c>
      <ns0:c r="L61" s="245" t="n">
        <ns0:v>25</ns0:v>
      </ns0:c>
      <ns0:c r="M61" s="245" t="n">
        <ns0:v>98</ns0:v>
      </ns0:c>
      <ns0:c r="N61" s="245" t="n">
        <ns0:v>123</ns0:v>
      </ns0:c>
      <ns0:c r="O61" s="246" t="n">
        <ns0:v>0.1543287327478043</ns0:v>
      </ns0:c>
      <ns0:c r="P61" s="245" t="n">
        <ns0:v>13</ns0:v>
      </ns0:c>
      <ns0:c r="Q61" s="245" t="n">
        <ns0:v>17</ns0:v>
      </ns0:c>
      <ns0:c r="R61" s="245" t="n">
        <ns0:v>30</ns0:v>
      </ns0:c>
      <ns0:c r="S61" s="246" t="n">
        <ns0:v>0.03764115432873275</ns0:v>
      </ns0:c>
      <ns0:c r="T61" s="248" t="n"/>
      <ns0:c r="U61" s="47" t="n"/>
    </ns0:row>
  </ns0:sheetData>
  <ns0:mergeCells count="163">
    <ns0:mergeCell ref="E39:E40"/>
    <ns0:mergeCell ref="C15:D15"/>
    <ns0:mergeCell ref="N25:N26"/>
    <ns0:mergeCell ref="R31:R32"/>
    <ns0:mergeCell ref="T49:U49"/>
    <ns0:mergeCell ref="E23:E24"/>
    <ns0:mergeCell ref="J11:J12"/>
    <ns0:mergeCell ref="S23:S24"/>
    <ns0:mergeCell ref="B23:B24"/>
    <ns0:mergeCell ref="R25:R26"/>
    <ns0:mergeCell ref="O56:O57"/>
    <ns0:mergeCell ref="T50:U50"/>
    <ns0:mergeCell ref="T55:U57"/>
    <ns0:mergeCell ref="N39:N40"/>
    <ns0:mergeCell ref="F31:F32"/>
    <ns0:mergeCell ref="G33:G34"/>
    <ns0:mergeCell ref="T51:U51"/>
    <ns0:mergeCell ref="R56:R57"/>
    <ns0:mergeCell ref="S33:S34"/>
    <ns0:mergeCell ref="F37:F38"/>
    <ns0:mergeCell ref="T61:U61"/>
    <ns0:mergeCell ref="E41:E42"/>
    <ns0:mergeCell ref="O27:O28"/>
    <ns0:mergeCell ref="G41:G42"/>
    <ns0:mergeCell ref="C17:D17"/>
    <ns0:mergeCell ref="G35:G36"/>
    <ns0:mergeCell ref="P46:S46"/>
    <ns0:mergeCell ref="P47:Q47"/>
    <ns0:mergeCell ref="R33:R34"/>
    <ns0:mergeCell ref="S35:S36"/>
    <ns0:mergeCell ref="E25:E26"/>
    <ns0:mergeCell ref="C19:D19"/>
    <ns0:mergeCell ref="L55:O55"/>
    <ns0:mergeCell ref="S25:S26"/>
    <ns0:mergeCell ref="O39:O40"/>
    <ns0:mergeCell ref="C3:D3"/>
    <ns0:mergeCell ref="G55:G57"/>
    <ns0:mergeCell ref="E3:F3"/>
    <ns0:mergeCell ref="D27:D28"/>
    <ns0:mergeCell ref="G23:G24"/>
    <ns0:mergeCell ref="C25:C44"/>
    <ns0:mergeCell ref="B13:B21"/>
    <ns0:mergeCell ref="N41:N42"/>
    <ns0:mergeCell ref="B11:B12"/>
    <ns0:mergeCell ref="C14:D14"/>
    <ns0:mergeCell ref="G39:G40"/>
    <ns0:mergeCell ref="T53:U53"/>
    <ns0:mergeCell ref="H23:K23"/>
    <ns0:mergeCell ref="S39:S40"/>
    <ns0:mergeCell ref="N43:N44"/>
    <ns0:mergeCell ref="F35:F36"/>
    <ns0:mergeCell ref="O29:O30"/>
    <ns0:mergeCell ref="O47:O48"/>
    <ns0:mergeCell ref="F33:F34"/>
    <ns0:mergeCell ref="S37:S38"/>
    <ns0:mergeCell ref="E31:E32"/>
    <ns0:mergeCell ref="N29:N30"/>
    <ns0:mergeCell ref="O31:O32"/>
    <ns0:mergeCell ref="E27:E28"/>
    <ns0:mergeCell ref="T39:U40"/>
    <ns0:mergeCell ref="T33:U34"/>
    <ns0:mergeCell ref="N31:N32"/>
    <ns0:mergeCell ref="D25:D26"/>
    <ns0:mergeCell ref="D37:D38"/>
    <ns0:mergeCell ref="R47:R48"/>
    <ns0:mergeCell ref="B25:B44"/>
    <ns0:mergeCell ref="G25:G26"/>
    <ns0:mergeCell ref="F11:F12"/>
    <ns0:mergeCell ref="O23:O24"/>
    <ns0:mergeCell ref="D39:D40"/>
    <ns0:mergeCell ref="R23:R24"/>
    <ns0:mergeCell ref="G27:G28"/>
    <ns0:mergeCell ref="D23:D24"/>
    <ns0:mergeCell ref="S41:S42"/>
    <ns0:mergeCell ref="T46:U48"/>
    <ns0:mergeCell ref="B10:H10"/>
    <ns0:mergeCell ref="C18:D18"/>
    <ns0:mergeCell ref="I11:I12"/>
    <ns0:mergeCell ref="S43:S44"/>
    <ns0:mergeCell ref="N56:N57"/>
    <ns0:mergeCell ref="G11:H11"/>
    <ns0:mergeCell ref="C11:D12"/>
    <ns0:mergeCell ref="O33:O34"/>
    <ns0:mergeCell ref="E29:E30"/>
    <ns0:mergeCell ref="S27:S28"/>
    <ns0:mergeCell ref="H55:K56"/>
    <ns0:mergeCell ref="L46:O46"/>
    <ns0:mergeCell ref="L47:M47"/>
    <ns0:mergeCell ref="N33:N34"/>
    <ns0:mergeCell ref="C20:D20"/>
    <ns0:mergeCell ref="O35:O36"/>
    <ns0:mergeCell ref="R27:R28"/>
    <ns0:mergeCell ref="P56:Q56"/>
    <ns0:mergeCell ref="T58:U58"/>
    <ns0:mergeCell ref="P55:S55"/>
    <ns0:mergeCell ref="T23:U24"/>
    <ns0:mergeCell ref="O25:O26"/>
    <ns0:mergeCell ref="H46:K47"/>
    <ns0:mergeCell ref="D41:D42"/>
    <ns0:mergeCell ref="G37:G38"/>
    <ns0:mergeCell ref="F41:F42"/>
    <ns0:mergeCell ref="F23:F24"/>
    <ns0:mergeCell ref="G46:G48"/>
    <ns0:mergeCell ref="E55:E57"/>
    <ns0:mergeCell ref="T43:U44"/>
    <ns0:mergeCell ref="R35:R36"/>
    <ns0:mergeCell ref="C23:C24"/>
    <ns0:mergeCell ref="C21:D21"/>
    <ns0:mergeCell ref="D43:D44"/>
    <ns0:mergeCell ref="E46:E48"/>
    <ns0:mergeCell ref="F43:F44"/>
    <ns0:mergeCell ref="F39:F40"/>
    <ns0:mergeCell ref="F55:F57"/>
    <ns0:mergeCell ref="T60:U60"/>
    <ns0:mergeCell ref="D29:D30"/>
    <ns0:mergeCell ref="F29:F30"/>
    <ns0:mergeCell ref="C55:D61"/>
    <ns0:mergeCell ref="S56:S57"/>
    <ns0:mergeCell ref="D31:D32"/>
    <ns0:mergeCell ref="T35:U36"/>
    <ns0:mergeCell ref="T25:U26"/>
    <ns0:mergeCell ref="R39:R40"/>
    <ns0:mergeCell ref="G43:G44"/>
    <ns0:mergeCell ref="F25:F26"/>
    <ns0:mergeCell ref="N47:N48"/>
    <ns0:mergeCell ref="E33:E34"/>
    <ns0:mergeCell ref="F46:F48"/>
    <ns0:mergeCell ref="N37:N38"/>
    <ns0:mergeCell ref="T41:U42"/>
    <ns0:mergeCell ref="E35:E36"/>
    <ns0:mergeCell ref="C16:D16"/>
    <ns0:mergeCell ref="C46:D53"/>
    <ns0:mergeCell ref="T59:U59"/>
    <ns0:mergeCell ref="T31:U32"/>
    <ns0:mergeCell ref="R37:R38"/>
    <ns0:mergeCell ref="O41:O42"/>
    <ns0:mergeCell ref="L23:M23"/>
    <ns0:mergeCell ref="E11:E12"/>
    <ns0:mergeCell ref="N23:N24"/>
    <ns0:mergeCell ref="G3:H3"/>
    <ns0:mergeCell ref="P23:Q23"/>
    <ns0:mergeCell ref="T27:U28"/>
    <ns0:mergeCell ref="G29:G30"/>
    <ns0:mergeCell ref="N35:N36"/>
    <ns0:mergeCell ref="D33:D34"/>
    <ns0:mergeCell ref="T37:U38"/>
    <ns0:mergeCell ref="F27:F28"/>
    <ns0:mergeCell ref="O43:O44"/>
    <ns0:mergeCell ref="R41:R42"/>
    <ns0:mergeCell ref="T29:U30"/>
    <ns0:mergeCell ref="N27:N28"/>
    <ns0:mergeCell ref="L56:M56"/>
    <ns0:mergeCell ref="R43:R44"/>
    <ns0:mergeCell ref="T52:U52"/>
    <ns0:mergeCell ref="S29:S30"/>
    <ns0:mergeCell ref="S47:S48"/>
    <ns0:mergeCell ref="E37:E38"/>
    <ns0:mergeCell ref="C13:D13"/>
    <ns0:mergeCell ref="G31:G32"/>
    <ns0:mergeCell ref="D35:D36"/>
    <ns0:mergeCell ref="O37:O38"/>
    <ns0:mergeCell ref="R29:R30"/>
    <ns0:mergeCell ref="S31:S32"/>
  </ns0:mergeCells>
  <ns0:pageMargins left="0.75" right="0.75" top="1" bottom="1" header="0.5" footer="0.5"/>
</ns0:worksheet>
</file>

<file path=xl/worksheets/sheet12.xml><?xml version="1.0" encoding="utf-8"?>
<ns0:worksheet xmlns:ns0="http://schemas.openxmlformats.org/spreadsheetml/2006/main">
  <ns0:sheetPr>
    <ns0:outlinePr summaryBelow="1" summaryRight="1"/>
    <ns0:pageSetUpPr/>
  </ns0:sheetPr>
  <ns0:dimension ref="B2:X76"/>
  <ns0:sheetViews>
    <ns0:sheetView workbookViewId="0">
      <ns0:selection activeCell="A1" sqref="A1"/>
    </ns0:sheetView>
  </ns0:sheetViews>
  <ns0:sheetFormatPr baseColWidth="8" defaultRowHeight="15"/>
  <ns0:cols>
    <ns0:col width="38.42857142857143" customWidth="1" min="3" max="3"/>
    <ns0:col width="8" customWidth="1" min="4" max="4"/>
    <ns0:col width="8.571428571428571" customWidth="1" min="5" max="5"/>
    <ns0:col width="1.714285714285714" customWidth="1" min="7" max="7"/>
    <ns0:col width="38.28571428571428" customWidth="1" min="9" max="9"/>
    <ns0:col width="1.571428571428571" customWidth="1" min="13" max="13"/>
    <ns0:col width="10.28571428571429" customWidth="1" min="14" max="14"/>
    <ns0:col width="18.85714285714286" customWidth="1" min="15" max="15"/>
    <ns0:col width="20" customWidth="1" min="16" max="16"/>
    <ns0:col width="20" customWidth="1" min="17" max="17"/>
    <ns0:col width="20" customWidth="1" min="18" max="18"/>
    <ns0:col width="2.857142857142857" customWidth="1" min="19" max="19"/>
    <ns0:col width="50.14285714285715" customWidth="1" min="21" max="21"/>
  </ns0:cols>
  <ns0:sheetData>
    <ns0:row r="2">
      <ns0:c r="G2" s="249" t="n"/>
    </ns0:row>
    <ns0:row r="3" ht="15" customHeight="1">
      <ns0:c r="B3" s="250" t="inlineStr">
        <ns0:is>
          <ns0:t>VP LOT</ns0:t>
        </ns0:is>
      </ns0:c>
      <ns0:c r="C3" s="80" t="n"/>
      <ns0:c r="D3" s="80" t="n"/>
      <ns0:c r="E3" s="80" t="n"/>
      <ns0:c r="F3" s="45" t="n"/>
      <ns0:c r="G3" s="249" t="n"/>
      <ns0:c r="H3" s="250" t="inlineStr">
        <ns0:is>
          <ns0:t>FP LOT</ns0:t>
        </ns0:is>
      </ns0:c>
      <ns0:c r="I3" s="80" t="n"/>
      <ns0:c r="J3" s="80" t="n"/>
      <ns0:c r="K3" s="80" t="n"/>
      <ns0:c r="L3" s="45" t="n"/>
      <ns0:c r="N3" s="251" t="n">
        <ns0:v>45460</ns0:v>
      </ns0:c>
      <ns0:c r="O3" s="45" t="n"/>
      <ns0:c r="P3" s="250" t="inlineStr">
        <ns0:is>
          <ns0:t>COIL Wire Radius</ns0:t>
        </ns0:is>
      </ns0:c>
      <ns0:c r="Q3" s="80" t="n"/>
      <ns0:c r="R3" s="45" t="n"/>
      <ns0:c r="T3" s="250" t="inlineStr">
        <ns0:is>
          <ns0:t>Yoke</ns0:t>
        </ns0:is>
      </ns0:c>
      <ns0:c r="U3" s="80" t="n"/>
      <ns0:c r="V3" s="80" t="n"/>
      <ns0:c r="W3" s="80" t="n"/>
      <ns0:c r="X3" s="45" t="n"/>
    </ns0:row>
    <ns0:row r="4">
      <ns0:c r="B4" s="18" t="n"/>
      <ns0:c r="C4" s="19" t="n"/>
      <ns0:c r="D4" s="19" t="n"/>
      <ns0:c r="E4" s="19" t="n"/>
      <ns0:c r="F4" s="17" t="n"/>
      <ns0:c r="G4" s="252" t="n"/>
      <ns0:c r="H4" s="18" t="n"/>
      <ns0:c r="I4" s="19" t="n"/>
      <ns0:c r="J4" s="19" t="n"/>
      <ns0:c r="K4" s="19" t="n"/>
      <ns0:c r="L4" s="17" t="n"/>
      <ns0:c r="N4" s="12" t="n"/>
      <ns0:c r="O4" s="11" t="n"/>
      <ns0:c r="P4" s="18" t="n"/>
      <ns0:c r="Q4" s="19" t="n"/>
      <ns0:c r="R4" s="17" t="n"/>
      <ns0:c r="T4" s="18" t="n"/>
      <ns0:c r="U4" s="19" t="n"/>
      <ns0:c r="V4" s="19" t="n"/>
      <ns0:c r="W4" s="19" t="n"/>
      <ns0:c r="X4" s="17" t="n"/>
    </ns0:row>
    <ns0:row r="5" ht="18.9375" customHeight="1">
      <ns0:c r="B5" s="250" t="inlineStr">
        <ns0:is>
          <ns0:t>Date</ns0:t>
        </ns0:is>
      </ns0:c>
      <ns0:c r="C5" s="250" t="inlineStr">
        <ns0:is>
          <ns0:t>Details</ns0:t>
        </ns0:is>
      </ns0:c>
      <ns0:c r="D5" s="250" t="inlineStr">
        <ns0:is>
          <ns0:t>Input</ns0:t>
        </ns0:is>
      </ns0:c>
      <ns0:c r="E5" s="250" t="inlineStr">
        <ns0:is>
          <ns0:t>NG</ns0:t>
        </ns0:is>
      </ns0:c>
      <ns0:c r="F5" s="250" t="inlineStr">
        <ns0:is>
          <ns0:t>NG Rate</ns0:t>
        </ns0:is>
      </ns0:c>
      <ns0:c r="G5" s="252" t="n"/>
      <ns0:c r="H5" s="250" t="inlineStr">
        <ns0:is>
          <ns0:t>Date</ns0:t>
        </ns0:is>
      </ns0:c>
      <ns0:c r="I5" s="250" t="inlineStr">
        <ns0:is>
          <ns0:t>Details</ns0:t>
        </ns0:is>
      </ns0:c>
      <ns0:c r="J5" s="250" t="inlineStr">
        <ns0:is>
          <ns0:t>Input</ns0:t>
        </ns0:is>
      </ns0:c>
      <ns0:c r="K5" s="250" t="inlineStr">
        <ns0:is>
          <ns0:t>NG</ns0:t>
        </ns0:is>
      </ns0:c>
      <ns0:c r="L5" s="250" t="inlineStr">
        <ns0:is>
          <ns0:t>NG Rate</ns0:t>
        </ns0:is>
      </ns0:c>
      <ns0:c r="N5" s="12" t="n"/>
      <ns0:c r="O5" s="11" t="n"/>
      <ns0:c r="P5" s="253" t="inlineStr">
        <ns0:is>
          <ns0:t>Wire 
ø0.110mm</ns0:t>
        </ns0:is>
      </ns0:c>
      <ns0:c r="Q5" s="253" t="inlineStr">
        <ns0:is>
          <ns0:t>Wire 
ø0.111mm</ns0:t>
        </ns0:is>
      </ns0:c>
      <ns0:c r="R5" s="253" t="inlineStr">
        <ns0:is>
          <ns0:t>Wire 
ø0.112mm</ns0:t>
        </ns0:is>
      </ns0:c>
      <ns0:c r="T5" s="250" t="inlineStr">
        <ns0:is>
          <ns0:t>Date</ns0:t>
        </ns0:is>
      </ns0:c>
      <ns0:c r="U5" s="250" t="inlineStr">
        <ns0:is>
          <ns0:t>Details</ns0:t>
        </ns0:is>
      </ns0:c>
      <ns0:c r="V5" s="250" t="inlineStr">
        <ns0:is>
          <ns0:t>Input</ns0:t>
        </ns0:is>
      </ns0:c>
      <ns0:c r="W5" s="250" t="inlineStr">
        <ns0:is>
          <ns0:t>NG</ns0:t>
        </ns0:is>
      </ns0:c>
      <ns0:c r="X5" s="250" t="inlineStr">
        <ns0:is>
          <ns0:t>NG Rate</ns0:t>
        </ns0:is>
      </ns0:c>
    </ns0:row>
    <ns0:row r="6">
      <ns0:c r="B6" s="48" t="n"/>
      <ns0:c r="C6" s="48" t="n"/>
      <ns0:c r="D6" s="48" t="n"/>
      <ns0:c r="E6" s="48" t="n"/>
      <ns0:c r="F6" s="48" t="n"/>
      <ns0:c r="G6" s="252" t="n"/>
      <ns0:c r="H6" s="48" t="n"/>
      <ns0:c r="I6" s="48" t="n"/>
      <ns0:c r="J6" s="48" t="n"/>
      <ns0:c r="K6" s="48" t="n"/>
      <ns0:c r="L6" s="48" t="n"/>
      <ns0:c r="N6" s="18" t="n"/>
      <ns0:c r="O6" s="17" t="n"/>
      <ns0:c r="P6" s="48" t="n"/>
      <ns0:c r="Q6" s="48" t="n"/>
      <ns0:c r="R6" s="48" t="n"/>
      <ns0:c r="T6" s="48" t="n"/>
      <ns0:c r="U6" s="48" t="n"/>
      <ns0:c r="V6" s="48" t="n"/>
      <ns0:c r="W6" s="48" t="n"/>
      <ns0:c r="X6" s="48" t="n"/>
    </ns0:row>
    <ns0:row r="7">
      <ns0:c r="B7" s="254" t="n">
        <ns0:v>45457</ns0:v>
      </ns0:c>
      <ns0:c r="C7" s="102" t="inlineStr">
        <ns0:is>
          <ns0:t>VP IR 240517014-00004 
Date 01/06/2024</ns0:t>
        </ns0:is>
      </ns0:c>
      <ns0:c r="D7" s="102" t="n">
        <ns0:v>250</ns0:v>
      </ns0:c>
      <ns0:c r="E7" s="255" t="n">
        <ns0:v>24</ns0:v>
      </ns0:c>
      <ns0:c r="F7" s="256" t="n">
        <ns0:v>96000</ns0:v>
      </ns0:c>
      <ns0:c r="G7" s="252" t="n"/>
      <ns0:c r="H7" s="254" t="n">
        <ns0:v>45457</ns0:v>
      </ns0:c>
      <ns0:c r="I7" s="257" t="inlineStr">
        <ns0:is>
          <ns0:t xml:space="preserve">Frame NG Ring Plate bavia
Line Stock </ns0:t>
        </ns0:is>
      </ns0:c>
      <ns0:c r="J7" s="102" t="n">
        <ns0:v>140</ns0:v>
      </ns0:c>
      <ns0:c r="K7" s="255" t="n">
        <ns0:v>11</ns0:v>
      </ns0:c>
      <ns0:c r="L7" s="256" t="n">
        <ns0:v>78571.42857142857</ns0:v>
      </ns0:c>
      <ns0:c r="N7" s="258" t="inlineStr">
        <ns0:is>
          <ns0:t>AWF
Machine</ns0:t>
        </ns0:is>
      </ns0:c>
      <ns0:c r="O7" s="259" t="inlineStr">
        <ns0:is>
          <ns0:t>AWF #1</ns0:t>
        </ns0:is>
      </ns0:c>
      <ns0:c r="P7" s="260" t="n">
        <ns0:v>65789.47368421052</ns0:v>
      </ns0:c>
      <ns0:c r="Q7" s="260" t="n">
        <ns0:v>74561.40350877192</ns0:v>
      </ns0:c>
      <ns0:c r="R7" s="260" t="n">
        <ns0:v>75630.25210084033</ns0:v>
      </ns0:c>
      <ns0:c r="T7" s="254" t="n">
        <ns0:v>45458</ns0:v>
      </ns0:c>
      <ns0:c r="U7" s="257" t="inlineStr">
        <ns0:is>
          <ns0:t>Yoke Class 1</ns0:t>
        </ns0:is>
      </ns0:c>
      <ns0:c r="V7" s="102" t="n">
        <ns0:v>297</ns0:v>
      </ns0:c>
      <ns0:c r="W7" s="255" t="n">
        <ns0:v>26</ns0:v>
      </ns0:c>
      <ns0:c r="X7" s="256" t="n">
        <ns0:v>87542.08754208755</ns0:v>
      </ns0:c>
    </ns0:row>
    <ns0:row r="8">
      <ns0:c r="B8" s="48" t="n"/>
      <ns0:c r="C8" s="48" t="n"/>
      <ns0:c r="D8" s="48" t="n"/>
      <ns0:c r="E8" s="48" t="n"/>
      <ns0:c r="F8" s="48" t="n"/>
      <ns0:c r="G8" s="252" t="n"/>
      <ns0:c r="H8" s="48" t="n"/>
      <ns0:c r="I8" s="48" t="n"/>
      <ns0:c r="J8" s="48" t="n"/>
      <ns0:c r="K8" s="48" t="n"/>
      <ns0:c r="L8" s="48" t="n"/>
      <ns0:c r="N8" s="58" t="n"/>
      <ns0:c r="O8" s="48" t="n"/>
      <ns0:c r="P8" s="48" t="n"/>
      <ns0:c r="Q8" s="48" t="n"/>
      <ns0:c r="R8" s="48" t="n"/>
      <ns0:c r="T8" s="48" t="n"/>
      <ns0:c r="U8" s="48" t="n"/>
      <ns0:c r="V8" s="48" t="n"/>
      <ns0:c r="W8" s="48" t="n"/>
      <ns0:c r="X8" s="48" t="n"/>
    </ns0:row>
    <ns0:row r="9">
      <ns0:c r="B9" s="261" t="n">
        <ns0:v>45457</ns0:v>
      </ns0:c>
      <ns0:c r="C9" s="102" t="inlineStr">
        <ns0:is>
          <ns0:t>VP IR 240523059-00001 
Date 07/06/2024</ns0:t>
        </ns0:is>
      </ns0:c>
      <ns0:c r="D9" s="102" t="n">
        <ns0:v>475</ns0:v>
      </ns0:c>
      <ns0:c r="E9" s="255" t="n">
        <ns0:v>48</ns0:v>
      </ns0:c>
      <ns0:c r="F9" s="256" t="n">
        <ns0:v>101052.6315789474</ns0:v>
      </ns0:c>
      <ns0:c r="G9" s="252" t="n"/>
      <ns0:c r="H9" s="261" t="n">
        <ns0:v>45457</ns0:v>
      </ns0:c>
      <ns0:c r="I9" s="257" t="inlineStr">
        <ns0:is>
          <ns0:t>Test Frame improve Ring Plate date 4/06/2024 ( Stock )</ns0:t>
        </ns0:is>
      </ns0:c>
      <ns0:c r="J9" s="102" t="n">
        <ns0:v>188</ns0:v>
      </ns0:c>
      <ns0:c r="K9" s="255" t="n">
        <ns0:v>25</ns0:v>
      </ns0:c>
      <ns0:c r="L9" s="256" t="n">
        <ns0:v>132978.7234042553</ns0:v>
      </ns0:c>
      <ns0:c r="N9" s="58" t="n"/>
      <ns0:c r="O9" s="259" t="inlineStr">
        <ns0:is>
          <ns0:t>AWF #2</ns0:t>
        </ns0:is>
      </ns0:c>
      <ns0:c r="P9" s="260" t="n">
        <ns0:v>52173.91304347826</ns0:v>
      </ns0:c>
      <ns0:c r="Q9" s="260" t="n">
        <ns0:v>105932.2033898305</ns0:v>
      </ns0:c>
      <ns0:c r="R9" s="260" t="n">
        <ns0:v>105000</ns0:v>
      </ns0:c>
      <ns0:c r="T9" s="261" t="n">
        <ns0:v>45458</ns0:v>
      </ns0:c>
      <ns0:c r="U9" s="262" t="inlineStr">
        <ns0:is>
          <ns0:t>Yoke Claas 2</ns0:t>
        </ns0:is>
      </ns0:c>
      <ns0:c r="V9" s="102" t="n">
        <ns0:v>296</ns0:v>
      </ns0:c>
      <ns0:c r="W9" s="255" t="n">
        <ns0:v>45</ns0:v>
      </ns0:c>
      <ns0:c r="X9" s="256" t="n">
        <ns0:v>152027.027027027</ns0:v>
      </ns0:c>
    </ns0:row>
    <ns0:row r="10">
      <ns0:c r="B10" s="48" t="n"/>
      <ns0:c r="C10" s="48" t="n"/>
      <ns0:c r="D10" s="48" t="n"/>
      <ns0:c r="E10" s="48" t="n"/>
      <ns0:c r="F10" s="48" t="n"/>
      <ns0:c r="G10" s="252" t="n"/>
      <ns0:c r="H10" s="48" t="n"/>
      <ns0:c r="I10" s="48" t="n"/>
      <ns0:c r="J10" s="48" t="n"/>
      <ns0:c r="K10" s="48" t="n"/>
      <ns0:c r="L10" s="48" t="n"/>
      <ns0:c r="N10" s="58" t="n"/>
      <ns0:c r="O10" s="48" t="n"/>
      <ns0:c r="P10" s="48" t="n"/>
      <ns0:c r="Q10" s="48" t="n"/>
      <ns0:c r="R10" s="48" t="n"/>
      <ns0:c r="T10" s="48" t="n"/>
      <ns0:c r="U10" s="48" t="n"/>
      <ns0:c r="V10" s="48" t="n"/>
      <ns0:c r="W10" s="48" t="n"/>
      <ns0:c r="X10" s="48" t="n"/>
    </ns0:row>
    <ns0:row r="11">
      <ns0:c r="B11" s="261" t="n">
        <ns0:v>45457</ns0:v>
      </ns0:c>
      <ns0:c r="C11" s="102" t="inlineStr">
        <ns0:is>
          <ns0:t>VP IR 240517014-00004 
Date 31/05/2024</ns0:t>
        </ns0:is>
      </ns0:c>
      <ns0:c r="D11" s="102" t="n">
        <ns0:v>116</ns0:v>
      </ns0:c>
      <ns0:c r="E11" s="255" t="n">
        <ns0:v>10</ns0:v>
      </ns0:c>
      <ns0:c r="F11" s="256" t="n">
        <ns0:v>86206.89655172414</ns0:v>
      </ns0:c>
      <ns0:c r="G11" s="252" t="n"/>
      <ns0:c r="H11" s="263" t="n">
        <ns0:v>45457</ns0:v>
      </ns0:c>
      <ns0:c r="I11" s="264" t="inlineStr">
        <ns0:is>
          <ns0:t>Normal</ns0:t>
        </ns0:is>
      </ns0:c>
      <ns0:c r="J11" s="265" t="n">
        <ns0:v>311</ns0:v>
      </ns0:c>
      <ns0:c r="K11" s="266" t="n">
        <ns0:v>64</ns0:v>
      </ns0:c>
      <ns0:c r="L11" s="267" t="n">
        <ns0:v>205787.7813504823</ns0:v>
      </ns0:c>
      <ns0:c r="N11" s="58" t="n"/>
      <ns0:c r="O11" s="259" t="inlineStr">
        <ns0:is>
          <ns0:t>AWF #3</ns0:t>
        </ns0:is>
      </ns0:c>
      <ns0:c r="P11" s="260" t="n">
        <ns0:v>137931.0344827586</ns0:v>
      </ns0:c>
      <ns0:c r="Q11" s="260" t="n">
        <ns0:v>78534.03141361257</ns0:v>
      </ns0:c>
      <ns0:c r="R11" s="260" t="n">
        <ns0:v>100000</ns0:v>
      </ns0:c>
      <ns0:c r="T11" s="263" t="n">
        <ns0:v>45458</ns0:v>
      </ns0:c>
      <ns0:c r="U11" s="264" t="inlineStr">
        <ns0:is>
          <ns0:t>Normal</ns0:t>
        </ns0:is>
      </ns0:c>
      <ns0:c r="V11" s="265" t="n">
        <ns0:v>195</ns0:v>
      </ns0:c>
      <ns0:c r="W11" s="266" t="n">
        <ns0:v>34</ns0:v>
      </ns0:c>
      <ns0:c r="X11" s="267" t="n">
        <ns0:v>174358.9743589743</ns0:v>
      </ns0:c>
    </ns0:row>
    <ns0:row r="12">
      <ns0:c r="B12" s="48" t="n"/>
      <ns0:c r="C12" s="48" t="n"/>
      <ns0:c r="D12" s="48" t="n"/>
      <ns0:c r="E12" s="48" t="n"/>
      <ns0:c r="F12" s="48" t="n"/>
      <ns0:c r="G12" s="252" t="n"/>
      <ns0:c r="H12" s="48" t="n"/>
      <ns0:c r="I12" s="48" t="n"/>
      <ns0:c r="J12" s="48" t="n"/>
      <ns0:c r="K12" s="48" t="n"/>
      <ns0:c r="L12" s="48" t="n"/>
      <ns0:c r="N12" s="58" t="n"/>
      <ns0:c r="O12" s="48" t="n"/>
      <ns0:c r="P12" s="48" t="n"/>
      <ns0:c r="Q12" s="48" t="n"/>
      <ns0:c r="R12" s="48" t="n"/>
      <ns0:c r="T12" s="48" t="n"/>
      <ns0:c r="U12" s="48" t="n"/>
      <ns0:c r="V12" s="48" t="n"/>
      <ns0:c r="W12" s="48" t="n"/>
      <ns0:c r="X12" s="48" t="n"/>
    </ns0:row>
    <ns0:row r="13">
      <ns0:c r="B13" s="263" t="n">
        <ns0:v>45457</ns0:v>
      </ns0:c>
      <ns0:c r="C13" s="264" t="inlineStr">
        <ns0:is>
          <ns0:t>Normal</ns0:t>
        </ns0:is>
      </ns0:c>
      <ns0:c r="D13" s="265" t="n">
        <ns0:v>311</ns0:v>
      </ns0:c>
      <ns0:c r="E13" s="266" t="n">
        <ns0:v>64</ns0:v>
      </ns0:c>
      <ns0:c r="F13" s="267" t="n">
        <ns0:v>205787.7813504823</ns0:v>
      </ns0:c>
      <ns0:c r="G13" s="252" t="n"/>
      <ns0:c r="H13" s="254" t="n">
        <ns0:v>45460</ns0:v>
      </ns0:c>
      <ns0:c r="I13" s="262" t="inlineStr">
        <ns0:is>
          <ns0:t>Frame stock 24/11/2023</ns0:t>
        </ns0:is>
      </ns0:c>
      <ns0:c r="J13" s="102" t="n">
        <ns0:v>195</ns0:v>
      </ns0:c>
      <ns0:c r="K13" s="255" t="n">
        <ns0:v>18</ns0:v>
      </ns0:c>
      <ns0:c r="L13" s="256" t="n">
        <ns0:v>92307.69230769231</ns0:v>
      </ns0:c>
      <ns0:c r="N13" s="58" t="n"/>
      <ns0:c r="O13" s="259" t="inlineStr">
        <ns0:is>
          <ns0:t>AWF #4</ns0:t>
        </ns0:is>
      </ns0:c>
      <ns0:c r="P13" s="260" t="n">
        <ns0:v>107981.220657277</ns0:v>
      </ns0:c>
      <ns0:c r="Q13" s="260" t="n">
        <ns0:v>86538.46153846153</ns0:v>
      </ns0:c>
      <ns0:c r="R13" s="260" t="n">
        <ns0:v>84821.42857142858</ns0:v>
      </ns0:c>
      <ns0:c r="T13" s="254" t="n">
        <ns0:v>45462</ns0:v>
      </ns0:c>
      <ns0:c r="U13" s="257" t="inlineStr">
        <ns0:is>
          <ns0:t>Yoke Stock</ns0:t>
        </ns0:is>
      </ns0:c>
      <ns0:c r="V13" s="102" t="n">
        <ns0:v>200</ns0:v>
      </ns0:c>
      <ns0:c r="W13" s="255" t="n">
        <ns0:v>44</ns0:v>
      </ns0:c>
      <ns0:c r="X13" s="256" t="n">
        <ns0:v>220000</ns0:v>
      </ns0:c>
    </ns0:row>
    <ns0:row r="14">
      <ns0:c r="B14" s="48" t="n"/>
      <ns0:c r="C14" s="48" t="n"/>
      <ns0:c r="D14" s="48" t="n"/>
      <ns0:c r="E14" s="48" t="n"/>
      <ns0:c r="F14" s="48" t="n"/>
      <ns0:c r="G14" s="252" t="n"/>
      <ns0:c r="H14" s="48" t="n"/>
      <ns0:c r="I14" s="48" t="n"/>
      <ns0:c r="J14" s="48" t="n"/>
      <ns0:c r="K14" s="48" t="n"/>
      <ns0:c r="L14" s="48" t="n"/>
      <ns0:c r="N14" s="58" t="n"/>
      <ns0:c r="O14" s="48" t="n"/>
      <ns0:c r="P14" s="48" t="n"/>
      <ns0:c r="Q14" s="48" t="n"/>
      <ns0:c r="R14" s="48" t="n"/>
      <ns0:c r="T14" s="48" t="n"/>
      <ns0:c r="U14" s="48" t="n"/>
      <ns0:c r="V14" s="48" t="n"/>
      <ns0:c r="W14" s="48" t="n"/>
      <ns0:c r="X14" s="48" t="n"/>
    </ns0:row>
    <ns0:row r="15">
      <ns0:c r="B15" s="254" t="n">
        <ns0:v>45462</ns0:v>
      </ns0:c>
      <ns0:c r="C15" s="257" t="inlineStr">
        <ns0:is>
          <ns0:t>NO 13 - 2H</ns0:t>
        </ns0:is>
      </ns0:c>
      <ns0:c r="D15" s="102" t="n">
        <ns0:v>300</ns0:v>
      </ns0:c>
      <ns0:c r="E15" s="255" t="n">
        <ns0:v>44</ns0:v>
      </ns0:c>
      <ns0:c r="F15" s="256" t="n">
        <ns0:v>146666.6666666667</ns0:v>
      </ns0:c>
      <ns0:c r="N15" s="58" t="n"/>
      <ns0:c r="O15" s="259" t="inlineStr">
        <ns0:is>
          <ns0:t>AWF #5</ns0:t>
        </ns0:is>
      </ns0:c>
      <ns0:c r="P15" s="260" t="n">
        <ns0:v>115044.2477876106</ns0:v>
      </ns0:c>
      <ns0:c r="Q15" s="260" t="n">
        <ns0:v>85858.58585858585</ns0:v>
      </ns0:c>
      <ns0:c r="R15" s="260" t="n">
        <ns0:v>57377.04918032787</ns0:v>
      </ns0:c>
    </ns0:row>
    <ns0:row r="16">
      <ns0:c r="B16" s="48" t="n"/>
      <ns0:c r="C16" s="48" t="n"/>
      <ns0:c r="D16" s="48" t="n"/>
      <ns0:c r="E16" s="48" t="n"/>
      <ns0:c r="F16" s="48" t="n"/>
      <ns0:c r="N16" s="48" t="n"/>
      <ns0:c r="O16" s="48" t="n"/>
      <ns0:c r="P16" s="48" t="n"/>
      <ns0:c r="Q16" s="48" t="n"/>
      <ns0:c r="R16" s="48" t="n"/>
    </ns0:row>
    <ns0:row r="17">
      <ns0:c r="B17" s="261" t="n">
        <ns0:v>45462</ns0:v>
      </ns0:c>
      <ns0:c r="C17" s="257" t="inlineStr">
        <ns0:is>
          <ns0:t>NO 13 - 4H</ns0:t>
        </ns0:is>
      </ns0:c>
      <ns0:c r="D17" s="102" t="n">
        <ns0:v>300</ns0:v>
      </ns0:c>
      <ns0:c r="E17" s="255" t="n">
        <ns0:v>55</ns0:v>
      </ns0:c>
      <ns0:c r="F17" s="256" t="n">
        <ns0:v>183333.3333333333</ns0:v>
      </ns0:c>
    </ns0:row>
    <ns0:row r="18">
      <ns0:c r="B18" s="48" t="n"/>
      <ns0:c r="C18" s="48" t="n"/>
      <ns0:c r="D18" s="48" t="n"/>
      <ns0:c r="E18" s="48" t="n"/>
      <ns0:c r="F18" s="48" t="n"/>
      <ns0:c r="N18" s="250" t="inlineStr">
        <ns0:is>
          <ns0:t>AWF Test</ns0:t>
        </ns0:is>
      </ns0:c>
      <ns0:c r="O18" s="80" t="n"/>
      <ns0:c r="P18" s="80" t="n"/>
      <ns0:c r="Q18" s="80" t="n"/>
      <ns0:c r="R18" s="45" t="n"/>
    </ns0:row>
    <ns0:row r="19">
      <ns0:c r="B19" s="261" t="n">
        <ns0:v>45462</ns0:v>
      </ns0:c>
      <ns0:c r="C19" s="257" t="inlineStr">
        <ns0:is>
          <ns0:t>NO 14 - 2H</ns0:t>
        </ns0:is>
      </ns0:c>
      <ns0:c r="D19" s="102" t="n">
        <ns0:v>300</ns0:v>
      </ns0:c>
      <ns0:c r="E19" s="255" t="n">
        <ns0:v>40</ns0:v>
      </ns0:c>
      <ns0:c r="F19" s="256" t="n">
        <ns0:v>133333.3333333333</ns0:v>
      </ns0:c>
      <ns0:c r="N19" s="18" t="n"/>
      <ns0:c r="O19" s="19" t="n"/>
      <ns0:c r="P19" s="19" t="n"/>
      <ns0:c r="Q19" s="19" t="n"/>
      <ns0:c r="R19" s="17" t="n"/>
    </ns0:row>
    <ns0:row r="20">
      <ns0:c r="B20" s="48" t="n"/>
      <ns0:c r="C20" s="48" t="n"/>
      <ns0:c r="D20" s="48" t="n"/>
      <ns0:c r="E20" s="48" t="n"/>
      <ns0:c r="F20" s="48" t="n"/>
      <ns0:c r="N20" s="250" t="inlineStr">
        <ns0:is>
          <ns0:t>Date</ns0:t>
        </ns0:is>
      </ns0:c>
      <ns0:c r="O20" s="250" t="inlineStr">
        <ns0:is>
          <ns0:t>Details</ns0:t>
        </ns0:is>
      </ns0:c>
      <ns0:c r="P20" s="250" t="inlineStr">
        <ns0:is>
          <ns0:t>Input</ns0:t>
        </ns0:is>
      </ns0:c>
      <ns0:c r="Q20" s="250" t="inlineStr">
        <ns0:is>
          <ns0:t>NG</ns0:t>
        </ns0:is>
      </ns0:c>
      <ns0:c r="R20" s="250" t="inlineStr">
        <ns0:is>
          <ns0:t>NG Rate</ns0:t>
        </ns0:is>
      </ns0:c>
    </ns0:row>
    <ns0:row r="21">
      <ns0:c r="B21" s="261" t="n">
        <ns0:v>45462</ns0:v>
      </ns0:c>
      <ns0:c r="C21" s="257" t="inlineStr">
        <ns0:is>
          <ns0:t>NO 14 - 4H</ns0:t>
        </ns0:is>
      </ns0:c>
      <ns0:c r="D21" s="102" t="n">
        <ns0:v>298</ns0:v>
      </ns0:c>
      <ns0:c r="E21" s="255" t="n">
        <ns0:v>70</ns0:v>
      </ns0:c>
      <ns0:c r="F21" s="256" t="n">
        <ns0:v>234899.3288590604</ns0:v>
      </ns0:c>
      <ns0:c r="N21" s="48" t="n"/>
      <ns0:c r="O21" s="48" t="n"/>
      <ns0:c r="P21" s="48" t="n"/>
      <ns0:c r="Q21" s="48" t="n"/>
      <ns0:c r="R21" s="48" t="n"/>
    </ns0:row>
    <ns0:row r="22">
      <ns0:c r="B22" s="48" t="n"/>
      <ns0:c r="C22" s="48" t="n"/>
      <ns0:c r="D22" s="48" t="n"/>
      <ns0:c r="E22" s="48" t="n"/>
      <ns0:c r="F22" s="48" t="n"/>
      <ns0:c r="N22" s="254" t="n">
        <ns0:v>45464</ns0:v>
      </ns0:c>
      <ns0:c r="O22" s="257" t="inlineStr">
        <ns0:is>
          <ns0:t>AWF#1
(Roll change)</ns0:t>
        </ns0:is>
      </ns0:c>
      <ns0:c r="P22" s="102" t="n">
        <ns0:v>140</ns0:v>
      </ns0:c>
      <ns0:c r="Q22" s="255" t="n">
        <ns0:v>2</ns0:v>
      </ns0:c>
      <ns0:c r="R22" s="256" t="n">
        <ns0:v>14285.71428571428</ns0:v>
      </ns0:c>
    </ns0:row>
    <ns0:row r="23">
      <ns0:c r="B23" s="254" t="n">
        <ns0:v>45463</ns0:v>
      </ns0:c>
      <ns0:c r="C23" s="257" t="inlineStr">
        <ns0:is>
          <ns0:t xml:space="preserve">NO 13 - 2H </ns0:t>
        </ns0:is>
      </ns0:c>
      <ns0:c r="D23" s="102" t="n">
        <ns0:v>378</ns0:v>
      </ns0:c>
      <ns0:c r="E23" s="255" t="n">
        <ns0:v>96</ns0:v>
      </ns0:c>
      <ns0:c r="F23" s="256" t="n">
        <ns0:v>253968.253968254</ns0:v>
      </ns0:c>
      <ns0:c r="N23" s="48" t="n"/>
      <ns0:c r="O23" s="48" t="n"/>
      <ns0:c r="P23" s="48" t="n"/>
      <ns0:c r="Q23" s="48" t="n"/>
      <ns0:c r="R23" s="48" t="n"/>
    </ns0:row>
    <ns0:row r="24">
      <ns0:c r="B24" s="48" t="n"/>
      <ns0:c r="C24" s="48" t="n"/>
      <ns0:c r="D24" s="48" t="n"/>
      <ns0:c r="E24" s="48" t="n"/>
      <ns0:c r="F24" s="48" t="n"/>
      <ns0:c r="N24" s="261" t="n">
        <ns0:v>45464</ns0:v>
      </ns0:c>
      <ns0:c r="O24" s="257" t="inlineStr">
        <ns0:is>
          <ns0:t>AWF#2
(Roll change)</ns0:t>
        </ns0:is>
      </ns0:c>
      <ns0:c r="P24" s="102" t="n">
        <ns0:v>140</ns0:v>
      </ns0:c>
      <ns0:c r="Q24" s="255" t="n">
        <ns0:v>14</ns0:v>
      </ns0:c>
      <ns0:c r="R24" s="256" t="n">
        <ns0:v>100000</ns0:v>
      </ns0:c>
    </ns0:row>
    <ns0:row r="25">
      <ns0:c r="B25" s="261" t="n">
        <ns0:v>45463</ns0:v>
      </ns0:c>
      <ns0:c r="C25" s="257" t="inlineStr">
        <ns0:is>
          <ns0:t>NO 13 - 4H</ns0:t>
        </ns0:is>
      </ns0:c>
      <ns0:c r="D25" s="102" t="n">
        <ns0:v>380</ns0:v>
      </ns0:c>
      <ns0:c r="E25" s="255" t="n">
        <ns0:v>65</ns0:v>
      </ns0:c>
      <ns0:c r="F25" s="256" t="n">
        <ns0:v>171052.6315789474</ns0:v>
      </ns0:c>
      <ns0:c r="N25" s="48" t="n"/>
      <ns0:c r="O25" s="48" t="n"/>
      <ns0:c r="P25" s="48" t="n"/>
      <ns0:c r="Q25" s="48" t="n"/>
      <ns0:c r="R25" s="48" t="n"/>
    </ns0:row>
    <ns0:row r="26">
      <ns0:c r="B26" s="48" t="n"/>
      <ns0:c r="C26" s="48" t="n"/>
      <ns0:c r="D26" s="48" t="n"/>
      <ns0:c r="E26" s="48" t="n"/>
      <ns0:c r="F26" s="48" t="n"/>
      <ns0:c r="N26" s="261" t="n">
        <ns0:v>45464</ns0:v>
      </ns0:c>
      <ns0:c r="O26" s="257" t="inlineStr">
        <ns0:is>
          <ns0:t>AWF#3
(Roll change)</ns0:t>
        </ns0:is>
      </ns0:c>
      <ns0:c r="P26" s="102" t="n">
        <ns0:v>139</ns0:v>
      </ns0:c>
      <ns0:c r="Q26" s="255" t="n">
        <ns0:v>5</ns0:v>
      </ns0:c>
      <ns0:c r="R26" s="256" t="n">
        <ns0:v>35971.22302158273</ns0:v>
      </ns0:c>
    </ns0:row>
    <ns0:row r="27">
      <ns0:c r="B27" s="261" t="n">
        <ns0:v>45463</ns0:v>
      </ns0:c>
      <ns0:c r="C27" s="257" t="inlineStr">
        <ns0:is>
          <ns0:t>NO 14 - 2H</ns0:t>
        </ns0:is>
      </ns0:c>
      <ns0:c r="D27" s="102" t="n">
        <ns0:v>364</ns0:v>
      </ns0:c>
      <ns0:c r="E27" s="255" t="n">
        <ns0:v>104</ns0:v>
      </ns0:c>
      <ns0:c r="F27" s="256" t="n">
        <ns0:v>285714.2857142857</ns0:v>
      </ns0:c>
      <ns0:c r="N27" s="48" t="n"/>
      <ns0:c r="O27" s="48" t="n"/>
      <ns0:c r="P27" s="48" t="n"/>
      <ns0:c r="Q27" s="48" t="n"/>
      <ns0:c r="R27" s="48" t="n"/>
    </ns0:row>
    <ns0:row r="28">
      <ns0:c r="B28" s="48" t="n"/>
      <ns0:c r="C28" s="48" t="n"/>
      <ns0:c r="D28" s="48" t="n"/>
      <ns0:c r="E28" s="48" t="n"/>
      <ns0:c r="F28" s="48" t="n"/>
      <ns0:c r="N28" s="261" t="n">
        <ns0:v>45464</ns0:v>
      </ns0:c>
      <ns0:c r="O28" s="257" t="inlineStr">
        <ns0:is>
          <ns0:t>AWF#4
(Roll change)</ns0:t>
        </ns0:is>
      </ns0:c>
      <ns0:c r="P28" s="102" t="n">
        <ns0:v>140</ns0:v>
      </ns0:c>
      <ns0:c r="Q28" s="255" t="n">
        <ns0:v>4</ns0:v>
      </ns0:c>
      <ns0:c r="R28" s="256" t="n">
        <ns0:v>28571.42857142857</ns0:v>
      </ns0:c>
    </ns0:row>
    <ns0:row r="29">
      <ns0:c r="B29" s="261" t="n">
        <ns0:v>45463</ns0:v>
      </ns0:c>
      <ns0:c r="C29" s="257" t="inlineStr">
        <ns0:is>
          <ns0:t>NO 14 - 4H</ns0:t>
        </ns0:is>
      </ns0:c>
      <ns0:c r="D29" s="102" t="n">
        <ns0:v>375</ns0:v>
      </ns0:c>
      <ns0:c r="E29" s="255" t="n">
        <ns0:v>119</ns0:v>
      </ns0:c>
      <ns0:c r="F29" s="256" t="n">
        <ns0:v>317333.3333333334</ns0:v>
      </ns0:c>
      <ns0:c r="N29" s="48" t="n"/>
      <ns0:c r="O29" s="48" t="n"/>
      <ns0:c r="P29" s="48" t="n"/>
      <ns0:c r="Q29" s="48" t="n"/>
      <ns0:c r="R29" s="48" t="n"/>
    </ns0:row>
    <ns0:row r="30">
      <ns0:c r="B30" s="48" t="n"/>
      <ns0:c r="C30" s="48" t="n"/>
      <ns0:c r="D30" s="48" t="n"/>
      <ns0:c r="E30" s="48" t="n"/>
      <ns0:c r="F30" s="48" t="n"/>
      <ns0:c r="N30" s="268" t="n">
        <ns0:v>45464</ns0:v>
      </ns0:c>
      <ns0:c r="O30" s="269" t="inlineStr">
        <ns0:is>
          <ns0:t>AWF#5
(Roll change)</ns0:t>
        </ns0:is>
      </ns0:c>
      <ns0:c r="P30" s="270" t="n">
        <ns0:v>145</ns0:v>
      </ns0:c>
      <ns0:c r="Q30" s="271" t="n">
        <ns0:v>9</ns0:v>
      </ns0:c>
      <ns0:c r="R30" s="272" t="n">
        <ns0:v>62068.96551724138</ns0:v>
      </ns0:c>
    </ns0:row>
    <ns0:row r="31">
      <ns0:c r="B31" s="273" t="n">
        <ns0:v>45463</ns0:v>
      </ns0:c>
      <ns0:c r="C31" s="274" t="inlineStr">
        <ns0:is>
          <ns0:t>NO 13 - 2H  + AWF#1</ns0:t>
        </ns0:is>
      </ns0:c>
      <ns0:c r="D31" s="275" t="n">
        <ns0:v>99</ns0:v>
      </ns0:c>
      <ns0:c r="E31" s="276" t="n">
        <ns0:v>30</ns0:v>
      </ns0:c>
      <ns0:c r="F31" s="277" t="n">
        <ns0:v>303030.303030303</ns0:v>
      </ns0:c>
      <ns0:c r="N31" s="58" t="n"/>
      <ns0:c r="O31" s="58" t="n"/>
      <ns0:c r="P31" s="58" t="n"/>
      <ns0:c r="Q31" s="58" t="n"/>
      <ns0:c r="R31" s="58" t="n"/>
    </ns0:row>
    <ns0:row r="32">
      <ns0:c r="B32" s="48" t="n"/>
      <ns0:c r="C32" s="48" t="n"/>
      <ns0:c r="D32" s="48" t="n"/>
      <ns0:c r="E32" s="48" t="n"/>
      <ns0:c r="F32" s="48" t="n"/>
      <ns0:c r="N32" s="278" t="n">
        <ns0:v>45465</ns0:v>
      </ns0:c>
      <ns0:c r="O32" s="279" t="inlineStr">
        <ns0:is>
          <ns0:t>Old wire coil 
0.111mm</ns0:t>
        </ns0:is>
      </ns0:c>
      <ns0:c r="P32" s="280" t="n">
        <ns0:v>175</ns0:v>
      </ns0:c>
      <ns0:c r="Q32" s="281" t="n">
        <ns0:v>3</ns0:v>
      </ns0:c>
      <ns0:c r="R32" s="282" t="n">
        <ns0:v>17142.85714285714</ns0:v>
      </ns0:c>
    </ns0:row>
    <ns0:row r="33">
      <ns0:c r="B33" s="273" t="n">
        <ns0:v>45463</ns0:v>
      </ns0:c>
      <ns0:c r="C33" s="274" t="inlineStr">
        <ns0:is>
          <ns0:t>NO 13 - 4H   + AWF#1</ns0:t>
        </ns0:is>
      </ns0:c>
      <ns0:c r="D33" s="275" t="n">
        <ns0:v>98</ns0:v>
      </ns0:c>
      <ns0:c r="E33" s="276" t="n">
        <ns0:v>20</ns0:v>
      </ns0:c>
      <ns0:c r="F33" s="277" t="n">
        <ns0:v>204081.6326530612</ns0:v>
      </ns0:c>
      <ns0:c r="N33" s="48" t="n"/>
      <ns0:c r="O33" s="48" t="n"/>
      <ns0:c r="P33" s="48" t="n"/>
      <ns0:c r="Q33" s="48" t="n"/>
      <ns0:c r="R33" s="48" t="n"/>
    </ns0:row>
    <ns0:row r="34">
      <ns0:c r="B34" s="48" t="n"/>
      <ns0:c r="C34" s="48" t="n"/>
      <ns0:c r="D34" s="48" t="n"/>
      <ns0:c r="E34" s="48" t="n"/>
      <ns0:c r="F34" s="48" t="n"/>
      <ns0:c r="N34" s="254" t="n">
        <ns0:v>45465</ns0:v>
      </ns0:c>
      <ns0:c r="O34" s="257" t="inlineStr">
        <ns0:is>
          <ns0:t>New wire coil 
0.111mm</ns0:t>
        </ns0:is>
      </ns0:c>
      <ns0:c r="P34" s="102" t="n">
        <ns0:v>211</ns0:v>
      </ns0:c>
      <ns0:c r="Q34" s="255" t="n">
        <ns0:v>12</ns0:v>
      </ns0:c>
      <ns0:c r="R34" s="256" t="n">
        <ns0:v>56872.03791469194</ns0:v>
      </ns0:c>
    </ns0:row>
    <ns0:row r="35">
      <ns0:c r="B35" s="273" t="n">
        <ns0:v>45463</ns0:v>
      </ns0:c>
      <ns0:c r="C35" s="274" t="inlineStr">
        <ns0:is>
          <ns0:t>NO 14 - 2H   + AWF#1</ns0:t>
        </ns0:is>
      </ns0:c>
      <ns0:c r="D35" s="275" t="n">
        <ns0:v>90</ns0:v>
      </ns0:c>
      <ns0:c r="E35" s="276" t="n">
        <ns0:v>19</ns0:v>
      </ns0:c>
      <ns0:c r="F35" s="277" t="n">
        <ns0:v>211111.1111111111</ns0:v>
      </ns0:c>
      <ns0:c r="N35" s="48" t="n"/>
      <ns0:c r="O35" s="48" t="n"/>
      <ns0:c r="P35" s="48" t="n"/>
      <ns0:c r="Q35" s="48" t="n"/>
      <ns0:c r="R35" s="48" t="n"/>
    </ns0:row>
    <ns0:row r="36">
      <ns0:c r="B36" s="48" t="n"/>
      <ns0:c r="C36" s="48" t="n"/>
      <ns0:c r="D36" s="48" t="n"/>
      <ns0:c r="E36" s="48" t="n"/>
      <ns0:c r="F36" s="48" t="n"/>
    </ns0:row>
    <ns0:row r="37">
      <ns0:c r="B37" s="273" t="n">
        <ns0:v>45463</ns0:v>
      </ns0:c>
      <ns0:c r="C37" s="274" t="inlineStr">
        <ns0:is>
          <ns0:t>NO 14 - 4H   + AWF#1</ns0:t>
        </ns0:is>
      </ns0:c>
      <ns0:c r="D37" s="275" t="n">
        <ns0:v>92</ns0:v>
      </ns0:c>
      <ns0:c r="E37" s="276" t="n">
        <ns0:v>9</ns0:v>
      </ns0:c>
      <ns0:c r="F37" s="277" t="n">
        <ns0:v>97826.08695652174</ns0:v>
      </ns0:c>
    </ns0:row>
    <ns0:row r="38">
      <ns0:c r="B38" s="48" t="n"/>
      <ns0:c r="C38" s="48" t="n"/>
      <ns0:c r="D38" s="48" t="n"/>
      <ns0:c r="E38" s="48" t="n"/>
      <ns0:c r="F38" s="48" t="n"/>
    </ns0:row>
    <ns0:row r="39">
      <ns0:c r="C39" s="249" t="n"/>
      <ns0:c r="D39" s="249" t="n"/>
      <ns0:c r="E39" s="249" t="n"/>
    </ns0:row>
    <ns0:row r="51">
      <ns0:c r="B51" s="283" t="inlineStr">
        <ns0:is>
          <ns0:t>Process</ns0:t>
        </ns0:is>
      </ns0:c>
      <ns0:c r="C51" s="80" t="n"/>
      <ns0:c r="D51" s="80" t="n"/>
      <ns0:c r="E51" s="80" t="n"/>
      <ns0:c r="F51" s="45" t="n"/>
    </ns0:row>
    <ns0:row r="52">
      <ns0:c r="B52" s="18" t="n"/>
      <ns0:c r="C52" s="19" t="n"/>
      <ns0:c r="D52" s="19" t="n"/>
      <ns0:c r="E52" s="19" t="n"/>
      <ns0:c r="F52" s="17" t="n"/>
    </ns0:row>
    <ns0:row r="53">
      <ns0:c r="B53" s="250" t="inlineStr">
        <ns0:is>
          <ns0:t>Date</ns0:t>
        </ns0:is>
      </ns0:c>
      <ns0:c r="C53" s="250" t="inlineStr">
        <ns0:is>
          <ns0:t>Details</ns0:t>
        </ns0:is>
      </ns0:c>
      <ns0:c r="D53" s="250" t="inlineStr">
        <ns0:is>
          <ns0:t>Input</ns0:t>
        </ns0:is>
      </ns0:c>
      <ns0:c r="E53" s="250" t="inlineStr">
        <ns0:is>
          <ns0:t>NG</ns0:t>
        </ns0:is>
      </ns0:c>
      <ns0:c r="F53" s="250" t="inlineStr">
        <ns0:is>
          <ns0:t>NG Rate</ns0:t>
        </ns0:is>
      </ns0:c>
    </ns0:row>
    <ns0:row r="54">
      <ns0:c r="B54" s="48" t="n"/>
      <ns0:c r="C54" s="48" t="n"/>
      <ns0:c r="D54" s="48" t="n"/>
      <ns0:c r="E54" s="48" t="n"/>
      <ns0:c r="F54" s="48" t="n"/>
    </ns0:row>
    <ns0:row r="55">
      <ns0:c r="B55" s="254" t="n">
        <ns0:v>45457</ns0:v>
      </ns0:c>
      <ns0:c r="C55" s="257" t="inlineStr">
        <ns0:is>
          <ns0:t xml:space="preserve">Down UV press VP+Coil </ns0:t>
        </ns0:is>
      </ns0:c>
      <ns0:c r="D55" s="102" t="n">
        <ns0:v>440</ns0:v>
      </ns0:c>
      <ns0:c r="E55" s="255" t="n">
        <ns0:v>67</ns0:v>
      </ns0:c>
      <ns0:c r="F55" s="256" t="n">
        <ns0:v>152272.7272727273</ns0:v>
      </ns0:c>
    </ns0:row>
    <ns0:row r="56">
      <ns0:c r="B56" s="48" t="n"/>
      <ns0:c r="C56" s="48" t="n"/>
      <ns0:c r="D56" s="48" t="n"/>
      <ns0:c r="E56" s="48" t="n"/>
      <ns0:c r="F56" s="48" t="n"/>
    </ns0:row>
    <ns0:row r="57">
      <ns0:c r="B57" s="261" t="n">
        <ns0:v>45457</ns0:v>
      </ns0:c>
      <ns0:c r="C57" s="257" t="inlineStr">
        <ns0:is>
          <ns0:t>Change Delay bonding VP outside 37 =&gt; 40
( Reduce bond )</ns0:t>
        </ns0:is>
      </ns0:c>
      <ns0:c r="D57" s="102" t="n">
        <ns0:v>200</ns0:v>
      </ns0:c>
      <ns0:c r="E57" s="255" t="n">
        <ns0:v>29</ns0:v>
      </ns0:c>
      <ns0:c r="F57" s="256" t="n">
        <ns0:v>145000</ns0:v>
      </ns0:c>
    </ns0:row>
    <ns0:row r="58">
      <ns0:c r="B58" s="48" t="n"/>
      <ns0:c r="C58" s="48" t="n"/>
      <ns0:c r="D58" s="48" t="n"/>
      <ns0:c r="E58" s="48" t="n"/>
      <ns0:c r="F58" s="48" t="n"/>
    </ns0:row>
    <ns0:row r="59">
      <ns0:c r="B59" s="263" t="n">
        <ns0:v>45457</ns0:v>
      </ns0:c>
      <ns0:c r="C59" s="264" t="inlineStr">
        <ns0:is>
          <ns0:t>Normal</ns0:t>
        </ns0:is>
      </ns0:c>
      <ns0:c r="D59" s="265" t="n">
        <ns0:v>311</ns0:v>
      </ns0:c>
      <ns0:c r="E59" s="266" t="n">
        <ns0:v>64</ns0:v>
      </ns0:c>
      <ns0:c r="F59" s="267" t="n">
        <ns0:v>205787.7813504823</ns0:v>
      </ns0:c>
    </ns0:row>
    <ns0:row r="60">
      <ns0:c r="B60" s="48" t="n"/>
      <ns0:c r="C60" s="48" t="n"/>
      <ns0:c r="D60" s="48" t="n"/>
      <ns0:c r="E60" s="48" t="n"/>
      <ns0:c r="F60" s="48" t="n"/>
    </ns0:row>
    <ns0:row r="61">
      <ns0:c r="B61" s="254" t="n">
        <ns0:v>45458</ns0:v>
      </ns0:c>
      <ns0:c r="C61" s="262" t="inlineStr">
        <ns0:is>
          <ns0:t>Down UV Press Coil + Suspension</ns0:t>
        </ns0:is>
      </ns0:c>
      <ns0:c r="D61" s="102" t="n">
        <ns0:v>399</ns0:v>
      </ns0:c>
      <ns0:c r="E61" s="255" t="n">
        <ns0:v>33</ns0:v>
      </ns0:c>
      <ns0:c r="F61" s="256" t="n">
        <ns0:v>82706.76691729322</ns0:v>
      </ns0:c>
    </ns0:row>
    <ns0:row r="62">
      <ns0:c r="B62" s="48" t="n"/>
      <ns0:c r="C62" s="48" t="n"/>
      <ns0:c r="D62" s="48" t="n"/>
      <ns0:c r="E62" s="48" t="n"/>
      <ns0:c r="F62" s="48" t="n"/>
    </ns0:row>
    <ns0:row r="63">
      <ns0:c r="B63" s="263" t="n">
        <ns0:v>45458</ns0:v>
      </ns0:c>
      <ns0:c r="C63" s="264" t="inlineStr">
        <ns0:is>
          <ns0:t>Normal</ns0:t>
        </ns0:is>
      </ns0:c>
      <ns0:c r="D63" s="265" t="n">
        <ns0:v>195</ns0:v>
      </ns0:c>
      <ns0:c r="E63" s="266" t="n">
        <ns0:v>34</ns0:v>
      </ns0:c>
      <ns0:c r="F63" s="267" t="n">
        <ns0:v>174358.9743589743</ns0:v>
      </ns0:c>
    </ns0:row>
    <ns0:row r="64">
      <ns0:c r="B64" s="48" t="n"/>
      <ns0:c r="C64" s="48" t="n"/>
      <ns0:c r="D64" s="48" t="n"/>
      <ns0:c r="E64" s="48" t="n"/>
      <ns0:c r="F64" s="48" t="n"/>
    </ns0:row>
    <ns0:row r="65">
      <ns0:c r="B65" s="254" t="n">
        <ns0:v>45461</ns0:v>
      </ns0:c>
      <ns0:c r="C65" s="262" t="inlineStr">
        <ns0:is>
          <ns0:t>UV Press #1</ns0:t>
        </ns0:is>
      </ns0:c>
      <ns0:c r="D65" s="102" t="n">
        <ns0:v>199</ns0:v>
      </ns0:c>
      <ns0:c r="E65" s="255" t="n">
        <ns0:v>19</ns0:v>
      </ns0:c>
      <ns0:c r="F65" s="256" t="n">
        <ns0:v>95477.38693467337</ns0:v>
      </ns0:c>
    </ns0:row>
    <ns0:row r="66">
      <ns0:c r="B66" s="48" t="n"/>
      <ns0:c r="C66" s="48" t="n"/>
      <ns0:c r="D66" s="48" t="n"/>
      <ns0:c r="E66" s="48" t="n"/>
      <ns0:c r="F66" s="48" t="n"/>
    </ns0:row>
    <ns0:row r="67">
      <ns0:c r="B67" s="261" t="n">
        <ns0:v>45461</ns0:v>
      </ns0:c>
      <ns0:c r="C67" s="262" t="inlineStr">
        <ns0:is>
          <ns0:t>UV Press #2</ns0:t>
        </ns0:is>
      </ns0:c>
      <ns0:c r="D67" s="102" t="n">
        <ns0:v>198</ns0:v>
      </ns0:c>
      <ns0:c r="E67" s="255" t="n">
        <ns0:v>23</ns0:v>
      </ns0:c>
      <ns0:c r="F67" s="256" t="n">
        <ns0:v>116161.6161616162</ns0:v>
      </ns0:c>
    </ns0:row>
    <ns0:row r="68">
      <ns0:c r="B68" s="48" t="n"/>
      <ns0:c r="C68" s="48" t="n"/>
      <ns0:c r="D68" s="48" t="n"/>
      <ns0:c r="E68" s="48" t="n"/>
      <ns0:c r="F68" s="48" t="n"/>
    </ns0:row>
    <ns0:row r="69">
      <ns0:c r="B69" s="261" t="n">
        <ns0:v>45461</ns0:v>
      </ns0:c>
      <ns0:c r="C69" s="262" t="inlineStr">
        <ns0:is>
          <ns0:t>UV Press #3</ns0:t>
        </ns0:is>
      </ns0:c>
      <ns0:c r="D69" s="102" t="n">
        <ns0:v>199</ns0:v>
      </ns0:c>
      <ns0:c r="E69" s="255" t="n">
        <ns0:v>12</ns0:v>
      </ns0:c>
      <ns0:c r="F69" s="256" t="n">
        <ns0:v>60301.50753768844</ns0:v>
      </ns0:c>
    </ns0:row>
    <ns0:row r="70">
      <ns0:c r="B70" s="48" t="n"/>
      <ns0:c r="C70" s="48" t="n"/>
      <ns0:c r="D70" s="48" t="n"/>
      <ns0:c r="E70" s="48" t="n"/>
      <ns0:c r="F70" s="48" t="n"/>
    </ns0:row>
    <ns0:row r="71">
      <ns0:c r="B71" s="261" t="n">
        <ns0:v>45461</ns0:v>
      </ns0:c>
      <ns0:c r="C71" s="262" t="inlineStr">
        <ns0:is>
          <ns0:t>UV Press #4</ns0:t>
        </ns0:is>
      </ns0:c>
      <ns0:c r="D71" s="102" t="n">
        <ns0:v>198</ns0:v>
      </ns0:c>
      <ns0:c r="E71" s="255" t="n">
        <ns0:v>29</ns0:v>
      </ns0:c>
      <ns0:c r="F71" s="256" t="n">
        <ns0:v>146464.6464646465</ns0:v>
      </ns0:c>
    </ns0:row>
    <ns0:row r="72">
      <ns0:c r="B72" s="48" t="n"/>
      <ns0:c r="C72" s="48" t="n"/>
      <ns0:c r="D72" s="48" t="n"/>
      <ns0:c r="E72" s="48" t="n"/>
      <ns0:c r="F72" s="48" t="n"/>
    </ns0:row>
    <ns0:row r="73">
      <ns0:c r="B73" s="254" t="n">
        <ns0:v>45462</ns0:v>
      </ns0:c>
      <ns0:c r="C73" s="257" t="inlineStr">
        <ns0:is>
          <ns0:t>(VP+FP) Straight bonding speed 40 =&gt; 45
Corner bonding speed 30 =&gt;25
Bond amount 4.92 -5.04 mg</ns0:t>
        </ns0:is>
      </ns0:c>
      <ns0:c r="D73" s="102" t="n">
        <ns0:v>270</ns0:v>
      </ns0:c>
      <ns0:c r="E73" s="255" t="n">
        <ns0:v>22</ns0:v>
      </ns0:c>
      <ns0:c r="F73" s="256" t="n">
        <ns0:v>81481.48148148149</ns0:v>
      </ns0:c>
    </ns0:row>
    <ns0:row r="74">
      <ns0:c r="B74" s="48" t="n"/>
      <ns0:c r="C74" s="48" t="n"/>
      <ns0:c r="D74" s="48" t="n"/>
      <ns0:c r="E74" s="48" t="n"/>
      <ns0:c r="F74" s="48" t="n"/>
    </ns0:row>
    <ns0:row r="75">
      <ns0:c r="B75" s="254" t="n">
        <ns0:v>45463</ns0:v>
      </ns0:c>
      <ns0:c r="C75" s="257" t="inlineStr">
        <ns0:is>
          <ns0:t>(VP+CD) Straight bonding speed 40 =&gt; 43
Corner bonding speed 17 =&gt;19
Bond amount 3,54-3,48 mg</ns0:t>
        </ns0:is>
      </ns0:c>
      <ns0:c r="D75" s="102" t="n">
        <ns0:v>432</ns0:v>
      </ns0:c>
      <ns0:c r="E75" s="255" t="n">
        <ns0:v>43</ns0:v>
      </ns0:c>
      <ns0:c r="F75" s="256" t="n">
        <ns0:v>99537.03703703704</ns0:v>
      </ns0:c>
    </ns0:row>
    <ns0:row r="76">
      <ns0:c r="B76" s="48" t="n"/>
      <ns0:c r="C76" s="48" t="n"/>
      <ns0:c r="D76" s="48" t="n"/>
      <ns0:c r="E76" s="48" t="n"/>
      <ns0:c r="F76" s="48" t="n"/>
    </ns0:row>
  </ns0:sheetData>
  <ns0:mergeCells count="266">
    <ns0:mergeCell ref="F53:F54"/>
    <ns0:mergeCell ref="N22:N23"/>
    <ns0:mergeCell ref="H9:H10"/>
    <ns0:mergeCell ref="R13:R14"/>
    <ns0:mergeCell ref="P22:P23"/>
    <ns0:mergeCell ref="J9:J10"/>
    <ns0:mergeCell ref="E73:E74"/>
    <ns0:mergeCell ref="C29:C30"/>
    <ns0:mergeCell ref="P34:P35"/>
    <ns0:mergeCell ref="D21:D22"/>
    <ns0:mergeCell ref="B61:B62"/>
    <ns0:mergeCell ref="F59:F60"/>
    <ns0:mergeCell ref="D61:D62"/>
    <ns0:mergeCell ref="E23:E24"/>
    <ns0:mergeCell ref="R28:R29"/>
    <ns0:mergeCell ref="F55:F56"/>
    <ns0:mergeCell ref="C63:C64"/>
    <ns0:mergeCell ref="E63:E64"/>
    <ns0:mergeCell ref="H11:H12"/>
    <ns0:mergeCell ref="R15:R16"/>
    <ns0:mergeCell ref="J11:J12"/>
    <ns0:mergeCell ref="B29:B30"/>
    <ns0:mergeCell ref="L5:L6"/>
    <ns0:mergeCell ref="B23:B24"/>
    <ns0:mergeCell ref="C71:C72"/>
    <ns0:mergeCell ref="E65:E66"/>
    <ns0:mergeCell ref="R30:R31"/>
    <ns0:mergeCell ref="B13:B14"/>
    <ns0:mergeCell ref="D13:D14"/>
    <ns0:mergeCell ref="D7:D8"/>
    <ns0:mergeCell ref="P7:P8"/>
    <ns0:mergeCell ref="R32:R33"/>
    <ns0:mergeCell ref="B37:B38"/>
    <ns0:mergeCell ref="B15:B16"/>
    <ns0:mergeCell ref="F13:F14"/>
    <ns0:mergeCell ref="W11:W12"/>
    <ns0:mergeCell ref="D15:D16"/>
    <ns0:mergeCell ref="H13:H14"/>
    <ns0:mergeCell ref="F31:F32"/>
    <ns0:mergeCell ref="T11:T12"/>
    <ns0:mergeCell ref="C57:C58"/>
    <ns0:mergeCell ref="D71:D72"/>
    <ns0:mergeCell ref="F71:F72"/>
    <ns0:mergeCell ref="T13:T14"/>
    <ns0:mergeCell ref="C27:C28"/>
    <ns0:mergeCell ref="T7:T8"/>
    <ns0:mergeCell ref="P32:P33"/>
    <ns0:mergeCell ref="V7:V8"/>
    <ns0:mergeCell ref="Q11:Q12"/>
    <ns0:mergeCell ref="F37:F38"/>
    <ns0:mergeCell ref="N24:N25"/>
    <ns0:mergeCell ref="D73:D74"/>
    <ns0:mergeCell ref="P24:P25"/>
    <ns0:mergeCell ref="F73:F74"/>
    <ns0:mergeCell ref="B63:B64"/>
    <ns0:mergeCell ref="D63:D64"/>
    <ns0:mergeCell ref="E25:E26"/>
    <ns0:mergeCell ref="F57:F58"/>
    <ns0:mergeCell ref="C69:C70"/>
    <ns0:mergeCell ref="K9:K10"/>
    <ns0:mergeCell ref="W13:W14"/>
    <ns0:mergeCell ref="P26:P27"/>
    <ns0:mergeCell ref="O9:O10"/>
    <ns0:mergeCell ref="E21:E22"/>
    <ns0:mergeCell ref="D35:D36"/>
    <ns0:mergeCell ref="B25:B26"/>
    <ns0:mergeCell ref="F7:F8"/>
    <ns0:mergeCell ref="F63:F64"/>
    <ns0:mergeCell ref="B35:B36"/>
    <ns0:mergeCell ref="N26:N27"/>
    <ns0:mergeCell ref="B27:B28"/>
    <ns0:mergeCell ref="Q5:Q6"/>
    <ns0:mergeCell ref="D27:D28"/>
    <ns0:mergeCell ref="P9:P10"/>
    <ns0:mergeCell ref="E55:E56"/>
    <ns0:mergeCell ref="E13:E14"/>
    <ns0:mergeCell ref="B17:B18"/>
    <ns0:mergeCell ref="B11:B12"/>
    <ns0:mergeCell ref="D17:D18"/>
    <ns0:mergeCell ref="I7:I8"/>
    <ns0:mergeCell ref="D11:D12"/>
    <ns0:mergeCell ref="F5:F6"/>
    <ns0:mergeCell ref="O30:O31"/>
    <ns0:mergeCell ref="U7:U8"/>
    <ns0:mergeCell ref="P11:P12"/>
    <ns0:mergeCell ref="B67:B68"/>
    <ns0:mergeCell ref="N7:N16"/>
    <ns0:mergeCell ref="W7:W8"/>
    <ns0:mergeCell ref="T9:T10"/>
    <ns0:mergeCell ref="V9:V10"/>
    <ns0:mergeCell ref="O32:O33"/>
    <ns0:mergeCell ref="F35:F36"/>
    <ns0:mergeCell ref="C65:C66"/>
    <ns0:mergeCell ref="D75:D76"/>
    <ns0:mergeCell ref="F75:F76"/>
    <ns0:mergeCell ref="F33:F34"/>
    <ns0:mergeCell ref="B69:B70"/>
    <ns0:mergeCell ref="C31:C32"/>
    <ns0:mergeCell ref="E31:E32"/>
    <ns0:mergeCell ref="V11:V12"/>
    <ns0:mergeCell ref="O22:O23"/>
    <ns0:mergeCell ref="X5:X6"/>
    <ns0:mergeCell ref="B53:B54"/>
    <ns0:mergeCell ref="E27:E28"/>
    <ns0:mergeCell ref="D53:D54"/>
    <ns0:mergeCell ref="B51:F52"/>
    <ns0:mergeCell ref="D9:D10"/>
    <ns0:mergeCell ref="F9:F10"/>
    <ns0:mergeCell ref="P13:P14"/>
    <ns0:mergeCell ref="F61:F62"/>
    <ns0:mergeCell ref="C17:C18"/>
    <ns0:mergeCell ref="D25:D26"/>
    <ns0:mergeCell ref="D37:D38"/>
    <ns0:mergeCell ref="B55:B56"/>
    <ns0:mergeCell ref="N28:N29"/>
    <ns0:mergeCell ref="D55:D56"/>
    <ns0:mergeCell ref="F11:F12"/>
    <ns0:mergeCell ref="P15:P16"/>
    <ns0:mergeCell ref="E57:E58"/>
    <ns0:mergeCell ref="C19:C20"/>
    <ns0:mergeCell ref="B3:F4"/>
    <ns0:mergeCell ref="I9:I10"/>
    <ns0:mergeCell ref="N30:N31"/>
    <ns0:mergeCell ref="P30:P31"/>
    <ns0:mergeCell ref="U9:U10"/>
    <ns0:mergeCell ref="B7:B8"/>
    <ns0:mergeCell ref="D23:D24"/>
    <ns0:mergeCell ref="O34:O35"/>
    <ns0:mergeCell ref="L7:L8"/>
    <ns0:mergeCell ref="I11:I12"/>
    <ns0:mergeCell ref="K5:K6"/>
    <ns0:mergeCell ref="C5:C6"/>
    <ns0:mergeCell ref="B31:B32"/>
    <ns0:mergeCell ref="E67:E68"/>
    <ns0:mergeCell ref="E5:E6"/>
    <ns0:mergeCell ref="U11:U12"/>
    <ns0:mergeCell ref="B71:B72"/>
    <ns0:mergeCell ref="W5:W6"/>
    <ns0:mergeCell ref="D65:D66"/>
    <ns0:mergeCell ref="C73:C74"/>
    <ns0:mergeCell ref="F65:F66"/>
    <ns0:mergeCell ref="R7:R8"/>
    <ns0:mergeCell ref="E29:E30"/>
    <ns0:mergeCell ref="R34:R35"/>
    <ns0:mergeCell ref="O20:O21"/>
    <ns0:mergeCell ref="E69:E70"/>
    <ns0:mergeCell ref="Q20:Q21"/>
    <ns0:mergeCell ref="B73:B74"/>
    <ns0:mergeCell ref="C59:C60"/>
    <ns0:mergeCell ref="E59:E60"/>
    <ns0:mergeCell ref="F21:F22"/>
    <ns0:mergeCell ref="B57:B58"/>
    <ns0:mergeCell ref="K11:K12"/>
    <ns0:mergeCell ref="D57:D58"/>
    <ns0:mergeCell ref="Q22:Q23"/>
    <ns0:mergeCell ref="U13:U14"/>
    <ns0:mergeCell ref="F17:F18"/>
    <ns0:mergeCell ref="C21:C22"/>
    <ns0:mergeCell ref="E15:E16"/>
    <ns0:mergeCell ref="R20:R21"/>
    <ns0:mergeCell ref="F23:F24"/>
    <ns0:mergeCell ref="Q15:Q16"/>
    <ns0:mergeCell ref="R26:R27"/>
    <ns0:mergeCell ref="B9:B10"/>
    <ns0:mergeCell ref="C23:C24"/>
    <ns0:mergeCell ref="P28:P29"/>
    <ns0:mergeCell ref="R22:R23"/>
    <ns0:mergeCell ref="L9:L10"/>
    <ns0:mergeCell ref="Q30:Q31"/>
    <ns0:mergeCell ref="O11:O12"/>
    <ns0:mergeCell ref="C7:C8"/>
    <ns0:mergeCell ref="X9:X10"/>
    <ns0:mergeCell ref="B33:B34"/>
    <ns0:mergeCell ref="E7:E8"/>
    <ns0:mergeCell ref="O7:O8"/>
    <ns0:mergeCell ref="Q7:Q8"/>
    <ns0:mergeCell ref="L11:L12"/>
    <ns0:mergeCell ref="D29:D30"/>
    <ns0:mergeCell ref="F29:F30"/>
    <ns0:mergeCell ref="P5:P6"/>
    <ns0:mergeCell ref="R9:R10"/>
    <ns0:mergeCell ref="H5:H6"/>
    <ns0:mergeCell ref="R5:R6"/>
    <ns0:mergeCell ref="E71:E72"/>
    <ns0:mergeCell ref="J5:J6"/>
    <ns0:mergeCell ref="N18:R19"/>
    <ns0:mergeCell ref="B75:B76"/>
    <ns0:mergeCell ref="D31:D32"/>
    <ns0:mergeCell ref="Q32:Q33"/>
    <ns0:mergeCell ref="R11:R12"/>
    <ns0:mergeCell ref="P3:R4"/>
    <ns0:mergeCell ref="T5:T6"/>
    <ns0:mergeCell ref="V5:V6"/>
    <ns0:mergeCell ref="B21:B22"/>
    <ns0:mergeCell ref="Q24:Q25"/>
    <ns0:mergeCell ref="N3:O6"/>
    <ns0:mergeCell ref="F15:F16"/>
    <ns0:mergeCell ref="N32:N33"/>
    <ns0:mergeCell ref="J13:J14"/>
    <ns0:mergeCell ref="E17:E18"/>
    <ns0:mergeCell ref="L13:L14"/>
    <ns0:mergeCell ref="F25:F26"/>
    <ns0:mergeCell ref="V13:V14"/>
    <ns0:mergeCell ref="C33:C34"/>
    <ns0:mergeCell ref="X13:X14"/>
    <ns0:mergeCell ref="Q26:Q27"/>
    <ns0:mergeCell ref="O24:O25"/>
    <ns0:mergeCell ref="X7:X8"/>
    <ns0:mergeCell ref="E33:E34"/>
    <ns0:mergeCell ref="E19:E20"/>
    <ns0:mergeCell ref="R24:R25"/>
    <ns0:mergeCell ref="C35:C36"/>
    <ns0:mergeCell ref="C9:C10"/>
    <ns0:mergeCell ref="E35:E36"/>
    <ns0:mergeCell ref="E9:E10"/>
    <ns0:mergeCell ref="O26:O27"/>
    <ns0:mergeCell ref="H3:L4"/>
    <ns0:mergeCell ref="C75:C76"/>
    <ns0:mergeCell ref="Q9:Q10"/>
    <ns0:mergeCell ref="C25:C26"/>
    <ns0:mergeCell ref="T3:X4"/>
    <ns0:mergeCell ref="C55:C56"/>
    <ns0:mergeCell ref="H7:H8"/>
    <ns0:mergeCell ref="C11:C12"/>
    <ns0:mergeCell ref="J7:J8"/>
    <ns0:mergeCell ref="E11:E12"/>
    <ns0:mergeCell ref="B19:B20"/>
    <ns0:mergeCell ref="I5:I6"/>
    <ns0:mergeCell ref="C67:C68"/>
    <ns0:mergeCell ref="D33:D34"/>
    <ns0:mergeCell ref="F27:F28"/>
    <ns0:mergeCell ref="Q34:Q35"/>
    <ns0:mergeCell ref="U5:U6"/>
    <ns0:mergeCell ref="W9:W10"/>
    <ns0:mergeCell ref="C61:C62"/>
    <ns0:mergeCell ref="E61:E62"/>
    <ns0:mergeCell ref="B65:B66"/>
    <ns0:mergeCell ref="E75:E76"/>
    <ns0:mergeCell ref="I13:I14"/>
    <ns0:mergeCell ref="K13:K14"/>
    <ns0:mergeCell ref="N34:N35"/>
    <ns0:mergeCell ref="K7:K8"/>
    <ns0:mergeCell ref="B5:B6"/>
    <ns0:mergeCell ref="D67:D68"/>
    <ns0:mergeCell ref="D5:D6"/>
    <ns0:mergeCell ref="C13:C14"/>
    <ns0:mergeCell ref="C53:C54"/>
    <ns0:mergeCell ref="D19:D20"/>
    <ns0:mergeCell ref="F67:F68"/>
    <ns0:mergeCell ref="E53:E54"/>
    <ns0:mergeCell ref="F19:F20"/>
    <ns0:mergeCell ref="O13:O14"/>
    <ns0:mergeCell ref="Q13:Q14"/>
    <ns0:mergeCell ref="N20:N21"/>
    <ns0:mergeCell ref="C37:C38"/>
    <ns0:mergeCell ref="C15:C16"/>
    <ns0:mergeCell ref="P20:P21"/>
    <ns0:mergeCell ref="E37:E38"/>
    <ns0:mergeCell ref="O28:O29"/>
    <ns0:mergeCell ref="X11:X12"/>
    <ns0:mergeCell ref="D69:D70"/>
    <ns0:mergeCell ref="Q28:Q29"/>
    <ns0:mergeCell ref="F69:F70"/>
    <ns0:mergeCell ref="B59:B60"/>
    <ns0:mergeCell ref="O15:O16"/>
    <ns0:mergeCell ref="D59:D60"/>
  </ns0:mergeCells>
  <ns0:pageMargins left="0.75" right="0.75" top="1" bottom="1" header="0.5" footer="0.5"/>
</ns0:worksheet>
</file>

<file path=xl/worksheets/sheet13.xml><?xml version="1.0" encoding="utf-8"?>
<ns0:worksheet xmlns:ns0="http://schemas.openxmlformats.org/spreadsheetml/2006/main">
  <ns0:sheetPr>
    <ns0:outlinePr summaryBelow="1" summaryRight="1"/>
    <ns0:pageSetUpPr/>
  </ns0:sheetPr>
  <ns0:dimension ref="B3:K25"/>
  <ns0:sheetViews>
    <ns0:sheetView workbookViewId="0">
      <ns0:selection activeCell="A1" sqref="A1"/>
    </ns0:sheetView>
  </ns0:sheetViews>
  <ns0:sheetFormatPr baseColWidth="8" defaultRowHeight="15"/>
  <ns0:cols>
    <ns0:col width="28.57142857142857" customWidth="1" min="3" max="3"/>
    <ns0:col width="24" customWidth="1" min="4" max="4"/>
    <ns0:col width="14.28571428571429" customWidth="1" min="5" max="5"/>
    <ns0:col width="14.28571428571429" customWidth="1" min="6" max="6"/>
    <ns0:col width="14.28571428571429" customWidth="1" min="7" max="7"/>
    <ns0:col width="14.28571428571429" customWidth="1" min="8" max="8"/>
    <ns0:col width="13.14285714285714" customWidth="1" min="11" max="11"/>
  </ns0:cols>
  <ns0:sheetData>
    <ns0:row r="3">
      <ns0:c r="B3" s="82" t="inlineStr">
        <ns0:is>
          <ns0:t>Date</ns0:t>
        </ns0:is>
      </ns0:c>
      <ns0:c r="C3" s="82" t="inlineStr">
        <ns0:is>
          <ns0:t>Process</ns0:t>
        </ns0:is>
      </ns0:c>
      <ns0:c r="D3" s="284" t="inlineStr">
        <ns0:is>
          <ns0:t>Spec</ns0:t>
        </ns0:is>
      </ns0:c>
      <ns0:c r="E3" s="285" t="inlineStr">
        <ns0:is>
          <ns0:t xml:space="preserve">Day </ns0:t>
        </ns0:is>
      </ns0:c>
      <ns0:c r="F3" s="80" t="n"/>
      <ns0:c r="G3" s="286" t="inlineStr">
        <ns0:is>
          <ns0:t xml:space="preserve">Night </ns0:t>
        </ns0:is>
      </ns0:c>
      <ns0:c r="H3" s="287" t="n"/>
      <ns0:c r="I3" s="288" t="inlineStr">
        <ns0:is>
          <ns0:t>AVG
4A</ns0:t>
        </ns0:is>
      </ns0:c>
      <ns0:c r="J3" s="289" t="inlineStr">
        <ns0:is>
          <ns0:t>AVG
4B</ns0:t>
        </ns0:is>
      </ns0:c>
      <ns0:c r="K3" s="290" t="inlineStr">
        <ns0:is>
          <ns0:t>GAP
4A-4B</ns0:t>
        </ns0:is>
      </ns0:c>
    </ns0:row>
    <ns0:row r="4">
      <ns0:c r="B4" s="58" t="n"/>
      <ns0:c r="C4" s="58" t="n"/>
      <ns0:c r="D4" s="291" t="n"/>
      <ns0:c r="E4" s="19" t="n"/>
      <ns0:c r="F4" s="19" t="n"/>
      <ns0:c r="G4" s="292" t="n"/>
      <ns0:c r="H4" s="293" t="n"/>
      <ns0:c r="I4" s="11" t="n"/>
      <ns0:c r="J4" s="58" t="n"/>
      <ns0:c r="K4" s="58" t="n"/>
    </ns0:row>
    <ns0:row r="5" ht="35.25" customHeight="1">
      <ns0:c r="B5" s="48" t="n"/>
      <ns0:c r="C5" s="48" t="n"/>
      <ns0:c r="D5" s="294" t="n"/>
      <ns0:c r="E5" s="285" t="inlineStr">
        <ns0:is>
          <ns0:t>Line E2-4A</ns0:t>
        </ns0:is>
      </ns0:c>
      <ns0:c r="F5" s="23" t="n"/>
      <ns0:c r="G5" s="286" t="inlineStr">
        <ns0:is>
          <ns0:t>Line E2-4B</ns0:t>
        </ns0:is>
      </ns0:c>
      <ns0:c r="H5" s="159" t="n"/>
      <ns0:c r="I5" s="17" t="n"/>
      <ns0:c r="J5" s="48" t="n"/>
      <ns0:c r="K5" s="48" t="n"/>
    </ns0:row>
    <ns0:row r="6">
      <ns0:c r="B6" s="295" t="n">
        <ns0:v>45477</ns0:v>
      </ns0:c>
      <ns0:c r="C6" s="82" t="inlineStr">
        <ns0:is>
          <ns0:t>Coil + Sus</ns0:t>
        </ns0:is>
      </ns0:c>
      <ns0:c r="D6" s="284" t="inlineStr">
        <ns0:is>
          <ns0:t>0.05~0.15</ns0:t>
        </ns0:is>
      </ns0:c>
      <ns0:c r="E6" s="296" t="n">
        <ns0:v>0.1</ns0:v>
      </ns0:c>
      <ns0:c r="F6" s="297" t="n">
        <ns0:v>0.12</ns0:v>
      </ns0:c>
      <ns0:c r="G6" s="298" t="n">
        <ns0:v>0.1</ns0:v>
      </ns0:c>
      <ns0:c r="H6" s="299" t="n">
        <ns0:v>0.1</ns0:v>
      </ns0:c>
      <ns0:c r="I6" s="300" t="n">
        <ns0:v>0.11</ns0:v>
      </ns0:c>
      <ns0:c r="J6" s="301" t="n">
        <ns0:v>0.1</ns0:v>
      </ns0:c>
      <ns0:c r="K6" s="177" t="n">
        <ns0:v>0.009999999999999995</ns0:v>
      </ns0:c>
    </ns0:row>
    <ns0:row r="7">
      <ns0:c r="B7" s="58" t="n"/>
      <ns0:c r="C7" s="82" t="inlineStr">
        <ns0:is>
          <ns0:t>VP inside ( vòng Trong )</ns0:t>
        </ns0:is>
      </ns0:c>
      <ns0:c r="D7" s="284" t="inlineStr">
        <ns0:is>
          <ns0:t>2.6~2.8</ns0:t>
        </ns0:is>
      </ns0:c>
      <ns0:c r="E7" s="296" t="n">
        <ns0:v>2.68</ns0:v>
      </ns0:c>
      <ns0:c r="F7" s="297" t="n">
        <ns0:v>2.8</ns0:v>
      </ns0:c>
      <ns0:c r="G7" s="298" t="n">
        <ns0:v>2.6</ns0:v>
      </ns0:c>
      <ns0:c r="H7" s="299" t="n">
        <ns0:v>2.74</ns0:v>
      </ns0:c>
      <ns0:c r="I7" s="300" t="n">
        <ns0:v>2.74</ns0:v>
      </ns0:c>
      <ns0:c r="J7" s="301" t="n">
        <ns0:v>2.67</ns0:v>
      </ns0:c>
      <ns0:c r="K7" s="177" t="n">
        <ns0:v>0.07000000000000028</ns0:v>
      </ns0:c>
    </ns0:row>
    <ns0:row r="8">
      <ns0:c r="B8" s="58" t="n"/>
      <ns0:c r="C8" s="82" t="inlineStr">
        <ns0:is>
          <ns0:t>VP Out side</ns0:t>
        </ns0:is>
      </ns0:c>
      <ns0:c r="D8" s="284" t="inlineStr">
        <ns0:is>
          <ns0:t>4.9~5.1</ns0:t>
        </ns0:is>
      </ns0:c>
      <ns0:c r="E8" s="296" t="n">
        <ns0:v>5.06</ns0:v>
      </ns0:c>
      <ns0:c r="F8" s="297" t="n">
        <ns0:v>5</ns0:v>
      </ns0:c>
      <ns0:c r="G8" s="298" t="n">
        <ns0:v>4.98</ns0:v>
      </ns0:c>
      <ns0:c r="H8" s="299" t="n">
        <ns0:v>4.96</ns0:v>
      </ns0:c>
      <ns0:c r="I8" s="300" t="n">
        <ns0:v>5.029999999999999</ns0:v>
      </ns0:c>
      <ns0:c r="J8" s="301" t="n">
        <ns0:v>4.970000000000001</ns0:v>
      </ns0:c>
      <ns0:c r="K8" s="177" t="n">
        <ns0:v>0.05999999999999872</ns0:v>
      </ns0:c>
    </ns0:row>
    <ns0:row r="9" ht="17.25" customHeight="1">
      <ns0:c r="B9" s="201" t="n"/>
      <ns0:c r="C9" s="302" t="inlineStr">
        <ns0:is>
          <ns0:t>VP+CD</ns0:t>
        </ns0:is>
      </ns0:c>
      <ns0:c r="D9" s="303" t="inlineStr">
        <ns0:is>
          <ns0:t>3.4~3.6</ns0:t>
        </ns0:is>
      </ns0:c>
      <ns0:c r="E9" s="304" t="n">
        <ns0:v>3.44</ns0:v>
      </ns0:c>
      <ns0:c r="F9" s="305" t="n">
        <ns0:v>3.48</ns0:v>
      </ns0:c>
      <ns0:c r="G9" s="306" t="n">
        <ns0:v>3.44</ns0:v>
      </ns0:c>
      <ns0:c r="H9" s="307" t="n">
        <ns0:v>3.4</ns0:v>
      </ns0:c>
      <ns0:c r="I9" s="308" t="n">
        <ns0:v>3.46</ns0:v>
      </ns0:c>
      <ns0:c r="J9" s="309" t="n">
        <ns0:v>3.42</ns0:v>
      </ns0:c>
      <ns0:c r="K9" s="310" t="n">
        <ns0:v>0.04000000000000004</ns0:v>
      </ns0:c>
    </ns0:row>
    <ns0:row r="10" ht="17.25" customHeight="1">
      <ns0:c r="B10" s="311" t="n">
        <ns0:v>45478</ns0:v>
      </ns0:c>
      <ns0:c r="C10" s="216" t="inlineStr">
        <ns0:is>
          <ns0:t>Coil + Sus</ns0:t>
        </ns0:is>
      </ns0:c>
      <ns0:c r="D10" s="312" t="inlineStr">
        <ns0:is>
          <ns0:t>0.05~0.15</ns0:t>
        </ns0:is>
      </ns0:c>
      <ns0:c r="E10" s="313" t="n">
        <ns0:v>0.12</ns0:v>
      </ns0:c>
      <ns0:c r="F10" s="314" t="n">
        <ns0:v>0.16</ns0:v>
      </ns0:c>
      <ns0:c r="G10" s="315" t="n">
        <ns0:v>0.1</ns0:v>
      </ns0:c>
      <ns0:c r="H10" s="316" t="n">
        <ns0:v>0.08</ns0:v>
      </ns0:c>
      <ns0:c r="I10" s="317" t="n">
        <ns0:v>0.14</ns0:v>
      </ns0:c>
      <ns0:c r="J10" s="318" t="n">
        <ns0:v>0.09</ns0:v>
      </ns0:c>
      <ns0:c r="K10" s="319" t="n">
        <ns0:v>0.05000000000000002</ns0:v>
      </ns0:c>
    </ns0:row>
    <ns0:row r="11">
      <ns0:c r="B11" s="58" t="n"/>
      <ns0:c r="C11" s="82" t="inlineStr">
        <ns0:is>
          <ns0:t>VP inside ( vòng Trong )</ns0:t>
        </ns0:is>
      </ns0:c>
      <ns0:c r="D11" s="284" t="inlineStr">
        <ns0:is>
          <ns0:t>2.6~2.8</ns0:t>
        </ns0:is>
      </ns0:c>
      <ns0:c r="E11" s="296" t="n">
        <ns0:v>2.7</ns0:v>
      </ns0:c>
      <ns0:c r="F11" s="297" t="n">
        <ns0:v>2.7</ns0:v>
      </ns0:c>
      <ns0:c r="G11" s="298" t="n">
        <ns0:v>2.78</ns0:v>
      </ns0:c>
      <ns0:c r="H11" s="299" t="n">
        <ns0:v>2.78</ns0:v>
      </ns0:c>
      <ns0:c r="I11" s="300" t="n">
        <ns0:v>2.7</ns0:v>
      </ns0:c>
      <ns0:c r="J11" s="301" t="n">
        <ns0:v>2.78</ns0:v>
      </ns0:c>
      <ns0:c r="K11" s="177" t="n">
        <ns0:v>-0.07999999999999963</ns0:v>
      </ns0:c>
    </ns0:row>
    <ns0:row r="12">
      <ns0:c r="B12" s="58" t="n"/>
      <ns0:c r="C12" s="82" t="inlineStr">
        <ns0:is>
          <ns0:t>VP Out side</ns0:t>
        </ns0:is>
      </ns0:c>
      <ns0:c r="D12" s="284" t="inlineStr">
        <ns0:is>
          <ns0:t>4.9~5.1</ns0:t>
        </ns0:is>
      </ns0:c>
      <ns0:c r="E12" s="296" t="n">
        <ns0:v>5.06</ns0:v>
      </ns0:c>
      <ns0:c r="F12" s="297" t="n">
        <ns0:v>5</ns0:v>
      </ns0:c>
      <ns0:c r="G12" s="298" t="n">
        <ns0:v>4.9</ns0:v>
      </ns0:c>
      <ns0:c r="H12" s="299" t="n">
        <ns0:v>4.9</ns0:v>
      </ns0:c>
      <ns0:c r="I12" s="300" t="n">
        <ns0:v>5.029999999999999</ns0:v>
      </ns0:c>
      <ns0:c r="J12" s="301" t="n">
        <ns0:v>4.9</ns0:v>
      </ns0:c>
      <ns0:c r="K12" s="177" t="n">
        <ns0:v>0.129999999999999</ns0:v>
      </ns0:c>
    </ns0:row>
    <ns0:row r="13" ht="17.25" customHeight="1">
      <ns0:c r="B13" s="201" t="n"/>
      <ns0:c r="C13" s="302" t="inlineStr">
        <ns0:is>
          <ns0:t>VP+CD</ns0:t>
        </ns0:is>
      </ns0:c>
      <ns0:c r="D13" s="303" t="inlineStr">
        <ns0:is>
          <ns0:t>3.4~3.6</ns0:t>
        </ns0:is>
      </ns0:c>
      <ns0:c r="E13" s="304" t="n">
        <ns0:v>3.4</ns0:v>
      </ns0:c>
      <ns0:c r="F13" s="305" t="n">
        <ns0:v>3.5</ns0:v>
      </ns0:c>
      <ns0:c r="G13" s="306" t="n">
        <ns0:v>3.4</ns0:v>
      </ns0:c>
      <ns0:c r="H13" s="307" t="n">
        <ns0:v>3.46</ns0:v>
      </ns0:c>
      <ns0:c r="I13" s="308" t="n">
        <ns0:v>3.45</ns0:v>
      </ns0:c>
      <ns0:c r="J13" s="309" t="n">
        <ns0:v>3.43</ns0:v>
      </ns0:c>
      <ns0:c r="K13" s="310" t="n">
        <ns0:v>0.02000000000000046</ns0:v>
      </ns0:c>
    </ns0:row>
    <ns0:row r="14" ht="17.25" customHeight="1">
      <ns0:c r="B14" s="311" t="n">
        <ns0:v>45479</ns0:v>
      </ns0:c>
      <ns0:c r="C14" s="216" t="inlineStr">
        <ns0:is>
          <ns0:t>Coil + Sus</ns0:t>
        </ns0:is>
      </ns0:c>
      <ns0:c r="D14" s="312" t="inlineStr">
        <ns0:is>
          <ns0:t>0.05~0.15</ns0:t>
        </ns0:is>
      </ns0:c>
      <ns0:c r="E14" s="313" t="n">
        <ns0:v>0.12</ns0:v>
      </ns0:c>
      <ns0:c r="F14" s="314" t="n">
        <ns0:v>0.12</ns0:v>
      </ns0:c>
      <ns0:c r="G14" s="315" t="n">
        <ns0:v>0.12</ns0:v>
      </ns0:c>
      <ns0:c r="H14" s="316" t="n">
        <ns0:v>0.14</ns0:v>
      </ns0:c>
      <ns0:c r="I14" s="317" t="n">
        <ns0:v>0.12</ns0:v>
      </ns0:c>
      <ns0:c r="J14" s="318" t="n">
        <ns0:v>0.13</ns0:v>
      </ns0:c>
      <ns0:c r="K14" s="319" t="n">
        <ns0:v>-0.01000000000000001</ns0:v>
      </ns0:c>
    </ns0:row>
    <ns0:row r="15">
      <ns0:c r="B15" s="58" t="n"/>
      <ns0:c r="C15" s="82" t="inlineStr">
        <ns0:is>
          <ns0:t>VP inside ( vòng Trong )</ns0:t>
        </ns0:is>
      </ns0:c>
      <ns0:c r="D15" s="284" t="inlineStr">
        <ns0:is>
          <ns0:t>2.6~2.8</ns0:t>
        </ns0:is>
      </ns0:c>
      <ns0:c r="E15" s="296" t="n">
        <ns0:v>2.64</ns0:v>
      </ns0:c>
      <ns0:c r="F15" s="297" t="n">
        <ns0:v>2.7</ns0:v>
      </ns0:c>
      <ns0:c r="G15" s="298" t="n">
        <ns0:v>2.66</ns0:v>
      </ns0:c>
      <ns0:c r="H15" s="299" t="n">
        <ns0:v>2.76</ns0:v>
      </ns0:c>
      <ns0:c r="I15" s="300" t="n">
        <ns0:v>2.67</ns0:v>
      </ns0:c>
      <ns0:c r="J15" s="301" t="n">
        <ns0:v>2.71</ns0:v>
      </ns0:c>
      <ns0:c r="K15" s="177" t="n">
        <ns0:v>-0.04000000000000004</ns0:v>
      </ns0:c>
    </ns0:row>
    <ns0:row r="16">
      <ns0:c r="B16" s="58" t="n"/>
      <ns0:c r="C16" s="82" t="inlineStr">
        <ns0:is>
          <ns0:t>VP Out side</ns0:t>
        </ns0:is>
      </ns0:c>
      <ns0:c r="D16" s="284" t="inlineStr">
        <ns0:is>
          <ns0:t>4.9~5.1</ns0:t>
        </ns0:is>
      </ns0:c>
      <ns0:c r="E16" s="296" t="n">
        <ns0:v>5</ns0:v>
      </ns0:c>
      <ns0:c r="F16" s="297" t="n">
        <ns0:v>5.08</ns0:v>
      </ns0:c>
      <ns0:c r="G16" s="298" t="n">
        <ns0:v>5</ns0:v>
      </ns0:c>
      <ns0:c r="H16" s="299" t="n">
        <ns0:v>4.98</ns0:v>
      </ns0:c>
      <ns0:c r="I16" s="300" t="n">
        <ns0:v>5.04</ns0:v>
      </ns0:c>
      <ns0:c r="J16" s="301" t="n">
        <ns0:v>4.99</ns0:v>
      </ns0:c>
      <ns0:c r="K16" s="177" t="n">
        <ns0:v>0.04999999999999982</ns0:v>
      </ns0:c>
    </ns0:row>
    <ns0:row r="17" ht="17.25" customHeight="1">
      <ns0:c r="B17" s="201" t="n"/>
      <ns0:c r="C17" s="302" t="inlineStr">
        <ns0:is>
          <ns0:t>VP+CD</ns0:t>
        </ns0:is>
      </ns0:c>
      <ns0:c r="D17" s="303" t="inlineStr">
        <ns0:is>
          <ns0:t>3.4~3.6</ns0:t>
        </ns0:is>
      </ns0:c>
      <ns0:c r="E17" s="304" t="n">
        <ns0:v>3.42</ns0:v>
      </ns0:c>
      <ns0:c r="F17" s="305" t="n">
        <ns0:v>3.44</ns0:v>
      </ns0:c>
      <ns0:c r="G17" s="306" t="n">
        <ns0:v>3.46</ns0:v>
      </ns0:c>
      <ns0:c r="H17" s="307" t="n">
        <ns0:v>3.46</ns0:v>
      </ns0:c>
      <ns0:c r="I17" s="308" t="n">
        <ns0:v>3.43</ns0:v>
      </ns0:c>
      <ns0:c r="J17" s="309" t="n">
        <ns0:v>3.46</ns0:v>
      </ns0:c>
      <ns0:c r="K17" s="310" t="n">
        <ns0:v>-0.03000000000000025</ns0:v>
      </ns0:c>
    </ns0:row>
    <ns0:row r="18" ht="17.25" customHeight="1">
      <ns0:c r="B18" s="311" t="n">
        <ns0:v>45481</ns0:v>
      </ns0:c>
      <ns0:c r="C18" s="216" t="inlineStr">
        <ns0:is>
          <ns0:t>Coil + Sus</ns0:t>
        </ns0:is>
      </ns0:c>
      <ns0:c r="D18" s="312" t="inlineStr">
        <ns0:is>
          <ns0:t>0.05~0.15</ns0:t>
        </ns0:is>
      </ns0:c>
      <ns0:c r="E18" s="313" t="n">
        <ns0:v>0.1</ns0:v>
      </ns0:c>
      <ns0:c r="F18" s="314" t="n">
        <ns0:v>0.08</ns0:v>
      </ns0:c>
      <ns0:c r="G18" s="315" t="n">
        <ns0:v>0.12</ns0:v>
      </ns0:c>
      <ns0:c r="H18" s="316" t="n">
        <ns0:v>0.1</ns0:v>
      </ns0:c>
      <ns0:c r="I18" s="317" t="n">
        <ns0:v>0.09</ns0:v>
      </ns0:c>
      <ns0:c r="J18" s="318" t="n">
        <ns0:v>0.11</ns0:v>
      </ns0:c>
      <ns0:c r="K18" s="319" t="n">
        <ns0:v>-0.02</ns0:v>
      </ns0:c>
    </ns0:row>
    <ns0:row r="19">
      <ns0:c r="B19" s="58" t="n"/>
      <ns0:c r="C19" s="82" t="inlineStr">
        <ns0:is>
          <ns0:t>VP inside ( vòng Trong )</ns0:t>
        </ns0:is>
      </ns0:c>
      <ns0:c r="D19" s="284" t="inlineStr">
        <ns0:is>
          <ns0:t>2.6~2.8</ns0:t>
        </ns0:is>
      </ns0:c>
      <ns0:c r="E19" s="296" t="n">
        <ns0:v>2.6</ns0:v>
      </ns0:c>
      <ns0:c r="F19" s="297" t="n">
        <ns0:v>2.74</ns0:v>
      </ns0:c>
      <ns0:c r="G19" s="298" t="n">
        <ns0:v>2.74</ns0:v>
      </ns0:c>
      <ns0:c r="H19" s="299" t="n">
        <ns0:v>2.68</ns0:v>
      </ns0:c>
      <ns0:c r="I19" s="300" t="n">
        <ns0:v>2.67</ns0:v>
      </ns0:c>
      <ns0:c r="J19" s="301" t="n">
        <ns0:v>2.71</ns0:v>
      </ns0:c>
      <ns0:c r="K19" s="177" t="n">
        <ns0:v>-0.04000000000000004</ns0:v>
      </ns0:c>
    </ns0:row>
    <ns0:row r="20">
      <ns0:c r="B20" s="58" t="n"/>
      <ns0:c r="C20" s="82" t="inlineStr">
        <ns0:is>
          <ns0:t>VP Out side</ns0:t>
        </ns0:is>
      </ns0:c>
      <ns0:c r="D20" s="284" t="inlineStr">
        <ns0:is>
          <ns0:t>4.9~5.1</ns0:t>
        </ns0:is>
      </ns0:c>
      <ns0:c r="E20" s="296" t="n">
        <ns0:v>5</ns0:v>
      </ns0:c>
      <ns0:c r="F20" s="297" t="n">
        <ns0:v>5.06</ns0:v>
      </ns0:c>
      <ns0:c r="G20" s="298" t="n">
        <ns0:v>4.92</ns0:v>
      </ns0:c>
      <ns0:c r="H20" s="299" t="n">
        <ns0:v>4.92</ns0:v>
      </ns0:c>
      <ns0:c r="I20" s="300" t="n">
        <ns0:v>5.029999999999999</ns0:v>
      </ns0:c>
      <ns0:c r="J20" s="301" t="n">
        <ns0:v>4.92</ns0:v>
      </ns0:c>
      <ns0:c r="K20" s="177" t="n">
        <ns0:v>0.1099999999999994</ns0:v>
      </ns0:c>
    </ns0:row>
    <ns0:row r="21" ht="17.25" customHeight="1">
      <ns0:c r="B21" s="201" t="n"/>
      <ns0:c r="C21" s="302" t="inlineStr">
        <ns0:is>
          <ns0:t>VP+CD</ns0:t>
        </ns0:is>
      </ns0:c>
      <ns0:c r="D21" s="303" t="inlineStr">
        <ns0:is>
          <ns0:t>3.4~3.6</ns0:t>
        </ns0:is>
      </ns0:c>
      <ns0:c r="E21" s="304" t="n">
        <ns0:v>3.54</ns0:v>
      </ns0:c>
      <ns0:c r="F21" s="305" t="n">
        <ns0:v>3.42</ns0:v>
      </ns0:c>
      <ns0:c r="G21" s="306" t="n">
        <ns0:v>3.56</ns0:v>
      </ns0:c>
      <ns0:c r="H21" s="307" t="n">
        <ns0:v>3.52</ns0:v>
      </ns0:c>
      <ns0:c r="I21" s="308" t="n">
        <ns0:v>3.48</ns0:v>
      </ns0:c>
      <ns0:c r="J21" s="309" t="n">
        <ns0:v>3.54</ns0:v>
      </ns0:c>
      <ns0:c r="K21" s="310" t="n">
        <ns0:v>-0.06000000000000005</ns0:v>
      </ns0:c>
    </ns0:row>
    <ns0:row r="22" ht="17.25" customHeight="1">
      <ns0:c r="B22" s="320" t="n">
        <ns0:v>45482</ns0:v>
      </ns0:c>
      <ns0:c r="C22" s="216" t="inlineStr">
        <ns0:is>
          <ns0:t>Coil + Sus</ns0:t>
        </ns0:is>
      </ns0:c>
      <ns0:c r="D22" s="312" t="inlineStr">
        <ns0:is>
          <ns0:t>0.05~0.15</ns0:t>
        </ns0:is>
      </ns0:c>
      <ns0:c r="E22" s="313" t="n">
        <ns0:v>0.12</ns0:v>
      </ns0:c>
      <ns0:c r="F22" s="314" t="n">
        <ns0:v>0.1</ns0:v>
      </ns0:c>
      <ns0:c r="G22" s="315" t="n">
        <ns0:v>0.1</ns0:v>
      </ns0:c>
      <ns0:c r="H22" s="316" t="n">
        <ns0:v>0.1</ns0:v>
      </ns0:c>
      <ns0:c r="I22" s="317" t="n">
        <ns0:v>0.11</ns0:v>
      </ns0:c>
      <ns0:c r="J22" s="318" t="n">
        <ns0:v>0.1</ns0:v>
      </ns0:c>
      <ns0:c r="K22" s="319" t="n">
        <ns0:v>0.009999999999999995</ns0:v>
      </ns0:c>
    </ns0:row>
    <ns0:row r="23">
      <ns0:c r="B23" s="58" t="n"/>
      <ns0:c r="C23" s="82" t="inlineStr">
        <ns0:is>
          <ns0:t>VP inside ( vòng Trong )</ns0:t>
        </ns0:is>
      </ns0:c>
      <ns0:c r="D23" s="284" t="inlineStr">
        <ns0:is>
          <ns0:t>2.6~2.8</ns0:t>
        </ns0:is>
      </ns0:c>
      <ns0:c r="E23" s="296" t="n">
        <ns0:v>2.64</ns0:v>
      </ns0:c>
      <ns0:c r="F23" s="297" t="n">
        <ns0:v>2.76</ns0:v>
      </ns0:c>
      <ns0:c r="G23" s="298" t="n">
        <ns0:v>2.62</ns0:v>
      </ns0:c>
      <ns0:c r="H23" s="299" t="n">
        <ns0:v>2.64</ns0:v>
      </ns0:c>
      <ns0:c r="I23" s="300" t="n">
        <ns0:v>2.7</ns0:v>
      </ns0:c>
      <ns0:c r="J23" s="301" t="n">
        <ns0:v>2.63</ns0:v>
      </ns0:c>
      <ns0:c r="K23" s="177" t="n">
        <ns0:v>0.07000000000000028</ns0:v>
      </ns0:c>
    </ns0:row>
    <ns0:row r="24">
      <ns0:c r="B24" s="58" t="n"/>
      <ns0:c r="C24" s="82" t="inlineStr">
        <ns0:is>
          <ns0:t>VP Out side</ns0:t>
        </ns0:is>
      </ns0:c>
      <ns0:c r="D24" s="284" t="inlineStr">
        <ns0:is>
          <ns0:t>4.9~5.1</ns0:t>
        </ns0:is>
      </ns0:c>
      <ns0:c r="E24" s="296" t="n">
        <ns0:v>4.96</ns0:v>
      </ns0:c>
      <ns0:c r="F24" s="297" t="n">
        <ns0:v>5</ns0:v>
      </ns0:c>
      <ns0:c r="G24" s="298" t="n">
        <ns0:v>4.92</ns0:v>
      </ns0:c>
      <ns0:c r="H24" s="299" t="n">
        <ns0:v>5.06</ns0:v>
      </ns0:c>
      <ns0:c r="I24" s="300" t="n">
        <ns0:v>4.98</ns0:v>
      </ns0:c>
      <ns0:c r="J24" s="301" t="n">
        <ns0:v>4.99</ns0:v>
      </ns0:c>
      <ns0:c r="K24" s="177" t="n">
        <ns0:v>-0.009999999999999787</ns0:v>
      </ns0:c>
    </ns0:row>
    <ns0:row r="25">
      <ns0:c r="B25" s="48" t="n"/>
      <ns0:c r="C25" s="321" t="inlineStr">
        <ns0:is>
          <ns0:t>VP+CD</ns0:t>
        </ns0:is>
      </ns0:c>
      <ns0:c r="D25" s="322" t="inlineStr">
        <ns0:is>
          <ns0:t>3.4~3.6</ns0:t>
        </ns0:is>
      </ns0:c>
      <ns0:c r="E25" s="323" t="n">
        <ns0:v>3.58</ns0:v>
      </ns0:c>
      <ns0:c r="F25" s="324" t="n">
        <ns0:v>3.44</ns0:v>
      </ns0:c>
      <ns0:c r="G25" s="325" t="n"/>
      <ns0:c r="H25" s="326" t="n"/>
      <ns0:c r="I25" s="300" t="n">
        <ns0:v>3.51</ns0:v>
      </ns0:c>
      <ns0:c r="J25" s="301" t="e">
        <ns0:v>#DIV/0!</ns0:v>
      </ns0:c>
      <ns0:c r="K25" s="177" t="e">
        <ns0:v>#DIV/0!</ns0:v>
      </ns0:c>
    </ns0:row>
  </ns0:sheetData>
  <ns0:mergeCells count="15">
    <ns0:mergeCell ref="E3:F4"/>
    <ns0:mergeCell ref="B22:B25"/>
    <ns0:mergeCell ref="B14:B17"/>
    <ns0:mergeCell ref="C3:C5"/>
    <ns0:mergeCell ref="B18:B21"/>
    <ns0:mergeCell ref="G5:H5"/>
    <ns0:mergeCell ref="E5:F5"/>
    <ns0:mergeCell ref="B6:B9"/>
    <ns0:mergeCell ref="D3:D5"/>
    <ns0:mergeCell ref="B3:B5"/>
    <ns0:mergeCell ref="J3:J5"/>
    <ns0:mergeCell ref="K3:K5"/>
    <ns0:mergeCell ref="I3:I5"/>
    <ns0:mergeCell ref="B10:B13"/>
    <ns0:mergeCell ref="G3:H4"/>
  </ns0:mergeCells>
  <ns0:pageMargins left="0.75" right="0.75" top="1" bottom="1" header="0.5" footer="0.5"/>
</ns0:worksheet>
</file>

<file path=xl/worksheets/sheet14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2026-05-13T01:38:17Z</dcterms:created>
  <dcterms:modified xsi:type="dcterms:W3CDTF">2026-05-13T01:39:47Z</dcterms:modified>
</cp:coreProperties>
</file>