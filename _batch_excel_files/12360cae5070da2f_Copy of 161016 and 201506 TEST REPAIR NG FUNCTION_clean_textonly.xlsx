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UN" sheetId="1" state="visible" r:id="rId1"/>
    <sheet name="Sheet1" sheetId="2" state="visible" r:id="rId2"/>
    <sheet name="Repair SPK" sheetId="3" state="visible" r:id="rId3"/>
    <sheet name="TEST 921" sheetId="4" state="visible" r:id="rId4"/>
    <sheet name="161016 E2  (2)" sheetId="5" state="visible" r:id="rId5"/>
    <sheet name="161016 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/mmm"/>
    <numFmt numFmtId="165" formatCode="_(* #,##0_);_(* \(#,##0\);_(* &quot;-&quot;??_);_(@_)"/>
    <numFmt numFmtId="166" formatCode="[$-409]d&quot;-&quot;mmm;@"/>
    <numFmt numFmtId="167" formatCode="0.0%"/>
    <numFmt numFmtId="168" formatCode="m/d/yyyy"/>
    <numFmt numFmtId="169" formatCode="yyyy-mm-dd h:mm:ss"/>
    <numFmt numFmtId="170" formatCode="[$-409]d\-mmm;@"/>
    <numFmt numFmtId="171" formatCode="0.0"/>
  </numFmts>
  <fonts count="31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6"/>
    </font>
    <font>
      <name val="Times New Roman"/>
      <sz val="14"/>
    </font>
    <font>
      <name val="맑은 고딕"/>
      <b val="1"/>
      <color rgb="FF0000FF"/>
      <sz val="16"/>
    </font>
    <font>
      <name val="맑은 고딕"/>
      <b val="1"/>
      <sz val="11"/>
    </font>
    <font>
      <name val="맑은 고딕"/>
      <sz val="11"/>
    </font>
    <font>
      <name val="맑은 고딕"/>
      <color rgb="FFFF0000"/>
      <sz val="11"/>
    </font>
    <font>
      <name val="맑은 고딕"/>
      <b val="1"/>
    </font>
    <font>
      <name val="맑은 고딕"/>
    </font>
    <font>
      <name val="맑은 고딕"/>
      <color rgb="FFFF0000"/>
    </font>
    <font>
      <name val="맑은 고딕"/>
      <b val="1"/>
      <sz val="9"/>
    </font>
    <font>
      <name val="맑은 고딕"/>
      <sz val="9"/>
    </font>
    <font>
      <name val="맑은 고딕"/>
      <b val="1"/>
      <color rgb="FFFF0000"/>
      <sz val="9"/>
    </font>
    <font>
      <name val="맑은 고딕"/>
      <color rgb="FFFF0000"/>
      <sz val="9"/>
    </font>
    <font>
      <name val="맑은 고딕"/>
      <color rgb="FF0000FF"/>
      <sz val="16"/>
    </font>
    <font>
      <name val="Times New Roman"/>
      <sz val="12"/>
    </font>
    <font>
      <name val="맑은 고딕"/>
      <b val="1"/>
      <sz val="18"/>
    </font>
    <font>
      <name val="맑은 고딕"/>
      <color rgb="FFA6A6A6"/>
      <sz val="11"/>
    </font>
    <font>
      <name val="Times New Roman"/>
      <b val="1"/>
      <sz val="20"/>
    </font>
    <font>
      <name val="Times New Roman"/>
      <b val="1"/>
      <sz val="28"/>
    </font>
    <font>
      <name val="Times New Roman"/>
      <sz val="18"/>
    </font>
    <font>
      <name val="Times New Roman"/>
      <b val="1"/>
      <sz val="18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color rgb="FFFF0000"/>
      <sz val="11"/>
    </font>
    <font>
      <name val="Times New Roman"/>
      <color rgb="FF00B050"/>
      <sz val="16"/>
    </font>
    <font>
      <name val="Times New Roman"/>
      <b val="1"/>
      <color rgb="FF0000FF"/>
      <sz val="22"/>
    </font>
    <font>
      <name val="Times New Roman"/>
      <b val="1"/>
      <color rgb="FF0000FF"/>
      <sz val="20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808080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DBDBDB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5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medium">
        <color rgb="FF000000"/>
      </right>
      <top style="dotted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2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4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22" applyAlignment="1" pivotButton="0" quotePrefix="0" xfId="0">
      <alignment vertical="center" wrapText="1"/>
    </xf>
    <xf numFmtId="0" fontId="2" fillId="0" borderId="23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25" applyAlignment="1" pivotButton="0" quotePrefix="0" xfId="0">
      <alignment vertical="center"/>
    </xf>
    <xf numFmtId="0" fontId="2" fillId="0" borderId="25" applyAlignment="1" pivotButton="0" quotePrefix="0" xfId="0">
      <alignment vertical="center" wrapText="1"/>
    </xf>
    <xf numFmtId="0" fontId="2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1" fillId="0" borderId="27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2" fillId="0" borderId="2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27" applyAlignment="1" pivotButton="0" quotePrefix="0" xfId="0">
      <alignment vertical="center"/>
    </xf>
    <xf numFmtId="0" fontId="2" fillId="0" borderId="27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" fillId="0" borderId="28" pivotButton="0" quotePrefix="0" xfId="0"/>
    <xf numFmtId="0" fontId="4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0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0" fillId="0" borderId="32" pivotButton="0" quotePrefix="0" xfId="0"/>
    <xf numFmtId="0" fontId="5" fillId="0" borderId="29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30" pivotButton="0" quotePrefix="0" xfId="0"/>
    <xf numFmtId="0" fontId="0" fillId="0" borderId="31" pivotButton="0" quotePrefix="0" xfId="0"/>
    <xf numFmtId="166" fontId="5" fillId="3" borderId="29" applyAlignment="1" pivotButton="0" quotePrefix="0" xfId="0">
      <alignment horizontal="center" vertical="center" wrapText="1"/>
    </xf>
    <xf numFmtId="0" fontId="0" fillId="4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/>
    </xf>
    <xf numFmtId="0" fontId="6" fillId="0" borderId="34" applyAlignment="1" pivotButton="0" quotePrefix="0" xfId="0">
      <alignment horizontal="center"/>
    </xf>
    <xf numFmtId="0" fontId="7" fillId="3" borderId="29" applyAlignment="1" pivotButton="0" quotePrefix="0" xfId="0">
      <alignment horizontal="center" vertical="center"/>
    </xf>
    <xf numFmtId="0" fontId="0" fillId="4" borderId="29" applyAlignment="1" pivotButton="0" quotePrefix="0" xfId="0">
      <alignment horizontal="center" vertical="center"/>
    </xf>
    <xf numFmtId="0" fontId="0" fillId="4" borderId="3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6" fillId="0" borderId="29" applyAlignment="1" pivotButton="0" quotePrefix="0" xfId="0">
      <alignment horizontal="center"/>
    </xf>
    <xf numFmtId="0" fontId="0" fillId="4" borderId="25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4" applyAlignment="1" pivotButton="0" quotePrefix="0" xfId="0">
      <alignment horizontal="center" vertical="center"/>
    </xf>
    <xf numFmtId="0" fontId="0" fillId="4" borderId="25" applyAlignment="1" pivotButton="0" quotePrefix="0" xfId="0">
      <alignment vertical="center"/>
    </xf>
    <xf numFmtId="0" fontId="0" fillId="4" borderId="37" applyAlignment="1" pivotButton="0" quotePrefix="0" xfId="0">
      <alignment horizontal="center" vertical="center"/>
    </xf>
    <xf numFmtId="0" fontId="0" fillId="4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left" vertical="center"/>
    </xf>
    <xf numFmtId="164" fontId="2" fillId="0" borderId="40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center" vertical="center"/>
    </xf>
    <xf numFmtId="165" fontId="2" fillId="0" borderId="40" applyAlignment="1" pivotButton="0" quotePrefix="0" xfId="0">
      <alignment horizontal="center" vertical="center"/>
    </xf>
    <xf numFmtId="0" fontId="2" fillId="0" borderId="41" pivotButton="0" quotePrefix="0" xfId="0"/>
    <xf numFmtId="0" fontId="2" fillId="0" borderId="27" applyAlignment="1" pivotButton="0" quotePrefix="0" xfId="0">
      <alignment horizontal="left" vertical="center"/>
    </xf>
    <xf numFmtId="0" fontId="5" fillId="0" borderId="0" pivotButton="0" quotePrefix="0" xfId="0"/>
    <xf numFmtId="0" fontId="8" fillId="0" borderId="2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3" borderId="29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 wrapText="1"/>
    </xf>
    <xf numFmtId="167" fontId="9" fillId="3" borderId="29" applyAlignment="1" pivotButton="0" quotePrefix="0" xfId="0">
      <alignment horizontal="center" vertical="center"/>
    </xf>
    <xf numFmtId="0" fontId="9" fillId="3" borderId="29" applyAlignment="1" pivotButton="0" quotePrefix="0" xfId="0">
      <alignment horizontal="center" vertical="center"/>
    </xf>
    <xf numFmtId="168" fontId="9" fillId="5" borderId="29" applyAlignment="1" pivotButton="0" quotePrefix="0" xfId="0">
      <alignment horizontal="center" vertical="center"/>
    </xf>
    <xf numFmtId="0" fontId="9" fillId="5" borderId="29" applyAlignment="1" pivotButton="0" quotePrefix="0" xfId="0">
      <alignment horizontal="center" vertical="center" wrapText="1"/>
    </xf>
    <xf numFmtId="0" fontId="9" fillId="5" borderId="29" applyAlignment="1" pivotButton="0" quotePrefix="0" xfId="0">
      <alignment horizontal="center" vertical="center"/>
    </xf>
    <xf numFmtId="168" fontId="9" fillId="0" borderId="29" applyAlignment="1" pivotButton="0" quotePrefix="0" xfId="0">
      <alignment horizontal="center" vertical="center"/>
    </xf>
    <xf numFmtId="167" fontId="10" fillId="3" borderId="29" applyAlignment="1" pivotButton="0" quotePrefix="0" xfId="0">
      <alignment horizontal="center" vertical="center"/>
    </xf>
    <xf numFmtId="167" fontId="10" fillId="0" borderId="29" applyAlignment="1" pivotButton="0" quotePrefix="0" xfId="0">
      <alignment horizontal="center" vertical="center"/>
    </xf>
    <xf numFmtId="0" fontId="11" fillId="5" borderId="29" applyAlignment="1" pivotButton="0" quotePrefix="0" xfId="0">
      <alignment horizontal="center" vertical="center"/>
    </xf>
    <xf numFmtId="0" fontId="11" fillId="5" borderId="42" applyAlignment="1" pivotButton="0" quotePrefix="0" xfId="0">
      <alignment horizontal="center" vertical="center"/>
    </xf>
    <xf numFmtId="170" fontId="12" fillId="0" borderId="34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12" fillId="6" borderId="37" applyAlignment="1" pivotButton="0" quotePrefix="0" xfId="0">
      <alignment horizontal="center" vertical="center" wrapText="1"/>
    </xf>
    <xf numFmtId="0" fontId="12" fillId="6" borderId="29" applyAlignment="1" pivotButton="0" quotePrefix="0" xfId="0">
      <alignment horizontal="center" vertical="center"/>
    </xf>
    <xf numFmtId="10" fontId="13" fillId="6" borderId="29" applyAlignment="1" pivotButton="0" quotePrefix="0" xfId="0">
      <alignment horizontal="center" vertical="center"/>
    </xf>
    <xf numFmtId="10" fontId="14" fillId="6" borderId="29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 wrapText="1"/>
    </xf>
    <xf numFmtId="10" fontId="13" fillId="0" borderId="29" applyAlignment="1" pivotButton="0" quotePrefix="0" xfId="0">
      <alignment horizontal="center" vertical="center"/>
    </xf>
    <xf numFmtId="10" fontId="14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 wrapText="1"/>
    </xf>
    <xf numFmtId="17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10" fontId="14" fillId="0" borderId="0" applyAlignment="1" pivotButton="0" quotePrefix="0" xfId="0">
      <alignment horizontal="center" vertical="center"/>
    </xf>
    <xf numFmtId="10" fontId="13" fillId="0" borderId="0" applyAlignment="1" pivotButton="0" quotePrefix="0" xfId="0">
      <alignment horizontal="center" vertical="center"/>
    </xf>
    <xf numFmtId="0" fontId="15" fillId="0" borderId="27" applyAlignment="1" pivotButton="0" quotePrefix="0" xfId="0">
      <alignment horizontal="left" vertical="center"/>
    </xf>
    <xf numFmtId="0" fontId="1" fillId="2" borderId="43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1" fillId="2" borderId="45" applyAlignment="1" pivotButton="0" quotePrefix="0" xfId="0">
      <alignment vertical="center"/>
    </xf>
    <xf numFmtId="0" fontId="1" fillId="0" borderId="46" applyAlignment="1" pivotButton="0" quotePrefix="0" xfId="0">
      <alignment horizontal="left" vertical="center"/>
    </xf>
    <xf numFmtId="0" fontId="1" fillId="0" borderId="47" applyAlignment="1" pivotButton="0" quotePrefix="0" xfId="0">
      <alignment vertical="center"/>
    </xf>
    <xf numFmtId="0" fontId="2" fillId="0" borderId="48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0" fontId="0" fillId="0" borderId="29" applyAlignment="1" pivotButton="0" quotePrefix="0" xfId="0">
      <alignment horizontal="left" vertical="center" wrapText="1"/>
    </xf>
    <xf numFmtId="164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left" vertical="center"/>
    </xf>
    <xf numFmtId="0" fontId="18" fillId="0" borderId="29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18" fillId="0" borderId="49" applyAlignment="1" pivotButton="0" quotePrefix="0" xfId="0">
      <alignment horizontal="center" vertical="center"/>
    </xf>
    <xf numFmtId="0" fontId="0" fillId="0" borderId="49" applyAlignment="1" pivotButton="0" quotePrefix="0" xfId="0">
      <alignment horizontal="left" vertical="center" wrapText="1"/>
    </xf>
    <xf numFmtId="164" fontId="0" fillId="0" borderId="49" applyAlignment="1" pivotButton="0" quotePrefix="0" xfId="0">
      <alignment horizontal="center" vertical="center"/>
    </xf>
    <xf numFmtId="0" fontId="0" fillId="0" borderId="49" applyAlignment="1" pivotButton="0" quotePrefix="0" xfId="0">
      <alignment horizontal="left" vertical="center"/>
    </xf>
    <xf numFmtId="0" fontId="0" fillId="0" borderId="34" applyAlignment="1" pivotButton="0" quotePrefix="0" xfId="0">
      <alignment horizontal="left" vertical="center" wrapText="1"/>
    </xf>
    <xf numFmtId="0" fontId="0" fillId="0" borderId="50" applyAlignment="1" pivotButton="0" quotePrefix="0" xfId="0">
      <alignment horizontal="center" vertical="center"/>
    </xf>
    <xf numFmtId="0" fontId="0" fillId="0" borderId="50" applyAlignment="1" pivotButton="0" quotePrefix="0" xfId="0">
      <alignment horizontal="left" vertical="center"/>
    </xf>
    <xf numFmtId="164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1" applyAlignment="1" pivotButton="0" quotePrefix="0" xfId="0">
      <alignment horizontal="left" vertical="center"/>
    </xf>
    <xf numFmtId="164" fontId="0" fillId="0" borderId="51" applyAlignment="1" pivotButton="0" quotePrefix="0" xfId="0">
      <alignment horizontal="center" vertical="center"/>
    </xf>
    <xf numFmtId="0" fontId="6" fillId="0" borderId="0" pivotButton="0" quotePrefix="0" xfId="0"/>
    <xf numFmtId="169" fontId="6" fillId="0" borderId="0" pivotButton="0" quotePrefix="0" xfId="0"/>
    <xf numFmtId="0" fontId="19" fillId="2" borderId="1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164" fontId="19" fillId="0" borderId="15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19" fillId="2" borderId="16" applyAlignment="1" pivotButton="0" quotePrefix="0" xfId="0">
      <alignment horizontal="left" vertical="center"/>
    </xf>
    <xf numFmtId="0" fontId="21" fillId="0" borderId="21" applyAlignment="1" pivotButton="0" quotePrefix="0" xfId="0">
      <alignment vertical="center" wrapText="1"/>
    </xf>
    <xf numFmtId="0" fontId="21" fillId="0" borderId="22" applyAlignment="1" pivotButton="0" quotePrefix="0" xfId="0">
      <alignment vertical="center"/>
    </xf>
    <xf numFmtId="0" fontId="21" fillId="0" borderId="22" applyAlignment="1" pivotButton="0" quotePrefix="0" xfId="0">
      <alignment vertical="center" wrapText="1"/>
    </xf>
    <xf numFmtId="0" fontId="21" fillId="0" borderId="23" applyAlignment="1" pivotButton="0" quotePrefix="0" xfId="0">
      <alignment vertical="center" wrapText="1"/>
    </xf>
    <xf numFmtId="0" fontId="21" fillId="0" borderId="2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 wrapText="1"/>
    </xf>
    <xf numFmtId="0" fontId="21" fillId="0" borderId="28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164" fontId="21" fillId="0" borderId="27" applyAlignment="1" pivotButton="0" quotePrefix="0" xfId="0">
      <alignment vertical="center"/>
    </xf>
    <xf numFmtId="164" fontId="22" fillId="0" borderId="25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64" fontId="21" fillId="0" borderId="0" applyAlignment="1" pivotButton="0" quotePrefix="0" xfId="0">
      <alignment vertical="center"/>
    </xf>
    <xf numFmtId="165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8" pivotButton="0" quotePrefix="0" xfId="0"/>
    <xf numFmtId="0" fontId="23" fillId="5" borderId="29" applyAlignment="1" pivotButton="0" quotePrefix="0" xfId="0">
      <alignment horizontal="center" vertical="center"/>
    </xf>
    <xf numFmtId="0" fontId="23" fillId="5" borderId="42" applyAlignment="1" pivotButton="0" quotePrefix="0" xfId="0">
      <alignment horizontal="center" vertical="center"/>
    </xf>
    <xf numFmtId="170" fontId="24" fillId="0" borderId="34" applyAlignment="1" pivotButton="0" quotePrefix="0" xfId="0">
      <alignment horizontal="center" vertical="center"/>
    </xf>
    <xf numFmtId="0" fontId="24" fillId="0" borderId="29" applyAlignment="1" pivotButton="0" quotePrefix="0" xfId="0">
      <alignment horizontal="center" vertical="center"/>
    </xf>
    <xf numFmtId="0" fontId="24" fillId="6" borderId="34" applyAlignment="1" pivotButton="0" quotePrefix="0" xfId="0">
      <alignment horizontal="center" vertical="center" wrapText="1"/>
    </xf>
    <xf numFmtId="0" fontId="24" fillId="6" borderId="29" applyAlignment="1" pivotButton="0" quotePrefix="0" xfId="0">
      <alignment horizontal="center" vertical="center"/>
    </xf>
    <xf numFmtId="10" fontId="25" fillId="6" borderId="29" applyAlignment="1" pivotButton="0" quotePrefix="0" xfId="0">
      <alignment horizontal="center" vertical="center"/>
    </xf>
    <xf numFmtId="10" fontId="26" fillId="6" borderId="29" applyAlignment="1" pivotButton="0" quotePrefix="0" xfId="0">
      <alignment horizontal="center" vertical="center"/>
    </xf>
    <xf numFmtId="0" fontId="24" fillId="0" borderId="34" applyAlignment="1" pivotButton="0" quotePrefix="0" xfId="0">
      <alignment horizontal="center" vertical="center" wrapText="1"/>
    </xf>
    <xf numFmtId="10" fontId="25" fillId="0" borderId="29" applyAlignment="1" pivotButton="0" quotePrefix="0" xfId="0">
      <alignment horizontal="center" vertical="center"/>
    </xf>
    <xf numFmtId="10" fontId="26" fillId="0" borderId="29" applyAlignment="1" pivotButton="0" quotePrefix="0" xfId="0">
      <alignment horizontal="center" vertical="center"/>
    </xf>
    <xf numFmtId="0" fontId="24" fillId="6" borderId="37" applyAlignment="1" pivotButton="0" quotePrefix="0" xfId="0">
      <alignment horizontal="center" vertical="center" wrapText="1"/>
    </xf>
    <xf numFmtId="0" fontId="24" fillId="7" borderId="37" applyAlignment="1" pivotButton="0" quotePrefix="0" xfId="0">
      <alignment horizontal="center" vertical="center" wrapText="1"/>
    </xf>
    <xf numFmtId="0" fontId="24" fillId="7" borderId="29" applyAlignment="1" pivotButton="0" quotePrefix="0" xfId="0">
      <alignment horizontal="center" vertical="center"/>
    </xf>
    <xf numFmtId="10" fontId="25" fillId="7" borderId="29" applyAlignment="1" pivotButton="0" quotePrefix="0" xfId="0">
      <alignment horizontal="center" vertical="center"/>
    </xf>
    <xf numFmtId="10" fontId="26" fillId="7" borderId="29" applyAlignment="1" pivotButton="0" quotePrefix="0" xfId="0">
      <alignment horizontal="center" vertical="center"/>
    </xf>
    <xf numFmtId="0" fontId="24" fillId="0" borderId="29" applyAlignment="1" pivotButton="0" quotePrefix="0" xfId="0">
      <alignment horizontal="center" vertical="center" wrapText="1"/>
    </xf>
    <xf numFmtId="0" fontId="24" fillId="8" borderId="37" applyAlignment="1" pivotButton="0" quotePrefix="0" xfId="0">
      <alignment horizontal="center" vertical="center" wrapText="1"/>
    </xf>
    <xf numFmtId="0" fontId="24" fillId="8" borderId="29" applyAlignment="1" pivotButton="0" quotePrefix="0" xfId="0">
      <alignment horizontal="center" vertical="center"/>
    </xf>
    <xf numFmtId="10" fontId="25" fillId="8" borderId="29" applyAlignment="1" pivotButton="0" quotePrefix="0" xfId="0">
      <alignment horizontal="center" vertical="center"/>
    </xf>
    <xf numFmtId="10" fontId="26" fillId="8" borderId="29" applyAlignment="1" pivotButton="0" quotePrefix="0" xfId="0">
      <alignment horizontal="center" vertical="center"/>
    </xf>
    <xf numFmtId="0" fontId="24" fillId="9" borderId="29" applyAlignment="1" pivotButton="0" quotePrefix="0" xfId="0">
      <alignment horizontal="center" vertical="center"/>
    </xf>
    <xf numFmtId="10" fontId="25" fillId="9" borderId="29" applyAlignment="1" pivotButton="0" quotePrefix="0" xfId="0">
      <alignment horizontal="center" vertical="center"/>
    </xf>
    <xf numFmtId="10" fontId="26" fillId="9" borderId="29" applyAlignment="1" pivotButton="0" quotePrefix="0" xfId="0">
      <alignment horizontal="center" vertical="center"/>
    </xf>
    <xf numFmtId="0" fontId="24" fillId="10" borderId="37" applyAlignment="1" pivotButton="0" quotePrefix="0" xfId="0">
      <alignment horizontal="center" vertical="center" wrapText="1"/>
    </xf>
    <xf numFmtId="0" fontId="24" fillId="10" borderId="29" applyAlignment="1" pivotButton="0" quotePrefix="0" xfId="0">
      <alignment horizontal="center" vertical="center"/>
    </xf>
    <xf numFmtId="10" fontId="25" fillId="10" borderId="29" applyAlignment="1" pivotButton="0" quotePrefix="0" xfId="0">
      <alignment horizontal="center" vertical="center"/>
    </xf>
    <xf numFmtId="10" fontId="26" fillId="10" borderId="29" applyAlignment="1" pivotButton="0" quotePrefix="0" xfId="0">
      <alignment horizontal="center" vertical="center"/>
    </xf>
    <xf numFmtId="170" fontId="24" fillId="0" borderId="29" applyAlignment="1" pivotButton="0" quotePrefix="0" xfId="0">
      <alignment horizontal="center" vertical="center"/>
    </xf>
    <xf numFmtId="17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10" fontId="26" fillId="0" borderId="0" applyAlignment="1" pivotButton="0" quotePrefix="0" xfId="0">
      <alignment horizontal="center" vertical="center"/>
    </xf>
    <xf numFmtId="10" fontId="25" fillId="0" borderId="0" applyAlignment="1" pivotButton="0" quotePrefix="0" xfId="0">
      <alignment horizontal="center" vertical="center"/>
    </xf>
    <xf numFmtId="0" fontId="19" fillId="2" borderId="43" applyAlignment="1" pivotButton="0" quotePrefix="0" xfId="0">
      <alignment vertical="center"/>
    </xf>
    <xf numFmtId="0" fontId="22" fillId="2" borderId="44" applyAlignment="1" pivotButton="0" quotePrefix="0" xfId="0">
      <alignment vertical="center"/>
    </xf>
    <xf numFmtId="0" fontId="22" fillId="2" borderId="45" applyAlignment="1" pivotButton="0" quotePrefix="0" xfId="0">
      <alignment vertical="center"/>
    </xf>
    <xf numFmtId="0" fontId="22" fillId="0" borderId="46" applyAlignment="1" pivotButton="0" quotePrefix="0" xfId="0">
      <alignment horizontal="left" vertical="center"/>
    </xf>
    <xf numFmtId="0" fontId="22" fillId="0" borderId="47" applyAlignment="1" pivotButton="0" quotePrefix="0" xfId="0">
      <alignment vertical="center"/>
    </xf>
    <xf numFmtId="0" fontId="21" fillId="0" borderId="48" pivotButton="0" quotePrefix="0" xfId="0"/>
    <xf numFmtId="0" fontId="1" fillId="0" borderId="0" pivotButton="0" quotePrefix="0" xfId="0"/>
    <xf numFmtId="0" fontId="5" fillId="10" borderId="29" applyAlignment="1" pivotButton="0" quotePrefix="0" xfId="0">
      <alignment horizontal="center" vertical="center"/>
    </xf>
    <xf numFmtId="0" fontId="27" fillId="10" borderId="29" applyAlignment="1" pivotButton="0" quotePrefix="0" xfId="0">
      <alignment horizontal="center" vertical="center"/>
    </xf>
    <xf numFmtId="168" fontId="0" fillId="0" borderId="29" applyAlignment="1" pivotButton="0" quotePrefix="0" xfId="0">
      <alignment horizontal="center" vertical="center"/>
    </xf>
    <xf numFmtId="167" fontId="7" fillId="0" borderId="29" applyAlignment="1" pivotButton="0" quotePrefix="0" xfId="0">
      <alignment horizontal="center" vertical="center"/>
    </xf>
    <xf numFmtId="0" fontId="0" fillId="10" borderId="29" applyAlignment="1" pivotButton="0" quotePrefix="0" xfId="0">
      <alignment horizontal="center" vertical="center"/>
    </xf>
    <xf numFmtId="0" fontId="7" fillId="10" borderId="29" applyAlignment="1" pivotButton="0" quotePrefix="0" xfId="0">
      <alignment horizontal="center" vertical="center" wrapText="1"/>
    </xf>
    <xf numFmtId="0" fontId="7" fillId="10" borderId="29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3" borderId="29" applyAlignment="1" pivotButton="0" quotePrefix="0" xfId="0">
      <alignment horizontal="center" vertical="center"/>
    </xf>
    <xf numFmtId="167" fontId="7" fillId="3" borderId="29" applyAlignment="1" pivotButton="0" quotePrefix="0" xfId="0">
      <alignment horizontal="center" vertical="center"/>
    </xf>
    <xf numFmtId="167" fontId="7" fillId="3" borderId="34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1" fontId="0" fillId="0" borderId="29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0" fontId="23" fillId="2" borderId="52" applyAlignment="1" pivotButton="0" quotePrefix="0" xfId="0">
      <alignment horizontal="center" vertical="center" wrapText="1"/>
    </xf>
    <xf numFmtId="0" fontId="23" fillId="2" borderId="12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3" fillId="2" borderId="14" applyAlignment="1" pivotButton="0" quotePrefix="0" xfId="0">
      <alignment horizontal="center" vertical="center" wrapText="1"/>
    </xf>
    <xf numFmtId="164" fontId="23" fillId="0" borderId="15" applyAlignment="1" pivotButton="0" quotePrefix="0" xfId="0">
      <alignment horizontal="center" vertical="center" wrapText="1"/>
    </xf>
    <xf numFmtId="0" fontId="23" fillId="0" borderId="15" applyAlignment="1" pivotButton="0" quotePrefix="0" xfId="0">
      <alignment horizontal="center" vertical="center" wrapText="1"/>
    </xf>
    <xf numFmtId="0" fontId="23" fillId="2" borderId="16" applyAlignment="1" pivotButton="0" quotePrefix="0" xfId="0">
      <alignment horizontal="left" vertical="center"/>
    </xf>
    <xf numFmtId="0" fontId="24" fillId="0" borderId="21" applyAlignment="1" pivotButton="0" quotePrefix="0" xfId="0">
      <alignment vertical="center"/>
    </xf>
    <xf numFmtId="0" fontId="24" fillId="0" borderId="22" applyAlignment="1" pivotButton="0" quotePrefix="0" xfId="0">
      <alignment vertical="center"/>
    </xf>
    <xf numFmtId="0" fontId="24" fillId="0" borderId="23" applyAlignment="1" pivotButton="0" quotePrefix="0" xfId="0">
      <alignment vertical="center"/>
    </xf>
    <xf numFmtId="0" fontId="24" fillId="0" borderId="2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4" fillId="0" borderId="28" applyAlignment="1" pivotButton="0" quotePrefix="0" xfId="0">
      <alignment vertical="center"/>
    </xf>
    <xf numFmtId="0" fontId="24" fillId="5" borderId="29" applyAlignment="1" pivotButton="0" quotePrefix="0" xfId="0">
      <alignment horizontal="center" vertical="center"/>
    </xf>
    <xf numFmtId="171" fontId="24" fillId="0" borderId="29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 wrapText="1"/>
    </xf>
    <xf numFmtId="0" fontId="24" fillId="0" borderId="28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23" fillId="0" borderId="27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67" fontId="26" fillId="0" borderId="0" applyAlignment="1" pivotButton="0" quotePrefix="0" xfId="0">
      <alignment horizontal="center" vertical="center"/>
    </xf>
    <xf numFmtId="165" fontId="24" fillId="0" borderId="28" applyAlignment="1" pivotButton="0" quotePrefix="0" xfId="0">
      <alignment horizontal="center" vertical="center"/>
    </xf>
    <xf numFmtId="168" fontId="23" fillId="5" borderId="29" applyAlignment="1" pivotButton="0" quotePrefix="0" xfId="0">
      <alignment horizontal="center" vertical="center"/>
    </xf>
    <xf numFmtId="0" fontId="23" fillId="5" borderId="29" applyAlignment="1" pivotButton="0" quotePrefix="0" xfId="0">
      <alignment horizontal="center" vertical="center" wrapText="1"/>
    </xf>
    <xf numFmtId="168" fontId="24" fillId="0" borderId="29" applyAlignment="1" pivotButton="0" quotePrefix="0" xfId="0">
      <alignment horizontal="center" vertical="center"/>
    </xf>
    <xf numFmtId="167" fontId="26" fillId="0" borderId="29" applyAlignment="1" pivotButton="0" quotePrefix="0" xfId="0">
      <alignment horizontal="center" vertical="center"/>
    </xf>
    <xf numFmtId="168" fontId="24" fillId="0" borderId="22" applyAlignment="1" pivotButton="0" quotePrefix="0" xfId="0">
      <alignment horizontal="left" vertical="center"/>
    </xf>
    <xf numFmtId="0" fontId="24" fillId="0" borderId="28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4" fillId="11" borderId="29" applyAlignment="1" pivotButton="0" quotePrefix="0" xfId="0">
      <alignment horizontal="center" vertical="center" wrapText="1"/>
    </xf>
    <xf numFmtId="0" fontId="24" fillId="11" borderId="29" applyAlignment="1" pivotButton="0" quotePrefix="0" xfId="0">
      <alignment horizontal="center" vertical="center"/>
    </xf>
    <xf numFmtId="167" fontId="26" fillId="11" borderId="29" applyAlignment="1" pivotButton="0" quotePrefix="0" xfId="0">
      <alignment horizontal="center" vertical="center"/>
    </xf>
    <xf numFmtId="0" fontId="28" fillId="11" borderId="34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8" fillId="0" borderId="29" applyAlignment="1" pivotButton="0" quotePrefix="0" xfId="0">
      <alignment horizontal="center" vertical="center"/>
    </xf>
    <xf numFmtId="0" fontId="24" fillId="11" borderId="37" applyAlignment="1" pivotButton="0" quotePrefix="0" xfId="0">
      <alignment horizontal="center" vertical="center"/>
    </xf>
    <xf numFmtId="0" fontId="28" fillId="11" borderId="2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12" borderId="29" applyAlignment="1" pivotButton="0" quotePrefix="0" xfId="0">
      <alignment horizontal="center" vertical="center" wrapText="1"/>
    </xf>
    <xf numFmtId="0" fontId="24" fillId="12" borderId="29" applyAlignment="1" pivotButton="0" quotePrefix="0" xfId="0">
      <alignment horizontal="center" vertical="center"/>
    </xf>
    <xf numFmtId="0" fontId="24" fillId="12" borderId="37" applyAlignment="1" pivotButton="0" quotePrefix="0" xfId="0">
      <alignment horizontal="center" vertical="center"/>
    </xf>
    <xf numFmtId="167" fontId="26" fillId="12" borderId="29" applyAlignment="1" pivotButton="0" quotePrefix="0" xfId="0">
      <alignment horizontal="center" vertical="center"/>
    </xf>
    <xf numFmtId="0" fontId="28" fillId="12" borderId="29" applyAlignment="1" pivotButton="0" quotePrefix="0" xfId="0">
      <alignment horizontal="center" vertical="center"/>
    </xf>
    <xf numFmtId="168" fontId="24" fillId="0" borderId="0" applyAlignment="1" pivotButton="0" quotePrefix="0" xfId="0">
      <alignment horizontal="center" vertical="center"/>
    </xf>
    <xf numFmtId="167" fontId="24" fillId="0" borderId="0" applyAlignment="1" pivotButton="0" quotePrefix="0" xfId="0">
      <alignment horizontal="center" vertical="center"/>
    </xf>
    <xf numFmtId="0" fontId="24" fillId="0" borderId="27" applyAlignment="1" pivotButton="0" quotePrefix="0" xfId="0">
      <alignment horizontal="left" vertical="center"/>
    </xf>
    <xf numFmtId="168" fontId="19" fillId="0" borderId="25" applyAlignment="1" pivotButton="0" quotePrefix="0" xfId="0">
      <alignment vertical="center"/>
    </xf>
    <xf numFmtId="168" fontId="19" fillId="0" borderId="0" applyAlignment="1" pivotButton="0" quotePrefix="0" xfId="0">
      <alignment vertical="center"/>
    </xf>
    <xf numFmtId="165" fontId="24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vertical="center"/>
    </xf>
    <xf numFmtId="0" fontId="23" fillId="2" borderId="43" applyAlignment="1" pivotButton="0" quotePrefix="0" xfId="0">
      <alignment vertical="center"/>
    </xf>
    <xf numFmtId="0" fontId="23" fillId="2" borderId="44" applyAlignment="1" pivotButton="0" quotePrefix="0" xfId="0">
      <alignment vertical="center"/>
    </xf>
    <xf numFmtId="0" fontId="23" fillId="2" borderId="45" applyAlignment="1" pivotButton="0" quotePrefix="0" xfId="0">
      <alignment vertical="center"/>
    </xf>
    <xf numFmtId="0" fontId="29" fillId="0" borderId="2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9" fillId="0" borderId="28" applyAlignment="1" pivotButton="0" quotePrefix="0" xfId="0">
      <alignment vertical="center"/>
    </xf>
    <xf numFmtId="0" fontId="30" fillId="0" borderId="24" applyAlignment="1" pivotButton="0" quotePrefix="0" xfId="0">
      <alignment horizontal="left" vertical="center"/>
    </xf>
    <xf numFmtId="0" fontId="19" fillId="0" borderId="25" applyAlignment="1" pivotButton="0" quotePrefix="0" xfId="0">
      <alignment horizontal="left" vertical="center"/>
    </xf>
    <xf numFmtId="0" fontId="19" fillId="0" borderId="2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S131"/>
  <ns0:sheetViews>
    <ns0:sheetView workbookViewId="0">
      <ns0:selection activeCell="A1" sqref="A1"/>
    </ns0:sheetView>
  </ns0:sheetViews>
  <ns0:sheetFormatPr baseColWidth="8" defaultRowHeight="15"/>
  <ns0:cols>
    <ns0:col width="12.14285714285714" customWidth="1" min="2" max="2"/>
    <ns0:col width="12.28571428571429" customWidth="1" min="3" max="3"/>
    <ns0:col width="12.28571428571429" customWidth="1" min="4" max="4"/>
    <ns0:col width="12.28571428571429" customWidth="1" min="5" max="5"/>
    <ns0:col width="12.28571428571429" customWidth="1" min="6" max="6"/>
    <ns0:col width="12.28571428571429" customWidth="1" min="7" max="7"/>
    <ns0:col width="12.28571428571429" customWidth="1" min="8" max="8"/>
    <ns0:col width="12.28571428571429" customWidth="1" min="9" max="9"/>
    <ns0:col width="12.28571428571429" customWidth="1" min="10" max="10"/>
    <ns0:col width="12.28571428571429" customWidth="1" min="11" max="11"/>
    <ns0:col width="12.28571428571429" customWidth="1" min="12" max="12"/>
    <ns0:col width="12.28571428571429" customWidth="1" min="13" max="13"/>
    <ns0:col width="12.28571428571429" customWidth="1" min="14" max="14"/>
    <ns0:col width="12.28571428571429" customWidth="1" min="15" max="15"/>
    <ns0:col width="12.28571428571429" customWidth="1" min="16" max="16"/>
    <ns0:col width="12.28571428571429" customWidth="1" min="17" max="17"/>
    <ns0:col width="12.28571428571429" customWidth="1" min="18" max="18"/>
    <ns0:col width="12.28571428571429" customWidth="1" min="19" max="19"/>
    <ns0:col width="12.28571428571429" customWidth="1" min="20" max="20"/>
    <ns0:col width="12.14285714285714" customWidth="1" min="21" max="21"/>
    <ns0:col width="14.71428571428571" customWidth="1" min="22" max="22"/>
  </ns0:cols>
  <ns0:sheetData>
    <ns0:row r="1" ht="3" customHeight="1"/>
    <ns0:row r="2" ht="27.75" customHeight="1">
      <ns0:c r="B2" s="1" t="inlineStr">
        <ns0:is>
          <ns0:t>TITLE</ns0:t>
        </ns0:is>
      </ns0:c>
      <ns0:c r="C2" s="2" t="n"/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n"/>
      <ns0:c r="U2" s="5" t="inlineStr">
        <ns0:is>
          <ns0:t>Dept</ns0:t>
        </ns0:is>
      </ns0:c>
      <ns0:c r="V2" s="6" t="n"/>
    </ns0:row>
    <ns0:row r="3" ht="27.75" customHeight="1">
      <ns0:c r="B3" s="7" t="n"/>
      <ns0:c r="C3" s="8" t="n"/>
      <ns0:c r="T3" s="9" t="n"/>
      <ns0:c r="U3" s="10" t="inlineStr">
        <ns0:is>
          <ns0:t>Date</ns0:t>
        </ns0:is>
      </ns0:c>
      <ns0:c r="V3" s="11" t="n"/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5" t="n"/>
      <ns0:c r="U4" s="10" t="inlineStr">
        <ns0:is>
          <ns0:t>Marker</ns0:t>
        </ns0:is>
      </ns0:c>
      <ns0:c r="V4" s="16" t="n"/>
    </ns0:row>
    <ns0:row r="5" ht="2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26.25" customHeight="1">
      <ns0:c r="B6" s="20" t="inlineStr">
        <ns0:is>
          <ns0:t xml:space="preserve">  1) NG Reduce by repairing hearing ng samples</ns0:t>
        </ns0:is>
      </ns0:c>
      <ns0:c r="C6" s="21" t="n"/>
      <ns0:c r="D6" s="21" t="n"/>
      <ns0:c r="E6" s="21" t="n"/>
      <ns0:c r="F6" s="21" t="n"/>
      <ns0:c r="G6" s="21" t="n"/>
      <ns0:c r="H6" s="21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3" t="n"/>
    </ns0:row>
    <ns0:row r="7" ht="26.25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6" t="n"/>
      <ns0:c r="J7" s="26" t="n"/>
      <ns0:c r="K7" s="26" t="n"/>
      <ns0:c r="L7" s="26" t="n"/>
      <ns0:c r="M7" s="26" t="n"/>
      <ns0:c r="N7" s="26" t="n"/>
      <ns0:c r="O7" s="26" t="n"/>
      <ns0:c r="P7" s="26" t="n"/>
      <ns0:c r="Q7" s="26" t="n"/>
      <ns0:c r="R7" s="26" t="n"/>
      <ns0:c r="S7" s="26" t="n"/>
      <ns0:c r="T7" s="26" t="n"/>
      <ns0:c r="U7" s="26" t="n"/>
      <ns0:c r="V7" s="27" t="n"/>
    </ns0:row>
    <ns0:row r="8" ht="26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9" t="n"/>
      <ns0:c r="Y8" s="28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</ns0:row>
    <ns0:row r="9" ht="26.25" customHeight="1">
      <ns0:c r="B9" s="29" t="inlineStr">
        <ns0:is>
          <ns0:t xml:space="preserve">  1) Test Validaiton </ns0:t>
        </ns0:is>
      </ns0:c>
      <ns0:c r="C9" s="30" t="n"/>
      <ns0:c r="D9" s="30" t="n"/>
      <ns0:c r="E9" s="30" t="n"/>
      <ns0:c r="F9" s="30" t="n"/>
      <ns0:c r="G9" s="30" t="n"/>
      <ns0:c r="H9" s="30" t="n"/>
      <ns0:c r="I9" s="30" t="n"/>
      <ns0:c r="J9" s="30" t="n"/>
      <ns0:c r="K9" s="30" t="n"/>
      <ns0:c r="L9" s="31" t="n"/>
      <ns0:c r="M9" s="31" t="n"/>
      <ns0:c r="N9" s="31" t="n"/>
      <ns0:c r="O9" s="31" t="n"/>
      <ns0:c r="P9" s="31" t="n"/>
      <ns0:c r="Q9" s="31" t="n"/>
      <ns0:c r="R9" s="31" t="n"/>
      <ns0:c r="S9" s="31" t="n"/>
      <ns0:c r="T9" s="31" t="n"/>
      <ns0:c r="U9" s="31" t="n"/>
      <ns0:c r="V9" s="32" t="n"/>
      <ns0:c r="Y9" s="28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</ns0:row>
    <ns0:row r="10" ht="26.25" customHeight="1">
      <ns0:c r="B10" s="29" t="inlineStr">
        <ns0:is>
          <ns0:t xml:space="preserve">  2) Small Qty Test  </ns0:t>
        </ns0:is>
      </ns0:c>
      <ns0:c r="C10" s="33" t="n"/>
      <ns0:c r="D10" s="33" t="n"/>
      <ns0:c r="E10" s="33" t="n"/>
      <ns0:c r="F10" s="33" t="n"/>
      <ns0:c r="G10" s="30" t="n"/>
      <ns0:c r="H10" s="30" t="n"/>
      <ns0:c r="I10" s="30" t="n"/>
      <ns0:c r="J10" s="30" t="n"/>
      <ns0:c r="K10" s="30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1" t="n"/>
      <ns0:c r="T10" s="31" t="n"/>
      <ns0:c r="U10" s="31" t="n"/>
      <ns0:c r="V10" s="32" t="n"/>
      <ns0:c r="Y10" s="28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</ns0:row>
    <ns0:row r="11" ht="26.25" customHeight="1">
      <ns0:c r="B11" s="34" t="inlineStr">
        <ns0:is>
          <ns0:t xml:space="preserve">     . SPK/Module linkage test</ns0:t>
        </ns0:is>
      </ns0:c>
      <ns0:c r="C11" s="33" t="n"/>
      <ns0:c r="D11" s="33" t="n"/>
      <ns0:c r="E11" s="33" t="n"/>
      <ns0:c r="F11" s="33" t="n"/>
      <ns0:c r="G11" s="30" t="n"/>
      <ns0:c r="H11" s="30" t="n"/>
      <ns0:c r="I11" s="30" t="n"/>
      <ns0:c r="J11" s="30" t="n"/>
      <ns0:c r="K11" s="30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2" t="n"/>
      <ns0:c r="Y11" s="28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</ns0:row>
    <ns0:row r="12" ht="26.25" customHeight="1">
      <ns0:c r="B12" s="29" t="inlineStr">
        <ns0:is>
          <ns0:t xml:space="preserve">  3) Big Qty Test (for 1week)</ns0:t>
        </ns0:is>
      </ns0:c>
      <ns0:c r="C12" s="33" t="n"/>
      <ns0:c r="D12" s="33" t="n"/>
      <ns0:c r="E12" s="33" t="n"/>
      <ns0:c r="F12" s="33" t="n"/>
      <ns0:c r="G12" s="30" t="n"/>
      <ns0:c r="H12" s="30" t="n"/>
      <ns0:c r="I12" s="30" t="n"/>
      <ns0:c r="J12" s="30" t="n"/>
      <ns0:c r="K12" s="30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2" t="n"/>
      <ns0:c r="Y12" s="28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</ns0:row>
    <ns0:row r="13" ht="26.25" customHeight="1">
      <ns0:c r="B13" s="34" t="inlineStr">
        <ns0:is>
          <ns0:t xml:space="preserve">     . SPK/Module linkage test</ns0:t>
        </ns0:is>
      </ns0:c>
      <ns0:c r="C13" s="33" t="n"/>
      <ns0:c r="D13" s="33" t="n"/>
      <ns0:c r="E13" s="33" t="n"/>
      <ns0:c r="F13" s="33" t="n"/>
      <ns0:c r="G13" s="30" t="n"/>
      <ns0:c r="H13" s="30" t="n"/>
      <ns0:c r="I13" s="30" t="n"/>
      <ns0:c r="J13" s="30" t="n"/>
      <ns0:c r="K13" s="30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2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</ns0:row>
    <ns0:row r="14" ht="26.25" customHeight="1">
      <ns0:c r="B14" s="35" t="n"/>
      <ns0:c r="C14" s="33" t="n"/>
      <ns0:c r="D14" s="33" t="n"/>
      <ns0:c r="E14" s="33" t="n"/>
      <ns0:c r="F14" s="33" t="n"/>
      <ns0:c r="G14" s="30" t="n"/>
      <ns0:c r="H14" s="30" t="n"/>
      <ns0:c r="I14" s="30" t="n"/>
      <ns0:c r="J14" s="30" t="n"/>
      <ns0:c r="K14" s="30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1" t="n"/>
      <ns0:c r="V14" s="32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</ns0:row>
    <ns0:row r="15" ht="26.25" customHeight="1"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9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</ns0:row>
    <ns0:row r="16" ht="26.25" customHeight="1">
      <ns0:c r="B16" s="29" t="inlineStr">
        <ns0:is>
          <ns0:t xml:space="preserve">  1) Test Validaiton </ns0:t>
        </ns0:is>
      </ns0:c>
      <ns0:c r="C16" s="36" t="n"/>
      <ns0:c r="D16" s="36" t="n"/>
      <ns0:c r="E16" s="36" t="n"/>
      <ns0:c r="F16" s="36" t="n"/>
      <ns0:c r="G16" s="37" t="n"/>
      <ns0:c r="H16" s="37" t="n"/>
      <ns0:c r="I16" s="38" t="n"/>
      <ns0:c r="J16" s="38" t="n"/>
      <ns0:c r="K16" s="38" t="n"/>
      <ns0:c r="L16" s="39" t="n"/>
      <ns0:c r="M16" s="38" t="n"/>
      <ns0:c r="N16" s="38" t="n"/>
      <ns0:c r="O16" s="38" t="n"/>
      <ns0:c r="P16" s="38" t="n"/>
      <ns0:c r="Q16" s="38" t="n"/>
      <ns0:c r="R16" s="38" t="n"/>
      <ns0:c r="S16" s="38" t="n"/>
      <ns0:c r="T16" s="38" t="n"/>
      <ns0:c r="U16" s="39" t="n"/>
      <ns0:c r="V16" s="40" t="n"/>
      <ns0:c r="W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</ns0:row>
    <ns0:row r="17" ht="26.25" customHeight="1">
      <ns0:c r="B17" s="34" t="inlineStr">
        <ns0:is>
          <ns0:t xml:space="preserve">     Continuous repair &amp; Check Function NG</ns0:t>
        </ns0:is>
      </ns0:c>
      <ns0:c r="C17" s="36" t="n"/>
      <ns0:c r="D17" s="36" t="n"/>
      <ns0:c r="E17" s="36" t="n"/>
      <ns0:c r="F17" s="36" t="n"/>
      <ns0:c r="G17" s="37" t="n"/>
      <ns0:c r="H17" s="37" t="n"/>
      <ns0:c r="I17" s="38" t="n"/>
      <ns0:c r="J17" s="38" t="n"/>
      <ns0:c r="K17" s="38" t="n"/>
      <ns0:c r="L17" s="39" t="n"/>
      <ns0:c r="M17" s="38" t="n"/>
      <ns0:c r="N17" s="38" t="n"/>
      <ns0:c r="O17" s="38" t="n"/>
      <ns0:c r="P17" s="38" t="n"/>
      <ns0:c r="Q17" s="38" t="n"/>
      <ns0:c r="R17" s="38" t="n"/>
      <ns0:c r="S17" s="38" t="n"/>
      <ns0:c r="T17" s="38" t="n"/>
      <ns0:c r="U17" s="39" t="n"/>
      <ns0:c r="V17" s="40" t="n"/>
      <ns0:c r="W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</ns0:row>
    <ns0:row r="18" ht="26.25" customHeight="1">
      <ns0:c r="B18" s="34" t="inlineStr">
        <ns0:is>
          <ns0:t xml:space="preserve">     - 161016 : 1st Repair = 34% Change to OK (5th Repair = 90% Change to OK)</ns0:t>
        </ns0:is>
      </ns0:c>
      <ns0:c r="C18" s="36" t="n"/>
      <ns0:c r="D18" s="36" t="n"/>
      <ns0:c r="E18" s="36" t="n"/>
      <ns0:c r="F18" s="36" t="n"/>
      <ns0:c r="G18" s="37" t="n"/>
      <ns0:c r="H18" s="37" t="n"/>
      <ns0:c r="I18" s="38" t="n"/>
      <ns0:c r="J18" s="38" t="n"/>
      <ns0:c r="K18" s="38" t="n"/>
      <ns0:c r="L18" s="39" t="n"/>
      <ns0:c r="M18" s="38" t="n"/>
      <ns0:c r="N18" s="38" t="n"/>
      <ns0:c r="O18" s="38" t="n"/>
      <ns0:c r="P18" s="38" t="n"/>
      <ns0:c r="Q18" s="38" t="n"/>
      <ns0:c r="R18" s="38" t="n"/>
      <ns0:c r="S18" s="38" t="n"/>
      <ns0:c r="T18" s="38" t="n"/>
      <ns0:c r="U18" s="39" t="n"/>
      <ns0:c r="V18" s="40" t="n"/>
      <ns0:c r="W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</ns0:row>
    <ns0:row r="19" ht="26.25" customHeight="1">
      <ns0:c r="B19" s="34" t="inlineStr">
        <ns0:is>
          <ns0:t xml:space="preserve">     - 201506 : 1st Repair = 53% Change to OK (5th Repair = 65% Change to OK)</ns0:t>
        </ns0:is>
      </ns0:c>
      <ns0:c r="C19" s="36" t="n"/>
      <ns0:c r="D19" s="36" t="n"/>
      <ns0:c r="E19" s="36" t="n"/>
      <ns0:c r="F19" s="36" t="n"/>
      <ns0:c r="G19" s="37" t="n"/>
      <ns0:c r="H19" s="37" t="n"/>
      <ns0:c r="I19" s="38" t="n"/>
      <ns0:c r="J19" s="38" t="n"/>
      <ns0:c r="K19" s="38" t="n"/>
      <ns0:c r="L19" s="39" t="n"/>
      <ns0:c r="M19" s="38" t="n"/>
      <ns0:c r="N19" s="38" t="n"/>
      <ns0:c r="O19" s="38" t="n"/>
      <ns0:c r="P19" s="38" t="n"/>
      <ns0:c r="Q19" s="38" t="n"/>
      <ns0:c r="R19" s="38" t="n"/>
      <ns0:c r="S19" s="38" t="n"/>
      <ns0:c r="T19" s="38" t="n"/>
      <ns0:c r="U19" s="39" t="n"/>
      <ns0:c r="V19" s="40" t="n"/>
      <ns0:c r="W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</ns0:row>
    <ns0:row r="20" ht="26.25" customHeight="1">
      <ns0:c r="B20" s="41" t="inlineStr">
        <ns0:is>
          <ns0:t xml:space="preserve">       ▶ Exist Valid</ns0:t>
        </ns0:is>
      </ns0:c>
      <ns0:c r="C20" s="36" t="n"/>
      <ns0:c r="D20" s="36" t="n"/>
      <ns0:c r="E20" s="36" t="n"/>
      <ns0:c r="F20" s="36" t="n"/>
      <ns0:c r="G20" s="37" t="n"/>
      <ns0:c r="H20" s="37" t="n"/>
      <ns0:c r="I20" s="38" t="n"/>
      <ns0:c r="J20" s="38" t="n"/>
      <ns0:c r="K20" s="38" t="n"/>
      <ns0:c r="L20" s="39" t="n"/>
      <ns0:c r="M20" s="38" t="n"/>
      <ns0:c r="N20" s="38" t="n"/>
      <ns0:c r="O20" s="38" t="n"/>
      <ns0:c r="P20" s="38" t="n"/>
      <ns0:c r="Q20" s="38" t="n"/>
      <ns0:c r="R20" s="38" t="n"/>
      <ns0:c r="S20" s="38" t="n"/>
      <ns0:c r="T20" s="38" t="n"/>
      <ns0:c r="U20" s="39" t="n"/>
      <ns0:c r="V20" s="40" t="n"/>
      <ns0:c r="W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</ns0:row>
    <ns0:row r="21" ht="26.25" customHeight="1">
      <ns0:c r="B21" s="42" t="n"/>
      <ns0:c r="C21" s="36" t="n"/>
      <ns0:c r="D21" s="36" t="n"/>
      <ns0:c r="E21" s="36" t="n"/>
      <ns0:c r="F21" s="36" t="n"/>
      <ns0:c r="G21" s="37" t="n"/>
      <ns0:c r="H21" s="37" t="n"/>
      <ns0:c r="I21" s="38" t="n"/>
      <ns0:c r="J21" s="38" t="n"/>
      <ns0:c r="K21" s="38" t="n"/>
      <ns0:c r="L21" s="39" t="n"/>
      <ns0:c r="M21" s="38" t="n"/>
      <ns0:c r="N21" s="38" t="n"/>
      <ns0:c r="O21" s="38" t="n"/>
      <ns0:c r="P21" s="38" t="n"/>
      <ns0:c r="Q21" s="38" t="n"/>
      <ns0:c r="R21" s="38" t="n"/>
      <ns0:c r="S21" s="38" t="n"/>
      <ns0:c r="T21" s="38" t="n"/>
      <ns0:c r="U21" s="39" t="n"/>
      <ns0:c r="V21" s="40" t="n"/>
      <ns0:c r="W21" s="28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</ns0:row>
    <ns0:row r="22" ht="21" customHeight="1">
      <ns0:c r="B22" s="42" t="n"/>
      <ns0:c r="C22" s="43" t="n"/>
      <ns0:c r="D22" s="44" t="inlineStr">
        <ns0:is>
          <ns0:t>Date</ns0:t>
        </ns0:is>
      </ns0:c>
      <ns0:c r="E22" s="44" t="inlineStr">
        <ns0:is>
          <ns0:t>NG</ns0:t>
        </ns0:is>
      </ns0:c>
      <ns0:c r="F22" s="45" t="n"/>
      <ns0:c r="G22" s="46" t="inlineStr">
        <ns0:is>
          <ns0:t>Repair 
1st
(YK Same Direction)</ns0:t>
        </ns0:is>
      </ns0:c>
      <ns0:c r="H22" s="45" t="n"/>
      <ns0:c r="I22" s="46" t="inlineStr">
        <ns0:is>
          <ns0:t>Repair 
2nd 
(YK Same Direction)</ns0:t>
        </ns0:is>
      </ns0:c>
      <ns0:c r="J22" s="45" t="n"/>
      <ns0:c r="K22" s="46" t="inlineStr">
        <ns0:is>
          <ns0:t>Repair 
3rd 
(YK Rotation)</ns0:t>
        </ns0:is>
      </ns0:c>
      <ns0:c r="L22" s="45" t="n"/>
      <ns0:c r="M22" s="46" t="inlineStr">
        <ns0:is>
          <ns0:t>Repair 
4th
(YK Rotation)</ns0:t>
        </ns0:is>
      </ns0:c>
      <ns0:c r="N22" s="45" t="n"/>
      <ns0:c r="O22" s="46" t="inlineStr">
        <ns0:is>
          <ns0:t>Repair 
5th
(YK Rotation)</ns0:t>
        </ns0:is>
      </ns0:c>
      <ns0:c r="P22" s="45" t="n"/>
      <ns0:c r="Q22" s="44" t="inlineStr">
        <ns0:is>
          <ns0:t>Total OK</ns0:t>
        </ns0:is>
      </ns0:c>
      <ns0:c r="R22" s="47" t="n"/>
      <ns0:c r="S22" s="45" t="n"/>
      <ns0:c r="T22" s="44" t="inlineStr">
        <ns0:is>
          <ns0:t>OK Rate</ns0:t>
        </ns0:is>
      </ns0:c>
      <ns0:c r="U22" s="39" t="n"/>
      <ns0:c r="V22" s="40" t="n"/>
      <ns0:c r="W22" s="28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</ns0:row>
    <ns0:row r="23" ht="21" customHeight="1">
      <ns0:c r="B23" s="42" t="n"/>
      <ns0:c r="C23" s="48" t="n"/>
      <ns0:c r="D23" s="48" t="n"/>
      <ns0:c r="E23" s="8" t="n"/>
      <ns0:c r="F23" s="9" t="n"/>
      <ns0:c r="G23" s="8" t="n"/>
      <ns0:c r="H23" s="9" t="n"/>
      <ns0:c r="I23" s="8" t="n"/>
      <ns0:c r="J23" s="9" t="n"/>
      <ns0:c r="K23" s="8" t="n"/>
      <ns0:c r="L23" s="9" t="n"/>
      <ns0:c r="M23" s="8" t="n"/>
      <ns0:c r="N23" s="9" t="n"/>
      <ns0:c r="O23" s="8" t="n"/>
      <ns0:c r="P23" s="9" t="n"/>
      <ns0:c r="Q23" s="8" t="n"/>
      <ns0:c r="S23" s="9" t="n"/>
      <ns0:c r="T23" s="48" t="n"/>
      <ns0:c r="U23" s="39" t="n"/>
      <ns0:c r="V23" s="40" t="n"/>
      <ns0:c r="W23" s="28" t="n"/>
      <ns0:c r="Y23" s="28" t="n"/>
      <ns0:c r="Z23" s="28" t="n"/>
      <ns0:c r="AA23" s="28" t="n"/>
      <ns0:c r="AB23" s="28" t="n"/>
      <ns0:c r="AC23" s="28" t="n"/>
      <ns0:c r="AD23" s="28" t="n"/>
      <ns0:c r="AE23" s="28" t="n"/>
      <ns0:c r="AF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</ns0:row>
    <ns0:row r="24" ht="26.25" customHeight="1">
      <ns0:c r="B24" s="42" t="n"/>
      <ns0:c r="C24" s="48" t="n"/>
      <ns0:c r="D24" s="49" t="n"/>
      <ns0:c r="E24" s="13" t="n"/>
      <ns0:c r="F24" s="15" t="n"/>
      <ns0:c r="G24" s="13" t="n"/>
      <ns0:c r="H24" s="15" t="n"/>
      <ns0:c r="I24" s="13" t="n"/>
      <ns0:c r="J24" s="15" t="n"/>
      <ns0:c r="K24" s="13" t="n"/>
      <ns0:c r="L24" s="15" t="n"/>
      <ns0:c r="M24" s="13" t="n"/>
      <ns0:c r="N24" s="15" t="n"/>
      <ns0:c r="O24" s="13" t="n"/>
      <ns0:c r="P24" s="15" t="n"/>
      <ns0:c r="Q24" s="13" t="n"/>
      <ns0:c r="R24" s="14" t="n"/>
      <ns0:c r="S24" s="15" t="n"/>
      <ns0:c r="T24" s="49" t="n"/>
      <ns0:c r="U24" s="39" t="n"/>
      <ns0:c r="V24" s="40" t="n"/>
      <ns0:c r="W24" s="28" t="n"/>
      <ns0:c r="Y24" s="28" t="n"/>
      <ns0:c r="Z24" s="28" t="n"/>
      <ns0:c r="AA24" s="28" t="n"/>
      <ns0:c r="AB24" s="28" t="n"/>
      <ns0:c r="AC24" s="28" t="n"/>
      <ns0:c r="AD24" s="28" t="n"/>
      <ns0:c r="AE24" s="28" t="n"/>
      <ns0:c r="AF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</ns0:row>
    <ns0:row r="25" ht="26.25" customHeight="1">
      <ns0:c r="B25" s="42" t="n"/>
      <ns0:c r="C25" s="48" t="n"/>
      <ns0:c r="D25" s="50" t="inlineStr">
        <ns0:is>
          <ns0:t>161016
Total</ns0:t>
        </ns0:is>
      </ns0:c>
      <ns0:c r="E25" s="43" t="inlineStr">
        <ns0:is>
          <ns0:t>Touch</ns0:t>
        </ns0:is>
      </ns0:c>
      <ns0:c r="F25" s="43" t="n">
        <ns0:v>80</ns0:v>
      </ns0:c>
      <ns0:c r="G25" s="43" t="inlineStr">
        <ns0:is>
          <ns0:t>OK</ns0:t>
        </ns0:is>
      </ns0:c>
      <ns0:c r="H25" s="43" t="n">
        <ns0:v>17</ns0:v>
      </ns0:c>
      <ns0:c r="I25" s="51" t="n"/>
      <ns0:c r="J25" s="47" t="n"/>
      <ns0:c r="K25" s="47" t="n"/>
      <ns0:c r="L25" s="47" t="n"/>
      <ns0:c r="M25" s="47" t="n"/>
      <ns0:c r="N25" s="47" t="n"/>
      <ns0:c r="O25" s="47" t="n"/>
      <ns0:c r="P25" s="47" t="n"/>
      <ns0:c r="Q25" s="52" t="n">
        <ns0:v>17</ns0:v>
      </ns0:c>
      <ns0:c r="R25" s="53" t="n">
        <ns0:v>0.2125</ns0:v>
      </ns0:c>
      <ns0:c r="S25" s="43" t="n">
        <ns0:v>70</ns0:v>
      </ns0:c>
      <ns0:c r="T25" s="54" t="n">
        <ns0:v>0.875</ns0:v>
      </ns0:c>
      <ns0:c r="U25" s="39" t="n"/>
      <ns0:c r="V25" s="40" t="n"/>
      <ns0:c r="W25" s="28" t="n"/>
      <ns0:c r="Y25" s="28" t="n"/>
      <ns0:c r="Z25" s="28" t="n"/>
      <ns0:c r="AA25" s="28" t="n"/>
      <ns0:c r="AB25" s="28" t="n"/>
      <ns0:c r="AC25" s="28" t="n"/>
      <ns0:c r="AD25" s="28" t="n"/>
      <ns0:c r="AE25" s="28" t="n"/>
      <ns0:c r="AF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</ns0:row>
    <ns0:row r="26" ht="26.25" customHeight="1">
      <ns0:c r="B26" s="42" t="n"/>
      <ns0:c r="C26" s="48" t="n"/>
      <ns0:c r="D26" s="48" t="n"/>
      <ns0:c r="E26" s="55" t="n"/>
      <ns0:c r="F26" s="45" t="n"/>
      <ns0:c r="G26" s="43" t="inlineStr">
        <ns0:is>
          <ns0:t>NG</ns0:t>
        </ns0:is>
      </ns0:c>
      <ns0:c r="H26" s="43" t="n">
        <ns0:v>63</ns0:v>
      </ns0:c>
      <ns0:c r="I26" s="43" t="inlineStr">
        <ns0:is>
          <ns0:t>OK</ns0:t>
        </ns0:is>
      </ns0:c>
      <ns0:c r="J26" s="43" t="n">
        <ns0:v>10</ns0:v>
      </ns0:c>
      <ns0:c r="K26" s="56" t="n"/>
      <ns0:c r="Q26" s="57" t="n">
        <ns0:v>10</ns0:v>
      </ns0:c>
      <ns0:c r="R26" s="58" t="n">
        <ns0:v>0.3375</ns0:v>
      </ns0:c>
      <ns0:c r="S26" s="48" t="n"/>
      <ns0:c r="T26" s="48" t="n"/>
      <ns0:c r="U26" s="39" t="n"/>
      <ns0:c r="V26" s="40" t="n"/>
      <ns0:c r="W26" s="28" t="n"/>
      <ns0:c r="Y26" s="28" t="n"/>
      <ns0:c r="Z26" s="28" t="n"/>
      <ns0:c r="AA26" s="28" t="n"/>
      <ns0:c r="AB26" s="28" t="n"/>
      <ns0:c r="AC26" s="28" t="n"/>
      <ns0:c r="AD26" s="28" t="n"/>
      <ns0:c r="AE26" s="28" t="n"/>
      <ns0:c r="AF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</ns0:row>
    <ns0:row r="27" ht="26.25" customHeight="1">
      <ns0:c r="B27" s="42" t="n"/>
      <ns0:c r="C27" s="48" t="n"/>
      <ns0:c r="D27" s="48" t="n"/>
      <ns0:c r="E27" s="8" t="n"/>
      <ns0:c r="F27" s="9" t="n"/>
      <ns0:c r="G27" s="55" t="n"/>
      <ns0:c r="H27" s="45" t="n"/>
      <ns0:c r="I27" s="43" t="inlineStr">
        <ns0:is>
          <ns0:t>NG</ns0:t>
        </ns0:is>
      </ns0:c>
      <ns0:c r="J27" s="43" t="n">
        <ns0:v>53</ns0:v>
      </ns0:c>
      <ns0:c r="K27" s="43" t="inlineStr">
        <ns0:is>
          <ns0:t>OK</ns0:t>
        </ns0:is>
      </ns0:c>
      <ns0:c r="L27" s="43" t="n">
        <ns0:v>30</ns0:v>
      </ns0:c>
      <ns0:c r="M27" s="56" t="n"/>
      <ns0:c r="Q27" s="57" t="n">
        <ns0:v>30</ns0:v>
      </ns0:c>
      <ns0:c r="R27" s="58" t="n">
        <ns0:v>0.7125</ns0:v>
      </ns0:c>
      <ns0:c r="S27" s="48" t="n"/>
      <ns0:c r="T27" s="48" t="n"/>
      <ns0:c r="U27" s="39" t="n"/>
      <ns0:c r="V27" s="40" t="n"/>
      <ns0:c r="W27" s="28" t="n"/>
      <ns0:c r="Y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</ns0:row>
    <ns0:row r="28" ht="26.25" customHeight="1">
      <ns0:c r="B28" s="42" t="n"/>
      <ns0:c r="C28" s="48" t="n"/>
      <ns0:c r="D28" s="48" t="n"/>
      <ns0:c r="E28" s="8" t="n"/>
      <ns0:c r="F28" s="9" t="n"/>
      <ns0:c r="G28" s="8" t="n"/>
      <ns0:c r="H28" s="9" t="n"/>
      <ns0:c r="I28" s="55" t="n"/>
      <ns0:c r="J28" s="45" t="n"/>
      <ns0:c r="K28" s="43" t="inlineStr">
        <ns0:is>
          <ns0:t>NG</ns0:t>
        </ns0:is>
      </ns0:c>
      <ns0:c r="L28" s="43" t="n">
        <ns0:v>23</ns0:v>
      </ns0:c>
      <ns0:c r="M28" s="43" t="inlineStr">
        <ns0:is>
          <ns0:t>OK</ns0:t>
        </ns0:is>
      </ns0:c>
      <ns0:c r="N28" s="43" t="n">
        <ns0:v>8</ns0:v>
      </ns0:c>
      <ns0:c r="O28" s="59" t="n"/>
      <ns0:c r="P28" s="14" t="n"/>
      <ns0:c r="Q28" s="57" t="n">
        <ns0:v>8</ns0:v>
      </ns0:c>
      <ns0:c r="R28" s="58" t="n">
        <ns0:v>0.8125</ns0:v>
      </ns0:c>
      <ns0:c r="S28" s="48" t="n"/>
      <ns0:c r="T28" s="48" t="n"/>
      <ns0:c r="U28" s="39" t="n"/>
      <ns0:c r="V28" s="40" t="n"/>
      <ns0:c r="W28" s="28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</ns0:row>
    <ns0:row r="29" ht="26.25" customHeight="1">
      <ns0:c r="B29" s="42" t="n"/>
      <ns0:c r="C29" s="48" t="n"/>
      <ns0:c r="D29" s="48" t="n"/>
      <ns0:c r="E29" s="8" t="n"/>
      <ns0:c r="F29" s="9" t="n"/>
      <ns0:c r="G29" s="8" t="n"/>
      <ns0:c r="H29" s="9" t="n"/>
      <ns0:c r="I29" s="8" t="n"/>
      <ns0:c r="J29" s="9" t="n"/>
      <ns0:c r="K29" s="55" t="n"/>
      <ns0:c r="L29" s="45" t="n"/>
      <ns0:c r="M29" s="43" t="inlineStr">
        <ns0:is>
          <ns0:t>NG</ns0:t>
        </ns0:is>
      </ns0:c>
      <ns0:c r="N29" s="43" t="n">
        <ns0:v>15</ns0:v>
      </ns0:c>
      <ns0:c r="O29" s="43" t="inlineStr">
        <ns0:is>
          <ns0:t>OK</ns0:t>
        </ns0:is>
      </ns0:c>
      <ns0:c r="P29" s="43" t="n">
        <ns0:v>5</ns0:v>
      </ns0:c>
      <ns0:c r="Q29" s="57" t="n">
        <ns0:v>5</ns0:v>
      </ns0:c>
      <ns0:c r="R29" s="58" t="n">
        <ns0:v>0.875</ns0:v>
      </ns0:c>
      <ns0:c r="S29" s="49" t="n"/>
      <ns0:c r="T29" s="48" t="n"/>
      <ns0:c r="U29" s="39" t="n"/>
      <ns0:c r="V29" s="40" t="n"/>
      <ns0:c r="W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</ns0:row>
    <ns0:row r="30" ht="26.25" customHeight="1">
      <ns0:c r="B30" s="42" t="n"/>
      <ns0:c r="C30" s="48" t="n"/>
      <ns0:c r="D30" s="48" t="n"/>
      <ns0:c r="E30" s="13" t="n"/>
      <ns0:c r="F30" s="15" t="n"/>
      <ns0:c r="G30" s="13" t="n"/>
      <ns0:c r="H30" s="15" t="n"/>
      <ns0:c r="I30" s="13" t="n"/>
      <ns0:c r="J30" s="15" t="n"/>
      <ns0:c r="K30" s="13" t="n"/>
      <ns0:c r="L30" s="15" t="n"/>
      <ns0:c r="M30" s="55" t="n"/>
      <ns0:c r="N30" s="60" t="n"/>
      <ns0:c r="O30" s="43" t="inlineStr">
        <ns0:is>
          <ns0:t>NG</ns0:t>
        </ns0:is>
      </ns0:c>
      <ns0:c r="P30" s="43" t="n">
        <ns0:v>10</ns0:v>
      </ns0:c>
      <ns0:c r="Q30" s="57" t="n"/>
      <ns0:c r="R30" s="60" t="n"/>
      <ns0:c r="S30" s="57" t="n">
        <ns0:v>10</ns0:v>
      </ns0:c>
      <ns0:c r="T30" s="49" t="n"/>
      <ns0:c r="U30" s="39" t="n"/>
      <ns0:c r="V30" s="40" t="n"/>
      <ns0:c r="W30" s="28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</ns0:row>
    <ns0:row r="31" ht="26.25" customHeight="1">
      <ns0:c r="B31" s="42" t="n"/>
      <ns0:c r="C31" s="48" t="n"/>
      <ns0:c r="D31" s="48" t="n"/>
      <ns0:c r="E31" s="61" t="inlineStr">
        <ns0:is>
          <ns0:t>Noise</ns0:t>
        </ns0:is>
      </ns0:c>
      <ns0:c r="F31" s="43" t="n">
        <ns0:v>80</ns0:v>
      </ns0:c>
      <ns0:c r="G31" s="61" t="inlineStr">
        <ns0:is>
          <ns0:t>OK</ns0:t>
        </ns0:is>
      </ns0:c>
      <ns0:c r="H31" s="43" t="n">
        <ns0:v>37</ns0:v>
      </ns0:c>
      <ns0:c r="I31" s="51" t="n"/>
      <ns0:c r="J31" s="47" t="n"/>
      <ns0:c r="K31" s="47" t="n"/>
      <ns0:c r="L31" s="47" t="n"/>
      <ns0:c r="M31" s="47" t="n"/>
      <ns0:c r="N31" s="47" t="n"/>
      <ns0:c r="O31" s="47" t="n"/>
      <ns0:c r="P31" s="47" t="n"/>
      <ns0:c r="Q31" s="57" t="n">
        <ns0:v>37</ns0:v>
      </ns0:c>
      <ns0:c r="R31" s="53" t="n">
        <ns0:v>0.4625</ns0:v>
      </ns0:c>
      <ns0:c r="S31" s="43" t="n">
        <ns0:v>73</ns0:v>
      </ns0:c>
      <ns0:c r="T31" s="54" t="n">
        <ns0:v>0.9125</ns0:v>
      </ns0:c>
      <ns0:c r="U31" s="39" t="n"/>
      <ns0:c r="V31" s="40" t="n"/>
      <ns0:c r="W31" s="28" t="n"/>
      <ns0:c r="Y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</ns0:row>
    <ns0:row r="32" ht="26.25" customHeight="1">
      <ns0:c r="B32" s="42" t="n"/>
      <ns0:c r="C32" s="48" t="n"/>
      <ns0:c r="D32" s="48" t="n"/>
      <ns0:c r="E32" s="55" t="n"/>
      <ns0:c r="F32" s="45" t="n"/>
      <ns0:c r="G32" s="43" t="inlineStr">
        <ns0:is>
          <ns0:t>NG</ns0:t>
        </ns0:is>
      </ns0:c>
      <ns0:c r="H32" s="43" t="n">
        <ns0:v>43</ns0:v>
      </ns0:c>
      <ns0:c r="I32" s="43" t="inlineStr">
        <ns0:is>
          <ns0:t>OK</ns0:t>
        </ns0:is>
      </ns0:c>
      <ns0:c r="J32" s="43" t="n">
        <ns0:v>9</ns0:v>
      </ns0:c>
      <ns0:c r="K32" s="56" t="n"/>
      <ns0:c r="Q32" s="57" t="n">
        <ns0:v>9</ns0:v>
      </ns0:c>
      <ns0:c r="R32" s="58" t="n">
        <ns0:v>0.575</ns0:v>
      </ns0:c>
      <ns0:c r="S32" s="48" t="n"/>
      <ns0:c r="T32" s="48" t="n"/>
      <ns0:c r="U32" s="39" t="n"/>
      <ns0:c r="V32" s="40" t="n"/>
      <ns0:c r="W32" s="28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</ns0:row>
    <ns0:row r="33" ht="26.25" customHeight="1">
      <ns0:c r="B33" s="42" t="n"/>
      <ns0:c r="C33" s="48" t="n"/>
      <ns0:c r="D33" s="48" t="n"/>
      <ns0:c r="E33" s="8" t="n"/>
      <ns0:c r="F33" s="9" t="n"/>
      <ns0:c r="G33" s="55" t="n"/>
      <ns0:c r="H33" s="45" t="n"/>
      <ns0:c r="I33" s="43" t="inlineStr">
        <ns0:is>
          <ns0:t>NG</ns0:t>
        </ns0:is>
      </ns0:c>
      <ns0:c r="J33" s="43" t="n">
        <ns0:v>34</ns0:v>
      </ns0:c>
      <ns0:c r="K33" s="43" t="inlineStr">
        <ns0:is>
          <ns0:t>OK</ns0:t>
        </ns0:is>
      </ns0:c>
      <ns0:c r="L33" s="43" t="n">
        <ns0:v>23</ns0:v>
      </ns0:c>
      <ns0:c r="M33" s="56" t="n"/>
      <ns0:c r="Q33" s="57" t="n">
        <ns0:v>23</ns0:v>
      </ns0:c>
      <ns0:c r="R33" s="58" t="n">
        <ns0:v>0.8625</ns0:v>
      </ns0:c>
      <ns0:c r="S33" s="48" t="n"/>
      <ns0:c r="T33" s="48" t="n"/>
      <ns0:c r="U33" s="39" t="n"/>
      <ns0:c r="V33" s="40" t="n"/>
      <ns0:c r="W33" s="28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</ns0:row>
    <ns0:row r="34" ht="26.25" customHeight="1">
      <ns0:c r="B34" s="42" t="n"/>
      <ns0:c r="C34" s="48" t="n"/>
      <ns0:c r="D34" s="48" t="n"/>
      <ns0:c r="E34" s="8" t="n"/>
      <ns0:c r="F34" s="9" t="n"/>
      <ns0:c r="G34" s="8" t="n"/>
      <ns0:c r="H34" s="9" t="n"/>
      <ns0:c r="I34" s="55" t="n"/>
      <ns0:c r="J34" s="45" t="n"/>
      <ns0:c r="K34" s="43" t="inlineStr">
        <ns0:is>
          <ns0:t>NG</ns0:t>
        </ns0:is>
      </ns0:c>
      <ns0:c r="L34" s="43" t="n">
        <ns0:v>11</ns0:v>
      </ns0:c>
      <ns0:c r="M34" s="43" t="inlineStr">
        <ns0:is>
          <ns0:t>OK</ns0:t>
        </ns0:is>
      </ns0:c>
      <ns0:c r="N34" s="43" t="n">
        <ns0:v>1</ns0:v>
      </ns0:c>
      <ns0:c r="O34" s="62" t="n"/>
      <ns0:c r="P34" s="62" t="n"/>
      <ns0:c r="Q34" s="57" t="n">
        <ns0:v>1</ns0:v>
      </ns0:c>
      <ns0:c r="R34" s="58" t="n">
        <ns0:v>0.875</ns0:v>
      </ns0:c>
      <ns0:c r="S34" s="48" t="n"/>
      <ns0:c r="T34" s="48" t="n"/>
      <ns0:c r="U34" s="39" t="n"/>
      <ns0:c r="V34" s="40" t="n"/>
      <ns0:c r="W34" s="28" t="n"/>
      <ns0:c r="Y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</ns0:row>
    <ns0:row r="35" ht="26.25" customHeight="1">
      <ns0:c r="B35" s="42" t="n"/>
      <ns0:c r="C35" s="48" t="n"/>
      <ns0:c r="D35" s="48" t="n"/>
      <ns0:c r="E35" s="8" t="n"/>
      <ns0:c r="F35" s="9" t="n"/>
      <ns0:c r="G35" s="8" t="n"/>
      <ns0:c r="H35" s="9" t="n"/>
      <ns0:c r="I35" s="8" t="n"/>
      <ns0:c r="J35" s="9" t="n"/>
      <ns0:c r="K35" s="55" t="n"/>
      <ns0:c r="L35" s="45" t="n"/>
      <ns0:c r="M35" s="43" t="inlineStr">
        <ns0:is>
          <ns0:t>NG</ns0:t>
        </ns0:is>
      </ns0:c>
      <ns0:c r="N35" s="43" t="n">
        <ns0:v>10</ns0:v>
      </ns0:c>
      <ns0:c r="O35" s="43" t="inlineStr">
        <ns0:is>
          <ns0:t>OK</ns0:t>
        </ns0:is>
      </ns0:c>
      <ns0:c r="P35" s="43" t="n">
        <ns0:v>3</ns0:v>
      </ns0:c>
      <ns0:c r="Q35" s="57" t="n">
        <ns0:v>3</ns0:v>
      </ns0:c>
      <ns0:c r="R35" s="58" t="n">
        <ns0:v>0.9125</ns0:v>
      </ns0:c>
      <ns0:c r="S35" s="49" t="n"/>
      <ns0:c r="T35" s="48" t="n"/>
      <ns0:c r="U35" s="39" t="n"/>
      <ns0:c r="V35" s="40" t="n"/>
      <ns0:c r="W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</ns0:row>
    <ns0:row r="36" ht="26.25" customHeight="1">
      <ns0:c r="B36" s="42" t="n"/>
      <ns0:c r="C36" s="48" t="n"/>
      <ns0:c r="D36" s="49" t="n"/>
      <ns0:c r="E36" s="13" t="n"/>
      <ns0:c r="F36" s="15" t="n"/>
      <ns0:c r="G36" s="13" t="n"/>
      <ns0:c r="H36" s="15" t="n"/>
      <ns0:c r="I36" s="13" t="n"/>
      <ns0:c r="J36" s="15" t="n"/>
      <ns0:c r="K36" s="13" t="n"/>
      <ns0:c r="L36" s="15" t="n"/>
      <ns0:c r="M36" s="55" t="n"/>
      <ns0:c r="N36" s="60" t="n"/>
      <ns0:c r="O36" s="43" t="inlineStr">
        <ns0:is>
          <ns0:t>NG</ns0:t>
        </ns0:is>
      </ns0:c>
      <ns0:c r="P36" s="43" t="n">
        <ns0:v>7</ns0:v>
      </ns0:c>
      <ns0:c r="Q36" s="57" t="n"/>
      <ns0:c r="R36" s="60" t="n"/>
      <ns0:c r="S36" s="57" t="n">
        <ns0:v>7</ns0:v>
      </ns0:c>
      <ns0:c r="T36" s="49" t="n"/>
      <ns0:c r="U36" s="39" t="n"/>
      <ns0:c r="V36" s="40" t="n"/>
      <ns0:c r="W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</ns0:row>
    <ns0:row r="37" ht="26.25" customHeight="1">
      <ns0:c r="B37" s="42" t="n"/>
      <ns0:c r="C37" s="48" t="n"/>
      <ns0:c r="D37" s="50" t="inlineStr">
        <ns0:is>
          <ns0:t>201506
Total</ns0:t>
        </ns0:is>
      </ns0:c>
      <ns0:c r="E37" s="43" t="inlineStr">
        <ns0:is>
          <ns0:t>Touch</ns0:t>
        </ns0:is>
      </ns0:c>
      <ns0:c r="F37" s="43" t="n">
        <ns0:v>50</ns0:v>
      </ns0:c>
      <ns0:c r="G37" s="43" t="inlineStr">
        <ns0:is>
          <ns0:t>OK</ns0:t>
        </ns0:is>
      </ns0:c>
      <ns0:c r="H37" s="43" t="n">
        <ns0:v>31</ns0:v>
      </ns0:c>
      <ns0:c r="I37" s="51" t="n"/>
      <ns0:c r="J37" s="47" t="n"/>
      <ns0:c r="K37" s="47" t="n"/>
      <ns0:c r="L37" s="47" t="n"/>
      <ns0:c r="M37" s="47" t="n"/>
      <ns0:c r="N37" s="47" t="n"/>
      <ns0:c r="O37" s="47" t="n"/>
      <ns0:c r="P37" s="47" t="n"/>
      <ns0:c r="Q37" s="52" t="n">
        <ns0:v>31</ns0:v>
      </ns0:c>
      <ns0:c r="R37" s="53" t="n">
        <ns0:v>0.62</ns0:v>
      </ns0:c>
      <ns0:c r="S37" s="43" t="n">
        <ns0:v>39</ns0:v>
      </ns0:c>
      <ns0:c r="T37" s="54" t="n">
        <ns0:v>0.78</ns0:v>
      </ns0:c>
      <ns0:c r="U37" s="39" t="n"/>
      <ns0:c r="V37" s="40" t="n"/>
      <ns0:c r="W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</ns0:row>
    <ns0:row r="38" ht="26.25" customHeight="1">
      <ns0:c r="B38" s="42" t="n"/>
      <ns0:c r="C38" s="48" t="n"/>
      <ns0:c r="D38" s="48" t="n"/>
      <ns0:c r="E38" s="55" t="n"/>
      <ns0:c r="F38" s="45" t="n"/>
      <ns0:c r="G38" s="43" t="inlineStr">
        <ns0:is>
          <ns0:t>NG</ns0:t>
        </ns0:is>
      </ns0:c>
      <ns0:c r="H38" s="43" t="n">
        <ns0:v>19</ns0:v>
      </ns0:c>
      <ns0:c r="I38" s="43" t="inlineStr">
        <ns0:is>
          <ns0:t>OK</ns0:t>
        </ns0:is>
      </ns0:c>
      <ns0:c r="J38" s="43" t="n">
        <ns0:v>6</ns0:v>
      </ns0:c>
      <ns0:c r="K38" s="56" t="n"/>
      <ns0:c r="Q38" s="57" t="n">
        <ns0:v>6</ns0:v>
      </ns0:c>
      <ns0:c r="R38" s="58" t="n">
        <ns0:v>0.74</ns0:v>
      </ns0:c>
      <ns0:c r="S38" s="48" t="n"/>
      <ns0:c r="T38" s="48" t="n"/>
      <ns0:c r="U38" s="39" t="n"/>
      <ns0:c r="V38" s="40" t="n"/>
      <ns0:c r="W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</ns0:row>
    <ns0:row r="39" ht="26.25" customHeight="1">
      <ns0:c r="B39" s="42" t="n"/>
      <ns0:c r="C39" s="48" t="n"/>
      <ns0:c r="D39" s="48" t="n"/>
      <ns0:c r="E39" s="8" t="n"/>
      <ns0:c r="F39" s="9" t="n"/>
      <ns0:c r="G39" s="55" t="n"/>
      <ns0:c r="H39" s="45" t="n"/>
      <ns0:c r="I39" s="43" t="inlineStr">
        <ns0:is>
          <ns0:t>NG</ns0:t>
        </ns0:is>
      </ns0:c>
      <ns0:c r="J39" s="43" t="n">
        <ns0:v>13</ns0:v>
      </ns0:c>
      <ns0:c r="K39" s="43" t="inlineStr">
        <ns0:is>
          <ns0:t>OK</ns0:t>
        </ns0:is>
      </ns0:c>
      <ns0:c r="L39" s="43" t="n">
        <ns0:v>1</ns0:v>
      </ns0:c>
      <ns0:c r="M39" s="56" t="n"/>
      <ns0:c r="Q39" s="57" t="n">
        <ns0:v>1</ns0:v>
      </ns0:c>
      <ns0:c r="R39" s="58" t="n">
        <ns0:v>0.76</ns0:v>
      </ns0:c>
      <ns0:c r="S39" s="48" t="n"/>
      <ns0:c r="T39" s="48" t="n"/>
      <ns0:c r="U39" s="39" t="n"/>
      <ns0:c r="V39" s="40" t="n"/>
      <ns0:c r="W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</ns0:row>
    <ns0:row r="40" ht="26.25" customHeight="1">
      <ns0:c r="B40" s="42" t="n"/>
      <ns0:c r="C40" s="48" t="n"/>
      <ns0:c r="D40" s="48" t="n"/>
      <ns0:c r="E40" s="8" t="n"/>
      <ns0:c r="F40" s="9" t="n"/>
      <ns0:c r="G40" s="8" t="n"/>
      <ns0:c r="H40" s="9" t="n"/>
      <ns0:c r="I40" s="55" t="n"/>
      <ns0:c r="J40" s="45" t="n"/>
      <ns0:c r="K40" s="43" t="inlineStr">
        <ns0:is>
          <ns0:t>NG</ns0:t>
        </ns0:is>
      </ns0:c>
      <ns0:c r="L40" s="43" t="n">
        <ns0:v>12</ns0:v>
      </ns0:c>
      <ns0:c r="M40" s="43" t="inlineStr">
        <ns0:is>
          <ns0:t>OK</ns0:t>
        </ns0:is>
      </ns0:c>
      <ns0:c r="N40" s="43" t="n">
        <ns0:v>1</ns0:v>
      </ns0:c>
      <ns0:c r="O40" s="59" t="n"/>
      <ns0:c r="P40" s="14" t="n"/>
      <ns0:c r="Q40" s="57" t="n">
        <ns0:v>1</ns0:v>
      </ns0:c>
      <ns0:c r="R40" s="58" t="n">
        <ns0:v>0.78</ns0:v>
      </ns0:c>
      <ns0:c r="S40" s="48" t="n"/>
      <ns0:c r="T40" s="48" t="n"/>
      <ns0:c r="U40" s="39" t="n"/>
      <ns0:c r="V40" s="40" t="n"/>
      <ns0:c r="W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</ns0:row>
    <ns0:row r="41" ht="26.25" customHeight="1">
      <ns0:c r="B41" s="42" t="n"/>
      <ns0:c r="C41" s="48" t="n"/>
      <ns0:c r="D41" s="48" t="n"/>
      <ns0:c r="E41" s="8" t="n"/>
      <ns0:c r="F41" s="9" t="n"/>
      <ns0:c r="G41" s="8" t="n"/>
      <ns0:c r="H41" s="9" t="n"/>
      <ns0:c r="I41" s="8" t="n"/>
      <ns0:c r="J41" s="9" t="n"/>
      <ns0:c r="K41" s="55" t="n"/>
      <ns0:c r="L41" s="45" t="n"/>
      <ns0:c r="M41" s="43" t="inlineStr">
        <ns0:is>
          <ns0:t>NG</ns0:t>
        </ns0:is>
      </ns0:c>
      <ns0:c r="N41" s="43" t="n">
        <ns0:v>11</ns0:v>
      </ns0:c>
      <ns0:c r="O41" s="43" t="inlineStr">
        <ns0:is>
          <ns0:t>OK</ns0:t>
        </ns0:is>
      </ns0:c>
      <ns0:c r="P41" s="43" t="n">
        <ns0:v>0</ns0:v>
      </ns0:c>
      <ns0:c r="Q41" s="57" t="n">
        <ns0:v>0</ns0:v>
      </ns0:c>
      <ns0:c r="R41" s="58" t="n">
        <ns0:v>0.78</ns0:v>
      </ns0:c>
      <ns0:c r="S41" s="49" t="n"/>
      <ns0:c r="T41" s="48" t="n"/>
      <ns0:c r="U41" s="39" t="n"/>
      <ns0:c r="V41" s="40" t="n"/>
      <ns0:c r="W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</ns0:row>
    <ns0:row r="42" ht="26.25" customHeight="1">
      <ns0:c r="B42" s="42" t="n"/>
      <ns0:c r="C42" s="48" t="n"/>
      <ns0:c r="D42" s="48" t="n"/>
      <ns0:c r="E42" s="13" t="n"/>
      <ns0:c r="F42" s="15" t="n"/>
      <ns0:c r="G42" s="13" t="n"/>
      <ns0:c r="H42" s="15" t="n"/>
      <ns0:c r="I42" s="13" t="n"/>
      <ns0:c r="J42" s="15" t="n"/>
      <ns0:c r="K42" s="13" t="n"/>
      <ns0:c r="L42" s="15" t="n"/>
      <ns0:c r="M42" s="55" t="n"/>
      <ns0:c r="N42" s="60" t="n"/>
      <ns0:c r="O42" s="43" t="inlineStr">
        <ns0:is>
          <ns0:t>NG</ns0:t>
        </ns0:is>
      </ns0:c>
      <ns0:c r="P42" s="43" t="n">
        <ns0:v>11</ns0:v>
      </ns0:c>
      <ns0:c r="Q42" s="57" t="n"/>
      <ns0:c r="R42" s="60" t="n"/>
      <ns0:c r="S42" s="57" t="n">
        <ns0:v>11</ns0:v>
      </ns0:c>
      <ns0:c r="T42" s="49" t="n"/>
      <ns0:c r="U42" s="39" t="n"/>
      <ns0:c r="V42" s="40" t="n"/>
      <ns0:c r="W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</ns0:row>
    <ns0:row r="43" ht="26.25" customHeight="1">
      <ns0:c r="B43" s="42" t="n"/>
      <ns0:c r="C43" s="48" t="n"/>
      <ns0:c r="D43" s="48" t="n"/>
      <ns0:c r="E43" s="61" t="inlineStr">
        <ns0:is>
          <ns0:t>Noise</ns0:t>
        </ns0:is>
      </ns0:c>
      <ns0:c r="F43" s="61" t="n">
        <ns0:v>50</ns0:v>
      </ns0:c>
      <ns0:c r="G43" s="61" t="inlineStr">
        <ns0:is>
          <ns0:t>OK</ns0:t>
        </ns0:is>
      </ns0:c>
      <ns0:c r="H43" s="61" t="n">
        <ns0:v>22</ns0:v>
      </ns0:c>
      <ns0:c r="I43" s="63" t="n"/>
      <ns0:c r="J43" s="47" t="n"/>
      <ns0:c r="K43" s="47" t="n"/>
      <ns0:c r="L43" s="47" t="n"/>
      <ns0:c r="M43" s="47" t="n"/>
      <ns0:c r="N43" s="47" t="n"/>
      <ns0:c r="O43" s="47" t="n"/>
      <ns0:c r="P43" s="45" t="n"/>
      <ns0:c r="Q43" s="57" t="n">
        <ns0:v>22</ns0:v>
      </ns0:c>
      <ns0:c r="R43" s="53" t="n">
        <ns0:v>0.44</ns0:v>
      </ns0:c>
      <ns0:c r="S43" s="43" t="n">
        <ns0:v>26</ns0:v>
      </ns0:c>
      <ns0:c r="T43" s="54" t="n">
        <ns0:v>0.52</ns0:v>
      </ns0:c>
      <ns0:c r="U43" s="39" t="n"/>
      <ns0:c r="V43" s="40" t="n"/>
      <ns0:c r="W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</ns0:row>
    <ns0:row r="44" ht="26.25" customHeight="1">
      <ns0:c r="B44" s="42" t="n"/>
      <ns0:c r="C44" s="48" t="n"/>
      <ns0:c r="D44" s="48" t="n"/>
      <ns0:c r="E44" s="55" t="n"/>
      <ns0:c r="F44" s="45" t="n"/>
      <ns0:c r="G44" s="43" t="inlineStr">
        <ns0:is>
          <ns0:t>NG</ns0:t>
        </ns0:is>
      </ns0:c>
      <ns0:c r="H44" s="43" t="n">
        <ns0:v>28</ns0:v>
      </ns0:c>
      <ns0:c r="I44" s="43" t="inlineStr">
        <ns0:is>
          <ns0:t>OK</ns0:t>
        </ns0:is>
      </ns0:c>
      <ns0:c r="J44" s="43" t="n">
        <ns0:v>1</ns0:v>
      </ns0:c>
      <ns0:c r="K44" s="64" t="n"/>
      <ns0:c r="P44" s="9" t="n"/>
      <ns0:c r="Q44" s="57" t="n">
        <ns0:v>1</ns0:v>
      </ns0:c>
      <ns0:c r="R44" s="58" t="n">
        <ns0:v>0.46</ns0:v>
      </ns0:c>
      <ns0:c r="S44" s="48" t="n"/>
      <ns0:c r="T44" s="48" t="n"/>
      <ns0:c r="U44" s="39" t="n"/>
      <ns0:c r="V44" s="40" t="n"/>
      <ns0:c r="W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</ns0:row>
    <ns0:row r="45" ht="26.25" customHeight="1">
      <ns0:c r="B45" s="42" t="n"/>
      <ns0:c r="C45" s="48" t="n"/>
      <ns0:c r="D45" s="48" t="n"/>
      <ns0:c r="E45" s="8" t="n"/>
      <ns0:c r="F45" s="9" t="n"/>
      <ns0:c r="G45" s="55" t="n"/>
      <ns0:c r="H45" s="45" t="n"/>
      <ns0:c r="I45" s="43" t="inlineStr">
        <ns0:is>
          <ns0:t>NG</ns0:t>
        </ns0:is>
      </ns0:c>
      <ns0:c r="J45" s="43" t="n">
        <ns0:v>27</ns0:v>
      </ns0:c>
      <ns0:c r="K45" s="43" t="inlineStr">
        <ns0:is>
          <ns0:t>OK</ns0:t>
        </ns0:is>
      </ns0:c>
      <ns0:c r="L45" s="43" t="n">
        <ns0:v>2</ns0:v>
      </ns0:c>
      <ns0:c r="M45" s="64" t="n"/>
      <ns0:c r="P45" s="9" t="n"/>
      <ns0:c r="Q45" s="57" t="n">
        <ns0:v>2</ns0:v>
      </ns0:c>
      <ns0:c r="R45" s="58" t="n">
        <ns0:v>0.5</ns0:v>
      </ns0:c>
      <ns0:c r="S45" s="48" t="n"/>
      <ns0:c r="T45" s="48" t="n"/>
      <ns0:c r="U45" s="39" t="n"/>
      <ns0:c r="V45" s="40" t="n"/>
      <ns0:c r="W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</ns0:row>
    <ns0:row r="46" ht="26.25" customHeight="1">
      <ns0:c r="B46" s="42" t="n"/>
      <ns0:c r="C46" s="48" t="n"/>
      <ns0:c r="D46" s="48" t="n"/>
      <ns0:c r="E46" s="8" t="n"/>
      <ns0:c r="F46" s="9" t="n"/>
      <ns0:c r="G46" s="8" t="n"/>
      <ns0:c r="H46" s="9" t="n"/>
      <ns0:c r="I46" s="55" t="n"/>
      <ns0:c r="J46" s="45" t="n"/>
      <ns0:c r="K46" s="43" t="inlineStr">
        <ns0:is>
          <ns0:t>NG</ns0:t>
        </ns0:is>
      </ns0:c>
      <ns0:c r="L46" s="43" t="n">
        <ns0:v>25</ns0:v>
      </ns0:c>
      <ns0:c r="M46" s="43" t="inlineStr">
        <ns0:is>
          <ns0:t>OK</ns0:t>
        </ns0:is>
      </ns0:c>
      <ns0:c r="N46" s="43" t="n">
        <ns0:v>0</ns0:v>
      </ns0:c>
      <ns0:c r="O46" s="62" t="n"/>
      <ns0:c r="P46" s="62" t="n"/>
      <ns0:c r="Q46" s="57" t="n">
        <ns0:v>0</ns0:v>
      </ns0:c>
      <ns0:c r="R46" s="58" t="n">
        <ns0:v>0.5</ns0:v>
      </ns0:c>
      <ns0:c r="S46" s="48" t="n"/>
      <ns0:c r="T46" s="48" t="n"/>
      <ns0:c r="U46" s="39" t="n"/>
      <ns0:c r="V46" s="40" t="n"/>
      <ns0:c r="W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</ns0:row>
    <ns0:row r="47" ht="26.25" customHeight="1">
      <ns0:c r="B47" s="42" t="n"/>
      <ns0:c r="C47" s="48" t="n"/>
      <ns0:c r="D47" s="48" t="n"/>
      <ns0:c r="E47" s="8" t="n"/>
      <ns0:c r="F47" s="9" t="n"/>
      <ns0:c r="G47" s="8" t="n"/>
      <ns0:c r="H47" s="9" t="n"/>
      <ns0:c r="I47" s="8" t="n"/>
      <ns0:c r="J47" s="9" t="n"/>
      <ns0:c r="K47" s="55" t="n"/>
      <ns0:c r="L47" s="45" t="n"/>
      <ns0:c r="M47" s="43" t="inlineStr">
        <ns0:is>
          <ns0:t>NG</ns0:t>
        </ns0:is>
      </ns0:c>
      <ns0:c r="N47" s="43" t="n">
        <ns0:v>25</ns0:v>
      </ns0:c>
      <ns0:c r="O47" s="43" t="inlineStr">
        <ns0:is>
          <ns0:t>OK</ns0:t>
        </ns0:is>
      </ns0:c>
      <ns0:c r="P47" s="43" t="n">
        <ns0:v>1</ns0:v>
      </ns0:c>
      <ns0:c r="Q47" s="57" t="n">
        <ns0:v>1</ns0:v>
      </ns0:c>
      <ns0:c r="R47" s="58" t="n">
        <ns0:v>0.52</ns0:v>
      </ns0:c>
      <ns0:c r="S47" s="49" t="n"/>
      <ns0:c r="T47" s="48" t="n"/>
      <ns0:c r="U47" s="39" t="n"/>
      <ns0:c r="V47" s="40" t="n"/>
      <ns0:c r="W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</ns0:row>
    <ns0:row r="48" ht="26.25" customHeight="1">
      <ns0:c r="B48" s="42" t="n"/>
      <ns0:c r="C48" s="49" t="n"/>
      <ns0:c r="D48" s="49" t="n"/>
      <ns0:c r="E48" s="13" t="n"/>
      <ns0:c r="F48" s="15" t="n"/>
      <ns0:c r="G48" s="13" t="n"/>
      <ns0:c r="H48" s="15" t="n"/>
      <ns0:c r="I48" s="13" t="n"/>
      <ns0:c r="J48" s="15" t="n"/>
      <ns0:c r="K48" s="13" t="n"/>
      <ns0:c r="L48" s="15" t="n"/>
      <ns0:c r="M48" s="55" t="n"/>
      <ns0:c r="N48" s="60" t="n"/>
      <ns0:c r="O48" s="43" t="inlineStr">
        <ns0:is>
          <ns0:t>NG</ns0:t>
        </ns0:is>
      </ns0:c>
      <ns0:c r="P48" s="43" t="n">
        <ns0:v>24</ns0:v>
      </ns0:c>
      <ns0:c r="Q48" s="57" t="n"/>
      <ns0:c r="R48" s="60" t="n"/>
      <ns0:c r="S48" s="57" t="n">
        <ns0:v>24</ns0:v>
      </ns0:c>
      <ns0:c r="T48" s="49" t="n"/>
      <ns0:c r="U48" s="39" t="n"/>
      <ns0:c r="V48" s="40" t="n"/>
      <ns0:c r="W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</ns0:row>
    <ns0:row r="49" ht="26.25" customHeight="1">
      <ns0:c r="B49" s="42" t="n"/>
      <ns0:c r="C49" s="36" t="n"/>
      <ns0:c r="D49" s="36" t="n"/>
      <ns0:c r="E49" s="36" t="n"/>
      <ns0:c r="F49" s="36" t="n"/>
      <ns0:c r="G49" s="37" t="n"/>
      <ns0:c r="H49" s="37" t="n"/>
      <ns0:c r="I49" s="38" t="n"/>
      <ns0:c r="J49" s="38" t="n"/>
      <ns0:c r="K49" s="38" t="n"/>
      <ns0:c r="L49" s="39" t="n"/>
      <ns0:c r="M49" s="38" t="n"/>
      <ns0:c r="N49" s="38" t="n"/>
      <ns0:c r="O49" s="38" t="n"/>
      <ns0:c r="P49" s="38" t="n"/>
      <ns0:c r="Q49" s="38" t="n"/>
      <ns0:c r="R49" s="38" t="n"/>
      <ns0:c r="S49" s="38" t="n"/>
      <ns0:c r="T49" s="38" t="n"/>
      <ns0:c r="U49" s="39" t="n"/>
      <ns0:c r="V49" s="40" t="n"/>
      <ns0:c r="W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</ns0:row>
    <ns0:row r="50" ht="26.25" customHeight="1">
      <ns0:c r="B50" s="65" t="inlineStr">
        <ns0:is>
          <ns0:t xml:space="preserve">  2) Small Qty Test</ns0:t>
        </ns0:is>
      </ns0:c>
      <ns0:c r="C50" s="66" t="n"/>
      <ns0:c r="D50" s="66" t="n"/>
      <ns0:c r="E50" s="66" t="n"/>
      <ns0:c r="F50" s="66" t="n"/>
      <ns0:c r="G50" s="67" t="n"/>
      <ns0:c r="H50" s="67" t="n"/>
      <ns0:c r="I50" s="68" t="n"/>
      <ns0:c r="J50" s="68" t="n"/>
      <ns0:c r="K50" s="68" t="n"/>
      <ns0:c r="L50" s="69" t="n"/>
      <ns0:c r="M50" s="68" t="n"/>
      <ns0:c r="N50" s="68" t="n"/>
      <ns0:c r="O50" s="68" t="n"/>
      <ns0:c r="P50" s="68" t="n"/>
      <ns0:c r="Q50" s="68" t="n"/>
      <ns0:c r="R50" s="68" t="n"/>
      <ns0:c r="S50" s="68" t="n"/>
      <ns0:c r="T50" s="68" t="n"/>
      <ns0:c r="U50" s="69" t="n"/>
      <ns0:c r="V50" s="70" t="n"/>
      <ns0:c r="W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</ns0:row>
    <ns0:row r="51" ht="26.25" customHeight="1">
      <ns0:c r="B51" s="71" t="inlineStr">
        <ns0:is>
          <ns0:t xml:space="preserve">     . Applying Repair 1st</ns0:t>
        </ns0:is>
      </ns0:c>
      <ns0:c r="C51" s="36" t="n"/>
      <ns0:c r="D51" s="36" t="n"/>
      <ns0:c r="E51" s="36" t="n"/>
      <ns0:c r="F51" s="36" t="n"/>
      <ns0:c r="G51" s="37" t="n"/>
      <ns0:c r="H51" s="37" t="n"/>
      <ns0:c r="I51" s="38" t="n"/>
      <ns0:c r="J51" s="38" t="n"/>
      <ns0:c r="K51" s="38" t="n"/>
      <ns0:c r="L51" s="39" t="n"/>
      <ns0:c r="M51" s="38" t="n"/>
      <ns0:c r="N51" s="38" t="n"/>
      <ns0:c r="O51" s="38" t="n"/>
      <ns0:c r="P51" s="38" t="n"/>
      <ns0:c r="Q51" s="38" t="n"/>
      <ns0:c r="R51" s="38" t="n"/>
      <ns0:c r="S51" s="38" t="n"/>
      <ns0:c r="T51" s="38" t="n"/>
      <ns0:c r="U51" s="39" t="n"/>
      <ns0:c r="V51" s="40" t="n"/>
      <ns0:c r="W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</ns0:row>
    <ns0:row r="52" ht="26.25" customHeight="1">
      <ns0:c r="B52" s="71" t="inlineStr">
        <ns0:is>
          <ns0:t xml:space="preserve">     . S921B Module Input Test</ns0:t>
        </ns0:is>
      </ns0:c>
      <ns0:c r="C52" s="36" t="n"/>
      <ns0:c r="D52" s="36" t="n"/>
      <ns0:c r="E52" s="36" t="n"/>
      <ns0:c r="F52" s="36" t="n"/>
      <ns0:c r="G52" s="37" t="n"/>
      <ns0:c r="H52" s="37" t="n"/>
      <ns0:c r="I52" s="38" t="n"/>
      <ns0:c r="J52" s="38" t="n"/>
      <ns0:c r="K52" s="38" t="n"/>
      <ns0:c r="L52" s="39" t="n"/>
      <ns0:c r="M52" s="38" t="n"/>
      <ns0:c r="N52" s="38" t="n"/>
      <ns0:c r="O52" s="38" t="n"/>
      <ns0:c r="P52" s="38" t="n"/>
      <ns0:c r="Q52" s="38" t="n"/>
      <ns0:c r="R52" s="38" t="n"/>
      <ns0:c r="S52" s="38" t="n"/>
      <ns0:c r="T52" s="38" t="n"/>
      <ns0:c r="U52" s="39" t="n"/>
      <ns0:c r="V52" s="40" t="n"/>
      <ns0:c r="W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</ns0:row>
    <ns0:row r="53" ht="26.25" customHeight="1">
      <ns0:c r="B53" s="41" t="inlineStr">
        <ns0:is>
          <ns0:t xml:space="preserve">       ▶ Exist Valid in 161016</ns0:t>
        </ns0:is>
      </ns0:c>
      <ns0:c r="C53" s="36" t="n"/>
      <ns0:c r="D53" s="36" t="n"/>
      <ns0:c r="E53" s="36" t="n"/>
      <ns0:c r="F53" s="36" t="n"/>
      <ns0:c r="G53" s="37" t="n"/>
      <ns0:c r="H53" s="37" t="n"/>
      <ns0:c r="I53" s="38" t="n"/>
      <ns0:c r="J53" s="38" t="n"/>
      <ns0:c r="K53" s="38" t="n"/>
      <ns0:c r="L53" s="39" t="n"/>
      <ns0:c r="M53" s="38" t="n"/>
      <ns0:c r="N53" s="38" t="n"/>
      <ns0:c r="O53" s="38" t="n"/>
      <ns0:c r="P53" s="38" t="n"/>
      <ns0:c r="Q53" s="38" t="n"/>
      <ns0:c r="R53" s="38" t="n"/>
      <ns0:c r="S53" s="38" t="n"/>
      <ns0:c r="T53" s="38" t="n"/>
      <ns0:c r="U53" s="39" t="n"/>
      <ns0:c r="V53" s="40" t="n"/>
      <ns0:c r="W53" s="28" t="n"/>
      <ns0:c r="Y53" s="28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</ns0:row>
    <ns0:row r="54" ht="26.25" customHeight="1">
      <ns0:c r="B54" s="42" t="n"/>
      <ns0:c r="C54" s="72" t="inlineStr">
        <ns0:is>
          <ns0:t>■ BRS-161016 SPK</ns0:t>
        </ns0:is>
      </ns0:c>
      <ns0:c r="I54" s="72" t="inlineStr">
        <ns0:is>
          <ns0:t>■ MSM-S921B</ns0:t>
        </ns0:is>
      </ns0:c>
      <ns0:c r="S54" s="38" t="n"/>
      <ns0:c r="T54" s="38" t="n"/>
      <ns0:c r="U54" s="39" t="n"/>
      <ns0:c r="V54" s="40" t="n"/>
      <ns0:c r="W54" s="28" t="n"/>
      <ns0:c r="Y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</ns0:row>
    <ns0:row r="55" ht="21" customHeight="1">
      <ns0:c r="B55" s="42" t="n"/>
      <ns0:c r="C55" s="73" t="inlineStr">
        <ns0:is>
          <ns0:t>NG Type</ns0:t>
        </ns0:is>
      </ns0:c>
      <ns0:c r="D55" s="47" t="n"/>
      <ns0:c r="E55" s="45" t="n"/>
      <ns0:c r="F55" s="74" t="inlineStr">
        <ns0:is>
          <ns0:t>NG Hearing</ns0:t>
        </ns0:is>
      </ns0:c>
      <ns0:c r="G55" s="45" t="n"/>
      <ns0:c r="H55" s="75" t="n"/>
      <ns0:c r="I55" s="73" t="inlineStr">
        <ns0:is>
          <ns0:t>Item</ns0:t>
        </ns0:is>
      </ns0:c>
      <ns0:c r="J55" s="45" t="n"/>
      <ns0:c r="K55" s="76" t="inlineStr">
        <ns0:is>
          <ns0:t>SPK repair 
NG hearing</ns0:t>
        </ns0:is>
      </ns0:c>
      <ns0:c r="L55" s="45" t="n"/>
      <ns0:c r="M55" s="77" t="inlineStr">
        <ns0:is>
          <ns0:t xml:space="preserve">Normal </ns0:t>
        </ns0:is>
      </ns0:c>
      <ns0:c r="N55" s="45" t="n"/>
      <ns0:c r="O55" s="76" t="inlineStr">
        <ns0:is>
          <ns0:t>SPK repair 
NG hearing</ns0:t>
        </ns0:is>
      </ns0:c>
      <ns0:c r="P55" s="45" t="n"/>
      <ns0:c r="Q55" s="77" t="inlineStr">
        <ns0:is>
          <ns0:t xml:space="preserve">Normal </ns0:t>
        </ns0:is>
      </ns0:c>
      <ns0:c r="R55" s="45" t="n"/>
      <ns0:c r="S55" s="38" t="n"/>
      <ns0:c r="T55" s="38" t="n"/>
      <ns0:c r="U55" s="39" t="n"/>
      <ns0:c r="V55" s="40" t="n"/>
      <ns0:c r="W55" s="28" t="n"/>
      <ns0:c r="Y55" s="28" t="n"/>
      <ns0:c r="Z55" s="28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</ns0:row>
    <ns0:row r="56" ht="26.25" customHeight="1">
      <ns0:c r="B56" s="42" t="n"/>
      <ns0:c r="C56" s="13" t="n"/>
      <ns0:c r="D56" s="14" t="n"/>
      <ns0:c r="E56" s="15" t="n"/>
      <ns0:c r="F56" s="13" t="n"/>
      <ns0:c r="G56" s="15" t="n"/>
      <ns0:c r="H56" s="75" t="n"/>
      <ns0:c r="I56" s="13" t="n"/>
      <ns0:c r="J56" s="15" t="n"/>
      <ns0:c r="K56" s="13" t="n"/>
      <ns0:c r="L56" s="15" t="n"/>
      <ns0:c r="M56" s="13" t="n"/>
      <ns0:c r="N56" s="15" t="n"/>
      <ns0:c r="O56" s="13" t="n"/>
      <ns0:c r="P56" s="15" t="n"/>
      <ns0:c r="Q56" s="13" t="n"/>
      <ns0:c r="R56" s="15" t="n"/>
      <ns0:c r="S56" s="38" t="n"/>
      <ns0:c r="T56" s="38" t="n"/>
      <ns0:c r="U56" s="39" t="n"/>
      <ns0:c r="V56" s="40" t="n"/>
      <ns0:c r="W56" s="28" t="n"/>
      <ns0:c r="Y56" s="28" t="n"/>
      <ns0:c r="Z56" s="28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</ns0:row>
    <ns0:row r="57" ht="26.25" customHeight="1">
      <ns0:c r="B57" s="42" t="n"/>
      <ns0:c r="C57" s="74" t="inlineStr">
        <ns0:is>
          <ns0:t>Input</ns0:t>
        </ns0:is>
      </ns0:c>
      <ns0:c r="D57" s="18" t="n"/>
      <ns0:c r="E57" s="60" t="n"/>
      <ns0:c r="F57" s="78" t="n">
        <ns0:v>54</ns0:v>
      </ns0:c>
      <ns0:c r="G57" s="60" t="n"/>
      <ns0:c r="H57" s="75" t="n"/>
      <ns0:c r="I57" s="73" t="inlineStr">
        <ns0:is>
          <ns0:t>Module Repair</ns0:t>
        </ns0:is>
      </ns0:c>
      <ns0:c r="J57" s="60" t="n"/>
      <ns0:c r="K57" s="77" t="inlineStr">
        <ns0:is>
          <ns0:t>Before</ns0:t>
        </ns0:is>
      </ns0:c>
      <ns0:c r="L57" s="18" t="n"/>
      <ns0:c r="M57" s="18" t="n"/>
      <ns0:c r="N57" s="60" t="n"/>
      <ns0:c r="O57" s="77" t="inlineStr">
        <ns0:is>
          <ns0:t>After</ns0:t>
        </ns0:is>
      </ns0:c>
      <ns0:c r="P57" s="18" t="n"/>
      <ns0:c r="Q57" s="18" t="n"/>
      <ns0:c r="R57" s="60" t="n"/>
      <ns0:c r="S57" s="38" t="n"/>
      <ns0:c r="T57" s="38" t="n"/>
      <ns0:c r="U57" s="39" t="n"/>
      <ns0:c r="V57" s="40" t="n"/>
      <ns0:c r="W57" s="28" t="n"/>
      <ns0:c r="Y57" s="28" t="n"/>
      <ns0:c r="Z57" s="28" t="n"/>
      <ns0:c r="AA57" s="28" t="n"/>
      <ns0:c r="AB57" s="28" t="n"/>
      <ns0:c r="AC57" s="28" t="n"/>
      <ns0:c r="AD57" s="28" t="n"/>
      <ns0:c r="AE57" s="28" t="n"/>
      <ns0:c r="AF57" s="28" t="n"/>
      <ns0:c r="AG57" s="28" t="n"/>
      <ns0:c r="AH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</ns0:row>
    <ns0:row r="58" ht="26.25" customHeight="1">
      <ns0:c r="B58" s="42" t="n"/>
      <ns0:c r="C58" s="74" t="inlineStr">
        <ns0:is>
          <ns0:t>Sub 4</ns0:t>
        </ns0:is>
      </ns0:c>
      <ns0:c r="D58" s="45" t="n"/>
      <ns0:c r="E58" s="74" t="inlineStr">
        <ns0:is>
          <ns0:t>Air leak</ns0:t>
        </ns0:is>
      </ns0:c>
      <ns0:c r="F58" s="78" t="n">
        <ns0:v>1</ns0:v>
      </ns0:c>
      <ns0:c r="G58" s="77" t="n">
        <ns0:v>0.01851851851851852</ns0:v>
      </ns0:c>
      <ns0:c r="H58" s="75" t="n"/>
      <ns0:c r="I58" s="73" t="inlineStr">
        <ns0:is>
          <ns0:t>Input</ns0:t>
        </ns0:is>
      </ns0:c>
      <ns0:c r="J58" s="60" t="n"/>
      <ns0:c r="K58" s="77" t="n">
        <ns0:v>36</ns0:v>
      </ns0:c>
      <ns0:c r="L58" s="60" t="n"/>
      <ns0:c r="M58" s="77" t="n">
        <ns0:v>50</ns0:v>
      </ns0:c>
      <ns0:c r="N58" s="60" t="n"/>
      <ns0:c r="O58" s="77" t="n">
        <ns0:v>36</ns0:v>
      </ns0:c>
      <ns0:c r="P58" s="60" t="n"/>
      <ns0:c r="Q58" s="77" t="n">
        <ns0:v>50</ns0:v>
      </ns0:c>
      <ns0:c r="R58" s="60" t="n"/>
      <ns0:c r="S58" s="38" t="n"/>
      <ns0:c r="T58" s="38" t="n"/>
      <ns0:c r="U58" s="39" t="n"/>
      <ns0:c r="V58" s="40" t="n"/>
      <ns0:c r="W58" s="28" t="n"/>
      <ns0:c r="Y58" s="28" t="n"/>
      <ns0:c r="Z58" s="28" t="n"/>
      <ns0:c r="AA58" s="28" t="n"/>
      <ns0:c r="AB58" s="28" t="n"/>
      <ns0:c r="AC58" s="28" t="n"/>
      <ns0:c r="AD58" s="28" t="n"/>
      <ns0:c r="AE58" s="28" t="n"/>
      <ns0:c r="AF58" s="28" t="n"/>
      <ns0:c r="AG58" s="28" t="n"/>
      <ns0:c r="AH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</ns0:row>
    <ns0:row r="59" ht="27" customHeight="1">
      <ns0:c r="B59" s="42" t="n"/>
      <ns0:c r="C59" s="8" t="n"/>
      <ns0:c r="D59" s="9" t="n"/>
      <ns0:c r="E59" s="74" t="inlineStr">
        <ns0:is>
          <ns0:t>Long VP separate</ns0:t>
        </ns0:is>
      </ns0:c>
      <ns0:c r="F59" s="78" t="n">
        <ns0:v>6</ns0:v>
      </ns0:c>
      <ns0:c r="G59" s="77" t="n">
        <ns0:v>0.1111111111111111</ns0:v>
      </ns0:c>
      <ns0:c r="H59" s="75" t="n"/>
      <ns0:c r="I59" s="73" t="inlineStr">
        <ns0:is>
          <ns0:t>OK</ns0:t>
        </ns0:is>
      </ns0:c>
      <ns0:c r="J59" s="60" t="n"/>
      <ns0:c r="K59" s="77" t="n">
        <ns0:v>35</ns0:v>
      </ns0:c>
      <ns0:c r="L59" s="77" t="n">
        <ns0:v>0.9722222222222222</ns0:v>
      </ns0:c>
      <ns0:c r="M59" s="77" t="n">
        <ns0:v>50</ns0:v>
      </ns0:c>
      <ns0:c r="N59" s="77" t="n">
        <ns0:v>1</ns0:v>
      </ns0:c>
      <ns0:c r="O59" s="77" t="n">
        <ns0:v>36</ns0:v>
      </ns0:c>
      <ns0:c r="P59" s="77" t="n">
        <ns0:v>1</ns0:v>
      </ns0:c>
      <ns0:c r="Q59" s="77" t="n">
        <ns0:v>50</ns0:v>
      </ns0:c>
      <ns0:c r="R59" s="77" t="n">
        <ns0:v>1</ns0:v>
      </ns0:c>
      <ns0:c r="S59" s="38" t="n"/>
      <ns0:c r="T59" s="38" t="n"/>
      <ns0:c r="U59" s="39" t="n"/>
      <ns0:c r="V59" s="40" t="n"/>
      <ns0:c r="W59" s="28" t="n"/>
      <ns0:c r="Y59" s="28" t="n"/>
      <ns0:c r="Z59" s="28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</ns0:row>
    <ns0:row r="60" ht="26.25" customHeight="1">
      <ns0:c r="B60" s="42" t="n"/>
      <ns0:c r="C60" s="13" t="n"/>
      <ns0:c r="D60" s="15" t="n"/>
      <ns0:c r="E60" s="73" t="inlineStr">
        <ns0:is>
          <ns0:t>Over glue FS</ns0:t>
        </ns0:is>
      </ns0:c>
      <ns0:c r="F60" s="78" t="n">
        <ns0:v>2</ns0:v>
      </ns0:c>
      <ns0:c r="G60" s="77" t="n">
        <ns0:v>0.03703703703703703</ns0:v>
      </ns0:c>
      <ns0:c r="H60" s="75" t="n"/>
      <ns0:c r="I60" s="73" t="inlineStr">
        <ns0:is>
          <ns0:t>NG</ns0:t>
        </ns0:is>
      </ns0:c>
      <ns0:c r="J60" s="73" t="inlineStr">
        <ns0:is>
          <ns0:t>Bako</ns0:t>
        </ns0:is>
      </ns0:c>
      <ns0:c r="K60" s="77" t="n">
        <ns0:v>0</ns0:v>
      </ns0:c>
      <ns0:c r="L60" s="77" t="n">
        <ns0:v>0</ns0:v>
      </ns0:c>
      <ns0:c r="M60" s="77" t="n">
        <ns0:v>0</ns0:v>
      </ns0:c>
      <ns0:c r="N60" s="77" t="n">
        <ns0:v>0</ns0:v>
      </ns0:c>
      <ns0:c r="O60" s="77" t="n">
        <ns0:v>0</ns0:v>
      </ns0:c>
      <ns0:c r="P60" s="77" t="n">
        <ns0:v>0</ns0:v>
      </ns0:c>
      <ns0:c r="Q60" s="77" t="n">
        <ns0:v>0</ns0:v>
      </ns0:c>
      <ns0:c r="R60" s="77" t="n">
        <ns0:v>0</ns0:v>
      </ns0:c>
      <ns0:c r="S60" s="38" t="n"/>
      <ns0:c r="T60" s="38" t="n"/>
      <ns0:c r="U60" s="39" t="n"/>
      <ns0:c r="V60" s="40" t="n"/>
      <ns0:c r="W60" s="28" t="n"/>
      <ns0:c r="Y60" s="28" t="n"/>
      <ns0:c r="Z60" s="28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</ns0:row>
    <ns0:row r="61" ht="26.25" customHeight="1">
      <ns0:c r="B61" s="42" t="n"/>
      <ns0:c r="C61" s="73" t="inlineStr">
        <ns0:is>
          <ns0:t>Input</ns0:t>
        </ns0:is>
      </ns0:c>
      <ns0:c r="D61" s="18" t="n"/>
      <ns0:c r="E61" s="60" t="n"/>
      <ns0:c r="F61" s="78" t="n">
        <ns0:v>45</ns0:v>
      </ns0:c>
      <ns0:c r="G61" s="60" t="n"/>
      <ns0:c r="H61" s="75" t="n"/>
      <ns0:c r="I61" s="48" t="n"/>
      <ns0:c r="J61" s="73" t="inlineStr">
        <ns0:is>
          <ns0:t>Hearing 1</ns0:t>
        </ns0:is>
      </ns0:c>
      <ns0:c r="K61" s="77" t="n">
        <ns0:v>1</ns0:v>
      </ns0:c>
      <ns0:c r="L61" s="77" t="n">
        <ns0:v>0.02777777777777778</ns0:v>
      </ns0:c>
      <ns0:c r="M61" s="77" t="n">
        <ns0:v>0</ns0:v>
      </ns0:c>
      <ns0:c r="N61" s="77" t="n">
        <ns0:v>0</ns0:v>
      </ns0:c>
      <ns0:c r="O61" s="77" t="n">
        <ns0:v>0</ns0:v>
      </ns0:c>
      <ns0:c r="P61" s="77" t="n">
        <ns0:v>0</ns0:v>
      </ns0:c>
      <ns0:c r="Q61" s="77" t="n">
        <ns0:v>0</ns0:v>
      </ns0:c>
      <ns0:c r="R61" s="77" t="n">
        <ns0:v>0</ns0:v>
      </ns0:c>
      <ns0:c r="S61" s="38" t="n"/>
      <ns0:c r="T61" s="38" t="n"/>
      <ns0:c r="U61" s="39" t="n"/>
      <ns0:c r="V61" s="40" t="n"/>
      <ns0:c r="W61" s="28" t="n"/>
      <ns0:c r="Y61" s="28" t="n"/>
      <ns0:c r="Z61" s="28" t="n"/>
      <ns0:c r="AA61" s="28" t="n"/>
      <ns0:c r="AB61" s="28" t="n"/>
      <ns0:c r="AC61" s="28" t="n"/>
      <ns0:c r="AD61" s="28" t="n"/>
      <ns0:c r="AE61" s="28" t="n"/>
      <ns0:c r="AF61" s="28" t="n"/>
      <ns0:c r="AG61" s="28" t="n"/>
      <ns0:c r="AH61" s="28" t="n"/>
      <ns0:c r="AI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</ns0:row>
    <ns0:row r="62" ht="26.25" customHeight="1">
      <ns0:c r="B62" s="42" t="n"/>
      <ns0:c r="C62" s="73" t="inlineStr">
        <ns0:is>
          <ns0:t>Sigma</ns0:t>
        </ns0:is>
      </ns0:c>
      <ns0:c r="D62" s="45" t="n"/>
      <ns0:c r="E62" s="73" t="inlineStr">
        <ns0:is>
          <ns0:t>OK</ns0:t>
        </ns0:is>
      </ns0:c>
      <ns0:c r="F62" s="78" t="n">
        <ns0:v>45</ns0:v>
      </ns0:c>
      <ns0:c r="G62" s="77" t="n"/>
      <ns0:c r="H62" s="75" t="n"/>
      <ns0:c r="I62" s="48" t="n"/>
      <ns0:c r="J62" s="73" t="inlineStr">
        <ns0:is>
          <ns0:t>Hearing 2</ns0:t>
        </ns0:is>
      </ns0:c>
      <ns0:c r="K62" s="77" t="n">
        <ns0:v>0</ns0:v>
      </ns0:c>
      <ns0:c r="L62" s="77" t="n">
        <ns0:v>0</ns0:v>
      </ns0:c>
      <ns0:c r="M62" s="77" t="n">
        <ns0:v>0</ns0:v>
      </ns0:c>
      <ns0:c r="N62" s="77" t="n">
        <ns0:v>0</ns0:v>
      </ns0:c>
      <ns0:c r="O62" s="77" t="n">
        <ns0:v>0</ns0:v>
      </ns0:c>
      <ns0:c r="P62" s="77" t="n">
        <ns0:v>0</ns0:v>
      </ns0:c>
      <ns0:c r="Q62" s="77" t="n">
        <ns0:v>0</ns0:v>
      </ns0:c>
      <ns0:c r="R62" s="77" t="n">
        <ns0:v>0</ns0:v>
      </ns0:c>
      <ns0:c r="S62" s="38" t="n"/>
      <ns0:c r="T62" s="38" t="n"/>
      <ns0:c r="U62" s="39" t="n"/>
      <ns0:c r="V62" s="40" t="n"/>
      <ns0:c r="W62" s="28" t="n"/>
      <ns0:c r="Y62" s="28" t="n"/>
      <ns0:c r="Z62" s="28" t="n"/>
      <ns0:c r="AA62" s="28" t="n"/>
      <ns0:c r="AB62" s="28" t="n"/>
      <ns0:c r="AC62" s="28" t="n"/>
      <ns0:c r="AD62" s="28" t="n"/>
      <ns0:c r="AE62" s="28" t="n"/>
      <ns0:c r="AF62" s="28" t="n"/>
      <ns0:c r="AG62" s="28" t="n"/>
      <ns0:c r="AH62" s="28" t="n"/>
      <ns0:c r="AI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</ns0:row>
    <ns0:row r="63" ht="26.25" customHeight="1">
      <ns0:c r="B63" s="42" t="n"/>
      <ns0:c r="C63" s="13" t="n"/>
      <ns0:c r="D63" s="15" t="n"/>
      <ns0:c r="E63" s="73" t="inlineStr">
        <ns0:is>
          <ns0:t>NG</ns0:t>
        </ns0:is>
      </ns0:c>
      <ns0:c r="F63" s="78" t="n">
        <ns0:v>0</ns0:v>
      </ns0:c>
      <ns0:c r="G63" s="77" t="n">
        <ns0:v>0</ns0:v>
      </ns0:c>
      <ns0:c r="H63" s="75" t="n"/>
      <ns0:c r="I63" s="49" t="n"/>
      <ns0:c r="J63" s="73" t="inlineStr">
        <ns0:is>
          <ns0:t>Air leak</ns0:t>
        </ns0:is>
      </ns0:c>
      <ns0:c r="K63" s="77" t="n">
        <ns0:v>0</ns0:v>
      </ns0:c>
      <ns0:c r="L63" s="77" t="n">
        <ns0:v>0</ns0:v>
      </ns0:c>
      <ns0:c r="M63" s="77" t="n">
        <ns0:v>0</ns0:v>
      </ns0:c>
      <ns0:c r="N63" s="77" t="n">
        <ns0:v>0</ns0:v>
      </ns0:c>
      <ns0:c r="O63" s="77" t="n">
        <ns0:v>0</ns0:v>
      </ns0:c>
      <ns0:c r="P63" s="77" t="n">
        <ns0:v>0</ns0:v>
      </ns0:c>
      <ns0:c r="Q63" s="77" t="n">
        <ns0:v>0</ns0:v>
      </ns0:c>
      <ns0:c r="R63" s="77" t="n">
        <ns0:v>0</ns0:v>
      </ns0:c>
      <ns0:c r="S63" s="38" t="n"/>
      <ns0:c r="T63" s="38" t="n"/>
      <ns0:c r="U63" s="39" t="n"/>
      <ns0:c r="V63" s="40" t="n"/>
      <ns0:c r="W63" s="28" t="n"/>
      <ns0:c r="Y63" s="28" t="n"/>
      <ns0:c r="Z63" s="28" t="n"/>
      <ns0:c r="AA63" s="28" t="n"/>
      <ns0:c r="AB63" s="28" t="n"/>
      <ns0:c r="AC63" s="28" t="n"/>
      <ns0:c r="AD63" s="28" t="n"/>
      <ns0:c r="AE63" s="28" t="n"/>
      <ns0:c r="AF63" s="28" t="n"/>
      <ns0:c r="AG63" s="28" t="n"/>
      <ns0:c r="AH63" s="28" t="n"/>
      <ns0:c r="AI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</ns0:row>
    <ns0:row r="64" ht="26.25" customHeight="1">
      <ns0:c r="B64" s="42" t="n"/>
      <ns0:c r="C64" s="73" t="inlineStr">
        <ns0:is>
          <ns0:t>Hearing</ns0:t>
        </ns0:is>
      </ns0:c>
      <ns0:c r="D64" s="45" t="n"/>
      <ns0:c r="E64" s="73" t="inlineStr">
        <ns0:is>
          <ns0:t>OK</ns0:t>
        </ns0:is>
      </ns0:c>
      <ns0:c r="F64" s="78" t="n">
        <ns0:v>37</ns0:v>
      </ns0:c>
      <ns0:c r="G64" s="77" t="n"/>
      <ns0:c r="H64" s="75" t="n"/>
      <ns0:c r="I64" s="73" t="inlineStr">
        <ns0:is>
          <ns0:t>Total NG</ns0:t>
        </ns0:is>
      </ns0:c>
      <ns0:c r="J64" s="60" t="n"/>
      <ns0:c r="K64" s="77" t="n">
        <ns0:v>1</ns0:v>
      </ns0:c>
      <ns0:c r="L64" s="60" t="n"/>
      <ns0:c r="M64" s="77" t="n">
        <ns0:v>0</ns0:v>
      </ns0:c>
      <ns0:c r="N64" s="60" t="n"/>
      <ns0:c r="O64" s="77" t="n">
        <ns0:v>0</ns0:v>
      </ns0:c>
      <ns0:c r="P64" s="60" t="n"/>
      <ns0:c r="Q64" s="77" t="n">
        <ns0:v>0</ns0:v>
      </ns0:c>
      <ns0:c r="R64" s="60" t="n"/>
      <ns0:c r="S64" s="38" t="n"/>
      <ns0:c r="T64" s="38" t="n"/>
      <ns0:c r="U64" s="39" t="n"/>
      <ns0:c r="V64" s="40" t="n"/>
      <ns0:c r="W64" s="28" t="n"/>
      <ns0:c r="Y64" s="28" t="n"/>
      <ns0:c r="Z64" s="28" t="n"/>
      <ns0:c r="AA64" s="28" t="n"/>
      <ns0:c r="AB64" s="28" t="n"/>
      <ns0:c r="AC64" s="28" t="n"/>
      <ns0:c r="AD64" s="28" t="n"/>
      <ns0:c r="AE64" s="28" t="n"/>
      <ns0:c r="AF64" s="28" t="n"/>
      <ns0:c r="AG64" s="28" t="n"/>
      <ns0:c r="AH64" s="28" t="n"/>
      <ns0:c r="AI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</ns0:row>
    <ns0:row r="65" ht="26.25" customHeight="1">
      <ns0:c r="B65" s="42" t="n"/>
      <ns0:c r="C65" s="13" t="n"/>
      <ns0:c r="D65" s="15" t="n"/>
      <ns0:c r="E65" s="73" t="inlineStr">
        <ns0:is>
          <ns0:t>NG</ns0:t>
        </ns0:is>
      </ns0:c>
      <ns0:c r="F65" s="78" t="n">
        <ns0:v>8</ns0:v>
      </ns0:c>
      <ns0:c r="G65" s="77" t="n">
        <ns0:v>0.1481481481481481</ns0:v>
      </ns0:c>
      <ns0:c r="H65" s="75" t="n"/>
      <ns0:c r="I65" s="73" t="inlineStr">
        <ns0:is>
          <ns0:t>NG rate</ns0:t>
        </ns0:is>
      </ns0:c>
      <ns0:c r="J65" s="60" t="n"/>
      <ns0:c r="K65" s="79" t="n">
        <ns0:v>0.02777777777777778</ns0:v>
      </ns0:c>
      <ns0:c r="L65" s="60" t="n"/>
      <ns0:c r="M65" s="77" t="n">
        <ns0:v>0</ns0:v>
      </ns0:c>
      <ns0:c r="N65" s="60" t="n"/>
      <ns0:c r="O65" s="80" t="n">
        <ns0:v>0</ns0:v>
      </ns0:c>
      <ns0:c r="P65" s="60" t="n"/>
      <ns0:c r="Q65" s="77" t="n">
        <ns0:v>0</ns0:v>
      </ns0:c>
      <ns0:c r="R65" s="60" t="n"/>
      <ns0:c r="S65" s="38" t="n"/>
      <ns0:c r="T65" s="38" t="n"/>
      <ns0:c r="U65" s="39" t="n"/>
      <ns0:c r="V65" s="40" t="n"/>
      <ns0:c r="W65" s="28" t="n"/>
      <ns0:c r="Y65" s="28" t="n"/>
      <ns0:c r="Z65" s="28" t="n"/>
      <ns0:c r="AA65" s="28" t="n"/>
      <ns0:c r="AB65" s="28" t="n"/>
      <ns0:c r="AC65" s="28" t="n"/>
      <ns0:c r="AD65" s="28" t="n"/>
      <ns0:c r="AE65" s="28" t="n"/>
      <ns0:c r="AF65" s="28" t="n"/>
      <ns0:c r="AG65" s="28" t="n"/>
      <ns0:c r="AH65" s="28" t="n"/>
      <ns0:c r="AI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</ns0:row>
    <ns0:row r="66" ht="26.25" customHeight="1">
      <ns0:c r="B66" s="42" t="n"/>
      <ns0:c r="C66" s="73" t="inlineStr">
        <ns0:is>
          <ns0:t>Total NG</ns0:t>
        </ns0:is>
      </ns0:c>
      <ns0:c r="D66" s="18" t="n"/>
      <ns0:c r="E66" s="60" t="n"/>
      <ns0:c r="F66" s="78" t="n">
        <ns0:v>17</ns0:v>
      </ns0:c>
      <ns0:c r="G66" s="77" t="n">
        <ns0:v>0.3148148148148148</ns0:v>
      </ns0:c>
      <ns0:c r="H66" s="75" t="n"/>
      <ns0:c r="S66" s="38" t="n"/>
      <ns0:c r="T66" s="38" t="n"/>
      <ns0:c r="U66" s="39" t="n"/>
      <ns0:c r="V66" s="40" t="n"/>
      <ns0:c r="W66" s="28" t="n"/>
      <ns0:c r="Y66" s="28" t="n"/>
      <ns0:c r="Z66" s="28" t="n"/>
      <ns0:c r="AA66" s="28" t="n"/>
      <ns0:c r="AB66" s="28" t="n"/>
      <ns0:c r="AC66" s="28" t="n"/>
      <ns0:c r="AD66" s="28" t="n"/>
      <ns0:c r="AE66" s="28" t="n"/>
      <ns0:c r="AF66" s="28" t="n"/>
      <ns0:c r="AG66" s="28" t="n"/>
      <ns0:c r="AH66" s="28" t="n"/>
      <ns0:c r="AI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</ns0:row>
    <ns0:row r="67" ht="26.25" customHeight="1">
      <ns0:c r="B67" s="42" t="n"/>
      <ns0:c r="C67" s="73" t="inlineStr">
        <ns0:is>
          <ns0:t>Total OK</ns0:t>
        </ns0:is>
      </ns0:c>
      <ns0:c r="D67" s="18" t="n"/>
      <ns0:c r="E67" s="60" t="n"/>
      <ns0:c r="F67" s="78" t="n">
        <ns0:v>37</ns0:v>
      </ns0:c>
      <ns0:c r="G67" s="80" t="n">
        <ns0:v>0.6851851851851852</ns0:v>
      </ns0:c>
      <ns0:c r="H67" s="75" t="n"/>
      <ns0:c r="I67" s="75" t="n"/>
      <ns0:c r="J67" s="75" t="n"/>
      <ns0:c r="K67" s="75" t="n"/>
      <ns0:c r="L67" s="75" t="n"/>
      <ns0:c r="M67" s="75" t="n"/>
      <ns0:c r="N67" s="75" t="n"/>
      <ns0:c r="O67" s="75" t="n"/>
      <ns0:c r="P67" s="75" t="n"/>
      <ns0:c r="Q67" s="75" t="n"/>
      <ns0:c r="R67" s="75" t="n"/>
      <ns0:c r="S67" s="38" t="n"/>
      <ns0:c r="T67" s="38" t="n"/>
      <ns0:c r="U67" s="39" t="n"/>
      <ns0:c r="V67" s="40" t="n"/>
      <ns0:c r="W67" s="28" t="n"/>
      <ns0:c r="Y67" s="28" t="n"/>
      <ns0:c r="Z67" s="28" t="n"/>
      <ns0:c r="AA67" s="28" t="n"/>
      <ns0:c r="AB67" s="28" t="n"/>
      <ns0:c r="AC67" s="28" t="n"/>
      <ns0:c r="AD67" s="28" t="n"/>
      <ns0:c r="AE67" s="28" t="n"/>
      <ns0:c r="AF67" s="28" t="n"/>
      <ns0:c r="AG67" s="28" t="n"/>
      <ns0:c r="AH67" s="28" t="n"/>
      <ns0:c r="AI67" s="28" t="n"/>
      <ns0:c r="AJ67" s="28" t="n"/>
      <ns0:c r="AK67" s="28" t="n"/>
      <ns0:c r="AL67" s="28" t="n"/>
      <ns0:c r="AM67" s="28" t="n"/>
      <ns0:c r="AN67" s="28" t="n"/>
      <ns0:c r="AO67" s="28" t="n"/>
      <ns0:c r="AP67" s="28" t="n"/>
    </ns0:row>
    <ns0:row r="68" ht="26.25" customHeight="1">
      <ns0:c r="B68" s="42" t="n"/>
      <ns0:c r="C68" s="36" t="n"/>
      <ns0:c r="D68" s="36" t="n"/>
      <ns0:c r="E68" s="36" t="n"/>
      <ns0:c r="F68" s="36" t="n"/>
      <ns0:c r="G68" s="37" t="n"/>
      <ns0:c r="H68" s="37" t="n"/>
      <ns0:c r="I68" s="38" t="n"/>
      <ns0:c r="J68" s="38" t="n"/>
      <ns0:c r="K68" s="38" t="n"/>
      <ns0:c r="L68" s="39" t="n"/>
      <ns0:c r="M68" s="38" t="n"/>
      <ns0:c r="N68" s="38" t="n"/>
      <ns0:c r="O68" s="38" t="n"/>
      <ns0:c r="P68" s="38" t="n"/>
      <ns0:c r="Q68" s="38" t="n"/>
      <ns0:c r="R68" s="38" t="n"/>
      <ns0:c r="S68" s="38" t="n"/>
      <ns0:c r="T68" s="38" t="n"/>
      <ns0:c r="U68" s="39" t="n"/>
      <ns0:c r="V68" s="40" t="n"/>
      <ns0:c r="W68" s="28" t="n"/>
      <ns0:c r="Y68" s="28" t="n"/>
      <ns0:c r="Z68" s="28" t="n"/>
      <ns0:c r="AA68" s="28" t="n"/>
      <ns0:c r="AB68" s="28" t="n"/>
      <ns0:c r="AC68" s="28" t="n"/>
      <ns0:c r="AD68" s="28" t="n"/>
      <ns0:c r="AE68" s="28" t="n"/>
      <ns0:c r="AF68" s="28" t="n"/>
      <ns0:c r="AG68" s="28" t="n"/>
      <ns0:c r="AH68" s="28" t="n"/>
      <ns0:c r="AI68" s="28" t="n"/>
      <ns0:c r="AJ68" s="28" t="n"/>
      <ns0:c r="AK68" s="28" t="n"/>
      <ns0:c r="AL68" s="28" t="n"/>
      <ns0:c r="AM68" s="28" t="n"/>
      <ns0:c r="AN68" s="28" t="n"/>
      <ns0:c r="AO68" s="28" t="n"/>
      <ns0:c r="AP68" s="28" t="n"/>
    </ns0:row>
    <ns0:row r="69" ht="26.25" customHeight="1">
      <ns0:c r="B69" s="42" t="n"/>
      <ns0:c r="C69" s="36" t="n"/>
      <ns0:c r="D69" s="36" t="n"/>
      <ns0:c r="E69" s="36" t="n"/>
      <ns0:c r="F69" s="36" t="n"/>
      <ns0:c r="G69" s="37" t="n"/>
      <ns0:c r="H69" s="37" t="n"/>
      <ns0:c r="I69" s="38" t="n"/>
      <ns0:c r="J69" s="38" t="n"/>
      <ns0:c r="K69" s="38" t="n"/>
      <ns0:c r="L69" s="39" t="n"/>
      <ns0:c r="M69" s="38" t="n"/>
      <ns0:c r="N69" s="38" t="n"/>
      <ns0:c r="O69" s="38" t="n"/>
      <ns0:c r="P69" s="38" t="n"/>
      <ns0:c r="Q69" s="38" t="n"/>
      <ns0:c r="R69" s="38" t="n"/>
      <ns0:c r="S69" s="38" t="n"/>
      <ns0:c r="T69" s="38" t="n"/>
      <ns0:c r="U69" s="39" t="n"/>
      <ns0:c r="V69" s="40" t="n"/>
      <ns0:c r="W69" s="28" t="n"/>
      <ns0:c r="Y69" s="28" t="n"/>
      <ns0:c r="Z69" s="28" t="n"/>
      <ns0:c r="AA69" s="28" t="n"/>
      <ns0:c r="AB69" s="28" t="n"/>
      <ns0:c r="AC69" s="28" t="n"/>
      <ns0:c r="AD69" s="28" t="n"/>
      <ns0:c r="AE69" s="28" t="n"/>
      <ns0:c r="AF69" s="28" t="n"/>
      <ns0:c r="AG69" s="28" t="n"/>
      <ns0:c r="AH69" s="28" t="n"/>
      <ns0:c r="AI69" s="28" t="n"/>
      <ns0:c r="AJ69" s="28" t="n"/>
      <ns0:c r="AK69" s="28" t="n"/>
      <ns0:c r="AL69" s="28" t="n"/>
      <ns0:c r="AM69" s="28" t="n"/>
      <ns0:c r="AN69" s="28" t="n"/>
      <ns0:c r="AO69" s="28" t="n"/>
      <ns0:c r="AP69" s="28" t="n"/>
    </ns0:row>
    <ns0:row r="70" ht="26.25" customHeight="1">
      <ns0:c r="B70" s="42" t="n"/>
      <ns0:c r="C70" s="36" t="n"/>
      <ns0:c r="D70" s="36" t="n"/>
      <ns0:c r="E70" s="36" t="n"/>
      <ns0:c r="F70" s="36" t="n"/>
      <ns0:c r="G70" s="37" t="n"/>
      <ns0:c r="H70" s="37" t="n"/>
      <ns0:c r="I70" s="38" t="n"/>
      <ns0:c r="J70" s="38" t="n"/>
      <ns0:c r="K70" s="38" t="n"/>
      <ns0:c r="L70" s="39" t="n"/>
      <ns0:c r="M70" s="38" t="n"/>
      <ns0:c r="N70" s="38" t="n"/>
      <ns0:c r="O70" s="38" t="n"/>
      <ns0:c r="P70" s="38" t="n"/>
      <ns0:c r="Q70" s="38" t="n"/>
      <ns0:c r="R70" s="38" t="n"/>
      <ns0:c r="S70" s="38" t="n"/>
      <ns0:c r="T70" s="38" t="n"/>
      <ns0:c r="U70" s="39" t="n"/>
      <ns0:c r="V70" s="40" t="n"/>
      <ns0:c r="W70" s="28" t="n"/>
      <ns0:c r="Y70" s="28" t="n"/>
      <ns0:c r="Z70" s="28" t="n"/>
      <ns0:c r="AA70" s="28" t="n"/>
      <ns0:c r="AB70" s="28" t="n"/>
      <ns0:c r="AC70" s="28" t="n"/>
      <ns0:c r="AD70" s="28" t="n"/>
      <ns0:c r="AE70" s="28" t="n"/>
      <ns0:c r="AF70" s="28" t="n"/>
      <ns0:c r="AG70" s="28" t="n"/>
      <ns0:c r="AH70" s="28" t="n"/>
      <ns0:c r="AI70" s="28" t="n"/>
      <ns0:c r="AJ70" s="28" t="n"/>
      <ns0:c r="AK70" s="28" t="n"/>
      <ns0:c r="AL70" s="28" t="n"/>
      <ns0:c r="AM70" s="28" t="n"/>
      <ns0:c r="AN70" s="28" t="n"/>
      <ns0:c r="AO70" s="28" t="n"/>
      <ns0:c r="AP70" s="28" t="n"/>
    </ns0:row>
    <ns0:row r="71" ht="26.25" customHeight="1">
      <ns0:c r="B71" s="42" t="n"/>
      <ns0:c r="C71" s="36" t="n"/>
      <ns0:c r="D71" s="36" t="n"/>
      <ns0:c r="E71" s="36" t="n"/>
      <ns0:c r="F71" s="36" t="n"/>
      <ns0:c r="G71" s="37" t="n"/>
      <ns0:c r="H71" s="37" t="n"/>
      <ns0:c r="I71" s="38" t="n"/>
      <ns0:c r="J71" s="38" t="n"/>
      <ns0:c r="K71" s="38" t="n"/>
      <ns0:c r="L71" s="39" t="n"/>
      <ns0:c r="M71" s="38" t="n"/>
      <ns0:c r="N71" s="38" t="n"/>
      <ns0:c r="O71" s="38" t="n"/>
      <ns0:c r="P71" s="38" t="n"/>
      <ns0:c r="Q71" s="38" t="n"/>
      <ns0:c r="R71" s="38" t="n"/>
      <ns0:c r="S71" s="38" t="n"/>
      <ns0:c r="T71" s="38" t="n"/>
      <ns0:c r="U71" s="39" t="n"/>
      <ns0:c r="V71" s="40" t="n"/>
      <ns0:c r="W71" s="28" t="n"/>
      <ns0:c r="Y71" s="28" t="n"/>
      <ns0:c r="Z71" s="28" t="n"/>
      <ns0:c r="AA71" s="28" t="n"/>
      <ns0:c r="AB71" s="28" t="n"/>
      <ns0:c r="AC71" s="28" t="n"/>
      <ns0:c r="AD71" s="28" t="n"/>
      <ns0:c r="AE71" s="28" t="n"/>
      <ns0:c r="AF71" s="28" t="n"/>
      <ns0:c r="AG71" s="28" t="n"/>
      <ns0:c r="AH71" s="28" t="n"/>
      <ns0:c r="AI71" s="28" t="n"/>
      <ns0:c r="AJ71" s="28" t="n"/>
      <ns0:c r="AK71" s="28" t="n"/>
      <ns0:c r="AL71" s="28" t="n"/>
      <ns0:c r="AM71" s="28" t="n"/>
      <ns0:c r="AN71" s="28" t="n"/>
      <ns0:c r="AO71" s="28" t="n"/>
      <ns0:c r="AP71" s="28" t="n"/>
    </ns0:row>
    <ns0:row r="72" ht="26.25" customHeight="1">
      <ns0:c r="B72" s="42" t="n"/>
      <ns0:c r="C72" s="36" t="n"/>
      <ns0:c r="D72" s="36" t="n"/>
      <ns0:c r="E72" s="36" t="n"/>
      <ns0:c r="F72" s="36" t="n"/>
      <ns0:c r="G72" s="37" t="n"/>
      <ns0:c r="H72" s="37" t="n"/>
      <ns0:c r="I72" s="38" t="n"/>
      <ns0:c r="J72" s="38" t="n"/>
      <ns0:c r="K72" s="38" t="n"/>
      <ns0:c r="L72" s="39" t="n"/>
      <ns0:c r="M72" s="38" t="n"/>
      <ns0:c r="N72" s="38" t="n"/>
      <ns0:c r="O72" s="38" t="n"/>
      <ns0:c r="P72" s="38" t="n"/>
      <ns0:c r="Q72" s="38" t="n"/>
      <ns0:c r="R72" s="38" t="n"/>
      <ns0:c r="S72" s="38" t="n"/>
      <ns0:c r="T72" s="38" t="n"/>
      <ns0:c r="U72" s="39" t="n"/>
      <ns0:c r="V72" s="40" t="n"/>
      <ns0:c r="W72" s="28" t="n"/>
      <ns0:c r="Y72" s="28" t="n"/>
      <ns0:c r="Z72" s="28" t="n"/>
      <ns0:c r="AA72" s="28" t="n"/>
      <ns0:c r="AB72" s="28" t="n"/>
      <ns0:c r="AC72" s="28" t="n"/>
      <ns0:c r="AD72" s="28" t="n"/>
      <ns0:c r="AE72" s="28" t="n"/>
      <ns0:c r="AF72" s="28" t="n"/>
      <ns0:c r="AG72" s="28" t="n"/>
      <ns0:c r="AH72" s="28" t="n"/>
      <ns0:c r="AI72" s="28" t="n"/>
      <ns0:c r="AJ72" s="28" t="n"/>
      <ns0:c r="AK72" s="28" t="n"/>
      <ns0:c r="AL72" s="28" t="n"/>
      <ns0:c r="AM72" s="28" t="n"/>
      <ns0:c r="AN72" s="28" t="n"/>
      <ns0:c r="AO72" s="28" t="n"/>
      <ns0:c r="AP72" s="28" t="n"/>
    </ns0:row>
    <ns0:row r="73" ht="26.25" customHeight="1">
      <ns0:c r="B73" s="42" t="n"/>
      <ns0:c r="C73" s="36" t="n"/>
      <ns0:c r="D73" s="36" t="n"/>
      <ns0:c r="E73" s="36" t="n"/>
      <ns0:c r="F73" s="36" t="n"/>
      <ns0:c r="G73" s="37" t="n"/>
      <ns0:c r="H73" s="37" t="n"/>
      <ns0:c r="I73" s="38" t="n"/>
      <ns0:c r="J73" s="38" t="n"/>
      <ns0:c r="K73" s="38" t="n"/>
      <ns0:c r="L73" s="39" t="n"/>
      <ns0:c r="M73" s="38" t="n"/>
      <ns0:c r="N73" s="38" t="n"/>
      <ns0:c r="O73" s="38" t="n"/>
      <ns0:c r="P73" s="38" t="n"/>
      <ns0:c r="Q73" s="38" t="n"/>
      <ns0:c r="R73" s="38" t="n"/>
      <ns0:c r="S73" s="38" t="n"/>
      <ns0:c r="T73" s="38" t="n"/>
      <ns0:c r="U73" s="39" t="n"/>
      <ns0:c r="V73" s="40" t="n"/>
      <ns0:c r="W73" s="28" t="n"/>
      <ns0:c r="Y73" s="28" t="n"/>
      <ns0:c r="Z73" s="28" t="n"/>
      <ns0:c r="AA73" s="28" t="n"/>
      <ns0:c r="AB73" s="28" t="n"/>
      <ns0:c r="AC73" s="28" t="n"/>
      <ns0:c r="AD73" s="28" t="n"/>
      <ns0:c r="AE73" s="28" t="n"/>
      <ns0:c r="AF73" s="28" t="n"/>
      <ns0:c r="AG73" s="28" t="n"/>
      <ns0:c r="AH73" s="28" t="n"/>
      <ns0:c r="AI73" s="28" t="n"/>
      <ns0:c r="AJ73" s="28" t="n"/>
      <ns0:c r="AK73" s="28" t="n"/>
      <ns0:c r="AL73" s="28" t="n"/>
      <ns0:c r="AM73" s="28" t="n"/>
      <ns0:c r="AN73" s="28" t="n"/>
      <ns0:c r="AO73" s="28" t="n"/>
      <ns0:c r="AP73" s="28" t="n"/>
    </ns0:row>
    <ns0:row r="74" ht="26.25" customHeight="1">
      <ns0:c r="B74" s="65" t="inlineStr">
        <ns0:is>
          <ns0:t xml:space="preserve">  3) Hearing Voltage Up Test</ns0:t>
        </ns0:is>
      </ns0:c>
      <ns0:c r="C74" s="66" t="n"/>
      <ns0:c r="D74" s="66" t="n"/>
      <ns0:c r="E74" s="66" t="n"/>
      <ns0:c r="F74" s="66" t="n"/>
      <ns0:c r="G74" s="67" t="n"/>
      <ns0:c r="H74" s="67" t="n"/>
      <ns0:c r="I74" s="68" t="n"/>
      <ns0:c r="J74" s="68" t="n"/>
      <ns0:c r="K74" s="68" t="n"/>
      <ns0:c r="L74" s="69" t="n"/>
      <ns0:c r="M74" s="68" t="n"/>
      <ns0:c r="N74" s="68" t="n"/>
      <ns0:c r="O74" s="68" t="n"/>
      <ns0:c r="P74" s="68" t="n"/>
      <ns0:c r="Q74" s="68" t="n"/>
      <ns0:c r="R74" s="68" t="n"/>
      <ns0:c r="S74" s="68" t="n"/>
      <ns0:c r="T74" s="68" t="n"/>
      <ns0:c r="U74" s="69" t="n"/>
      <ns0:c r="V74" s="70" t="n"/>
      <ns0:c r="W74" s="28" t="n"/>
      <ns0:c r="Y74" s="28" t="n"/>
      <ns0:c r="Z74" s="28" t="n"/>
      <ns0:c r="AA74" s="28" t="n"/>
      <ns0:c r="AB74" s="28" t="n"/>
      <ns0:c r="AC74" s="28" t="n"/>
      <ns0:c r="AD74" s="28" t="n"/>
      <ns0:c r="AE74" s="28" t="n"/>
      <ns0:c r="AF74" s="28" t="n"/>
      <ns0:c r="AG74" s="28" t="n"/>
      <ns0:c r="AH74" s="28" t="n"/>
      <ns0:c r="AI74" s="28" t="n"/>
      <ns0:c r="AJ74" s="28" t="n"/>
      <ns0:c r="AK74" s="28" t="n"/>
      <ns0:c r="AL74" s="28" t="n"/>
      <ns0:c r="AM74" s="28" t="n"/>
      <ns0:c r="AN74" s="28" t="n"/>
      <ns0:c r="AO74" s="28" t="n"/>
      <ns0:c r="AP74" s="28" t="n"/>
    </ns0:row>
    <ns0:row r="75" ht="26.25" customHeight="1">
      <ns0:c r="B75" s="71" t="inlineStr">
        <ns0:is>
          <ns0:t xml:space="preserve">     . Normal Voltage OK but Input Module , will be increase NG Rate  / Check Hearing Voltage Increase</ns0:t>
        </ns0:is>
      </ns0:c>
      <ns0:c r="C75" s="36" t="n"/>
      <ns0:c r="D75" s="36" t="n"/>
      <ns0:c r="E75" s="36" t="n"/>
      <ns0:c r="F75" s="36" t="n"/>
      <ns0:c r="G75" s="37" t="n"/>
      <ns0:c r="H75" s="37" t="n"/>
      <ns0:c r="I75" s="38" t="n"/>
      <ns0:c r="J75" s="38" t="n"/>
      <ns0:c r="K75" s="38" t="n"/>
      <ns0:c r="L75" s="39" t="n"/>
      <ns0:c r="M75" s="38" t="n"/>
      <ns0:c r="N75" s="38" t="n"/>
      <ns0:c r="O75" s="38" t="n"/>
      <ns0:c r="P75" s="38" t="n"/>
      <ns0:c r="Q75" s="38" t="n"/>
      <ns0:c r="R75" s="38" t="n"/>
      <ns0:c r="S75" s="38" t="n"/>
      <ns0:c r="T75" s="38" t="n"/>
      <ns0:c r="U75" s="39" t="n"/>
      <ns0:c r="V75" s="40" t="n"/>
      <ns0:c r="W75" s="28" t="n"/>
      <ns0:c r="Y75" s="28" t="n"/>
      <ns0:c r="Z75" s="28" t="n"/>
      <ns0:c r="AA75" s="28" t="n"/>
      <ns0:c r="AB75" s="28" t="n"/>
      <ns0:c r="AC75" s="28" t="n"/>
      <ns0:c r="AD75" s="28" t="n"/>
      <ns0:c r="AE75" s="28" t="n"/>
      <ns0:c r="AF75" s="28" t="n"/>
      <ns0:c r="AG75" s="28" t="n"/>
      <ns0:c r="AH75" s="28" t="n"/>
      <ns0:c r="AI75" s="28" t="n"/>
      <ns0:c r="AJ75" s="28" t="n"/>
      <ns0:c r="AK75" s="28" t="n"/>
      <ns0:c r="AL75" s="28" t="n"/>
      <ns0:c r="AM75" s="28" t="n"/>
      <ns0:c r="AN75" s="28" t="n"/>
      <ns0:c r="AO75" s="28" t="n"/>
      <ns0:c r="AP75" s="28" t="n"/>
    </ns0:row>
    <ns0:row r="76" ht="26.25" customHeight="1">
      <ns0:c r="B76" s="71" t="inlineStr">
        <ns0:is>
          <ns0:t xml:space="preserve">       - Normal Voltage : OK Rate 72%</ns0:t>
        </ns0:is>
      </ns0:c>
      <ns0:c r="C76" s="36" t="n"/>
      <ns0:c r="D76" s="36" t="n"/>
      <ns0:c r="E76" s="36" t="n"/>
      <ns0:c r="F76" s="36" t="n"/>
      <ns0:c r="G76" s="37" t="n"/>
      <ns0:c r="H76" s="37" t="n"/>
      <ns0:c r="I76" s="38" t="n"/>
      <ns0:c r="J76" s="38" t="n"/>
      <ns0:c r="K76" s="38" t="n"/>
      <ns0:c r="L76" s="39" t="n"/>
      <ns0:c r="M76" s="38" t="n"/>
      <ns0:c r="N76" s="38" t="n"/>
      <ns0:c r="O76" s="38" t="n"/>
      <ns0:c r="P76" s="38" t="n"/>
      <ns0:c r="Q76" s="38" t="n"/>
      <ns0:c r="R76" s="38" t="n"/>
      <ns0:c r="S76" s="38" t="n"/>
      <ns0:c r="T76" s="38" t="n"/>
      <ns0:c r="U76" s="39" t="n"/>
      <ns0:c r="V76" s="40" t="n"/>
      <ns0:c r="W76" s="28" t="n"/>
      <ns0:c r="Y76" s="28" t="n"/>
      <ns0:c r="Z76" s="28" t="n"/>
      <ns0:c r="AA76" s="28" t="n"/>
      <ns0:c r="AB76" s="28" t="n"/>
      <ns0:c r="AC76" s="28" t="n"/>
      <ns0:c r="AD76" s="28" t="n"/>
      <ns0:c r="AE76" s="28" t="n"/>
      <ns0:c r="AF76" s="28" t="n"/>
      <ns0:c r="AG76" s="28" t="n"/>
      <ns0:c r="AH76" s="28" t="n"/>
      <ns0:c r="AI76" s="28" t="n"/>
      <ns0:c r="AJ76" s="28" t="n"/>
      <ns0:c r="AK76" s="28" t="n"/>
      <ns0:c r="AL76" s="28" t="n"/>
      <ns0:c r="AM76" s="28" t="n"/>
      <ns0:c r="AN76" s="28" t="n"/>
      <ns0:c r="AO76" s="28" t="n"/>
      <ns0:c r="AP76" s="28" t="n"/>
    </ns0:row>
    <ns0:row r="77" ht="26.25" customHeight="1">
      <ns0:c r="B77" s="71" t="inlineStr">
        <ns0:is>
          <ns0:t xml:space="preserve">       - 10% Up Voltage : OK Rate 56%</ns0:t>
        </ns0:is>
      </ns0:c>
      <ns0:c r="C77" s="36" t="n"/>
      <ns0:c r="D77" s="36" t="n"/>
      <ns0:c r="E77" s="36" t="n"/>
      <ns0:c r="F77" s="36" t="n"/>
      <ns0:c r="G77" s="37" t="n"/>
      <ns0:c r="H77" s="37" t="n"/>
      <ns0:c r="I77" s="38" t="n"/>
      <ns0:c r="J77" s="38" t="n"/>
      <ns0:c r="K77" s="38" t="n"/>
      <ns0:c r="L77" s="39" t="n"/>
      <ns0:c r="M77" s="38" t="n"/>
      <ns0:c r="N77" s="38" t="n"/>
      <ns0:c r="O77" s="38" t="n"/>
      <ns0:c r="P77" s="38" t="n"/>
      <ns0:c r="Q77" s="38" t="n"/>
      <ns0:c r="R77" s="38" t="n"/>
      <ns0:c r="S77" s="38" t="n"/>
      <ns0:c r="T77" s="38" t="n"/>
      <ns0:c r="U77" s="39" t="n"/>
      <ns0:c r="V77" s="40" t="n"/>
      <ns0:c r="W77" s="28" t="n"/>
      <ns0:c r="Y77" s="28" t="n"/>
      <ns0:c r="Z77" s="28" t="n"/>
      <ns0:c r="AA77" s="28" t="n"/>
      <ns0:c r="AB77" s="28" t="n"/>
      <ns0:c r="AC77" s="28" t="n"/>
      <ns0:c r="AD77" s="28" t="n"/>
      <ns0:c r="AE77" s="28" t="n"/>
      <ns0:c r="AF77" s="28" t="n"/>
      <ns0:c r="AG77" s="28" t="n"/>
      <ns0:c r="AH77" s="28" t="n"/>
      <ns0:c r="AI77" s="28" t="n"/>
      <ns0:c r="AJ77" s="28" t="n"/>
      <ns0:c r="AK77" s="28" t="n"/>
      <ns0:c r="AL77" s="28" t="n"/>
      <ns0:c r="AM77" s="28" t="n"/>
      <ns0:c r="AN77" s="28" t="n"/>
      <ns0:c r="AO77" s="28" t="n"/>
      <ns0:c r="AP77" s="28" t="n"/>
    </ns0:row>
    <ns0:row r="78" ht="26.25" customHeight="1">
      <ns0:c r="B78" s="42" t="n"/>
      <ns0:c r="C78" s="36" t="n"/>
      <ns0:c r="D78" s="36" t="n"/>
      <ns0:c r="E78" s="36" t="n"/>
      <ns0:c r="F78" s="36" t="n"/>
      <ns0:c r="G78" s="37" t="n"/>
      <ns0:c r="H78" s="37" t="n"/>
      <ns0:c r="I78" s="38" t="n"/>
      <ns0:c r="J78" s="38" t="n"/>
      <ns0:c r="K78" s="38" t="n"/>
      <ns0:c r="L78" s="39" t="n"/>
      <ns0:c r="M78" s="38" t="n"/>
      <ns0:c r="N78" s="38" t="n"/>
      <ns0:c r="O78" s="38" t="n"/>
      <ns0:c r="P78" s="38" t="n"/>
      <ns0:c r="Q78" s="38" t="n"/>
      <ns0:c r="R78" s="38" t="n"/>
      <ns0:c r="S78" s="38" t="n"/>
      <ns0:c r="T78" s="38" t="n"/>
      <ns0:c r="U78" s="39" t="n"/>
      <ns0:c r="V78" s="40" t="n"/>
      <ns0:c r="W78" s="28" t="n"/>
      <ns0:c r="Y78" s="28" t="n"/>
      <ns0:c r="Z78" s="28" t="n"/>
      <ns0:c r="AA78" s="28" t="n"/>
      <ns0:c r="AB78" s="28" t="n"/>
      <ns0:c r="AC78" s="28" t="n"/>
      <ns0:c r="AD78" s="28" t="n"/>
      <ns0:c r="AE78" s="28" t="n"/>
      <ns0:c r="AF78" s="28" t="n"/>
      <ns0:c r="AG78" s="28" t="n"/>
      <ns0:c r="AH78" s="28" t="n"/>
      <ns0:c r="AI78" s="28" t="n"/>
      <ns0:c r="AJ78" s="28" t="n"/>
      <ns0:c r="AK78" s="28" t="n"/>
      <ns0:c r="AL78" s="28" t="n"/>
      <ns0:c r="AM78" s="28" t="n"/>
      <ns0:c r="AN78" s="28" t="n"/>
      <ns0:c r="AO78" s="28" t="n"/>
      <ns0:c r="AP78" s="28" t="n"/>
    </ns0:row>
    <ns0:row r="79" ht="26.25" customHeight="1">
      <ns0:c r="B79" s="42" t="n"/>
      <ns0:c r="C79" s="72" t="inlineStr">
        <ns0:is>
          <ns0:t>■ BRS-161016 SPK</ns0:t>
        </ns0:is>
      </ns0:c>
      <ns0:c r="D79" s="36" t="n"/>
      <ns0:c r="E79" s="36" t="n"/>
      <ns0:c r="F79" s="36" t="n"/>
      <ns0:c r="G79" s="37" t="n"/>
      <ns0:c r="H79" s="37" t="n"/>
      <ns0:c r="I79" s="38" t="n"/>
      <ns0:c r="J79" s="38" t="n"/>
      <ns0:c r="K79" s="38" t="n"/>
      <ns0:c r="L79" s="39" t="n"/>
      <ns0:c r="M79" s="38" t="n"/>
      <ns0:c r="N79" s="38" t="n"/>
      <ns0:c r="O79" s="38" t="n"/>
      <ns0:c r="P79" s="38" t="n"/>
      <ns0:c r="Q79" s="38" t="n"/>
      <ns0:c r="R79" s="38" t="n"/>
      <ns0:c r="S79" s="38" t="n"/>
      <ns0:c r="T79" s="38" t="n"/>
      <ns0:c r="U79" s="39" t="n"/>
      <ns0:c r="V79" s="40" t="n"/>
      <ns0:c r="W79" s="28" t="n"/>
      <ns0:c r="Y79" s="28" t="n"/>
      <ns0:c r="Z79" s="28" t="n"/>
      <ns0:c r="AA79" s="28" t="n"/>
      <ns0:c r="AB79" s="28" t="n"/>
      <ns0:c r="AC79" s="28" t="n"/>
      <ns0:c r="AD79" s="28" t="n"/>
      <ns0:c r="AE79" s="28" t="n"/>
      <ns0:c r="AF79" s="28" t="n"/>
      <ns0:c r="AG79" s="28" t="n"/>
      <ns0:c r="AH79" s="28" t="n"/>
      <ns0:c r="AI79" s="28" t="n"/>
      <ns0:c r="AJ79" s="28" t="n"/>
      <ns0:c r="AK79" s="28" t="n"/>
      <ns0:c r="AL79" s="28" t="n"/>
      <ns0:c r="AM79" s="28" t="n"/>
      <ns0:c r="AN79" s="28" t="n"/>
      <ns0:c r="AO79" s="28" t="n"/>
      <ns0:c r="AP79" s="28" t="n"/>
    </ns0:row>
    <ns0:row r="80" ht="26.25" customHeight="1">
      <ns0:c r="B80" s="42" t="n"/>
      <ns0:c r="C80" s="81" t="inlineStr">
        <ns0:is>
          <ns0:t>No</ns0:t>
        </ns0:is>
      </ns0:c>
      <ns0:c r="D80" s="81" t="inlineStr">
        <ns0:is>
          <ns0:t xml:space="preserve">Date </ns0:t>
        </ns0:is>
      </ns0:c>
      <ns0:c r="E80" s="82" t="inlineStr">
        <ns0:is>
          <ns0:t xml:space="preserve">Type </ns0:t>
        </ns0:is>
      </ns0:c>
      <ns0:c r="F80" s="45" t="n"/>
      <ns0:c r="G80" s="82" t="inlineStr">
        <ns0:is>
          <ns0:t xml:space="preserve">Input </ns0:t>
        </ns0:is>
      </ns0:c>
      <ns0:c r="H80" s="83" t="inlineStr">
        <ns0:is>
          <ns0:t xml:space="preserve">OK </ns0:t>
        </ns0:is>
      </ns0:c>
      <ns0:c r="I80" s="83" t="inlineStr">
        <ns0:is>
          <ns0:t xml:space="preserve">Sigma </ns0:t>
        </ns0:is>
      </ns0:c>
      <ns0:c r="J80" s="60" t="n"/>
      <ns0:c r="K80" s="83" t="inlineStr">
        <ns0:is>
          <ns0:t xml:space="preserve">Input </ns0:t>
        </ns0:is>
      </ns0:c>
      <ns0:c r="L80" s="83" t="inlineStr">
        <ns0:is>
          <ns0:t>OK</ns0:t>
        </ns0:is>
      </ns0:c>
      <ns0:c r="M80" s="83" t="inlineStr">
        <ns0:is>
          <ns0:t>Hearing</ns0:t>
        </ns0:is>
      </ns0:c>
      <ns0:c r="N80" s="60" t="n"/>
      <ns0:c r="O80" s="83" t="inlineStr">
        <ns0:is>
          <ns0:t xml:space="preserve">Total NG </ns0:t>
        </ns0:is>
      </ns0:c>
      <ns0:c r="P80" s="83" t="inlineStr">
        <ns0:is>
          <ns0:t xml:space="preserve">NG Rate </ns0:t>
        </ns0:is>
      </ns0:c>
      <ns0:c r="Q80" s="38" t="n"/>
      <ns0:c r="R80" s="38" t="n"/>
      <ns0:c r="S80" s="38" t="n"/>
      <ns0:c r="T80" s="38" t="n"/>
      <ns0:c r="U80" s="39" t="n"/>
      <ns0:c r="V80" s="40" t="n"/>
      <ns0:c r="W80" s="28" t="n"/>
      <ns0:c r="Y80" s="28" t="n"/>
      <ns0:c r="Z80" s="28" t="n"/>
      <ns0:c r="AA80" s="28" t="n"/>
      <ns0:c r="AB80" s="28" t="n"/>
      <ns0:c r="AC80" s="28" t="n"/>
      <ns0:c r="AD80" s="28" t="n"/>
      <ns0:c r="AE80" s="28" t="n"/>
      <ns0:c r="AF80" s="28" t="n"/>
      <ns0:c r="AG80" s="28" t="n"/>
      <ns0:c r="AH80" s="28" t="n"/>
      <ns0:c r="AI80" s="28" t="n"/>
      <ns0:c r="AJ80" s="28" t="n"/>
      <ns0:c r="AK80" s="28" t="n"/>
      <ns0:c r="AL80" s="28" t="n"/>
      <ns0:c r="AM80" s="28" t="n"/>
      <ns0:c r="AN80" s="28" t="n"/>
      <ns0:c r="AO80" s="28" t="n"/>
      <ns0:c r="AP80" s="28" t="n"/>
    </ns0:row>
    <ns0:row r="81" ht="26.25" customHeight="1">
      <ns0:c r="B81" s="42" t="n"/>
      <ns0:c r="C81" s="49" t="n"/>
      <ns0:c r="D81" s="49" t="n"/>
      <ns0:c r="E81" s="13" t="n"/>
      <ns0:c r="F81" s="15" t="n"/>
      <ns0:c r="G81" s="49" t="n"/>
      <ns0:c r="H81" s="49" t="n"/>
      <ns0:c r="I81" s="83" t="inlineStr">
        <ns0:is>
          <ns0:t xml:space="preserve">THD+SPL </ns0:t>
        </ns0:is>
      </ns0:c>
      <ns0:c r="J81" s="83" t="inlineStr">
        <ns0:is>
          <ns0:t>THD</ns0:t>
        </ns0:is>
      </ns0:c>
      <ns0:c r="K81" s="49" t="n"/>
      <ns0:c r="L81" s="49" t="n"/>
      <ns0:c r="M81" s="83" t="inlineStr">
        <ns0:is>
          <ns0:t xml:space="preserve">Noise </ns0:t>
        </ns0:is>
      </ns0:c>
      <ns0:c r="N81" s="83" t="inlineStr">
        <ns0:is>
          <ns0:t xml:space="preserve">Touch </ns0:t>
        </ns0:is>
      </ns0:c>
      <ns0:c r="O81" s="49" t="n"/>
      <ns0:c r="P81" s="49" t="n"/>
      <ns0:c r="Q81" s="38" t="n"/>
      <ns0:c r="R81" s="38" t="n"/>
      <ns0:c r="S81" s="38" t="n"/>
      <ns0:c r="T81" s="38" t="n"/>
      <ns0:c r="U81" s="39" t="n"/>
      <ns0:c r="V81" s="40" t="n"/>
      <ns0:c r="W81" s="28" t="n"/>
      <ns0:c r="Y81" s="28" t="n"/>
      <ns0:c r="Z81" s="28" t="n"/>
      <ns0:c r="AA81" s="28" t="n"/>
      <ns0:c r="AB81" s="28" t="n"/>
      <ns0:c r="AC81" s="28" t="n"/>
      <ns0:c r="AD81" s="28" t="n"/>
      <ns0:c r="AE81" s="28" t="n"/>
      <ns0:c r="AF81" s="28" t="n"/>
      <ns0:c r="AG81" s="28" t="n"/>
      <ns0:c r="AH81" s="28" t="n"/>
      <ns0:c r="AI81" s="28" t="n"/>
      <ns0:c r="AJ81" s="28" t="n"/>
      <ns0:c r="AK81" s="28" t="n"/>
      <ns0:c r="AL81" s="28" t="n"/>
      <ns0:c r="AM81" s="28" t="n"/>
      <ns0:c r="AN81" s="28" t="n"/>
      <ns0:c r="AO81" s="28" t="n"/>
      <ns0:c r="AP81" s="28" t="n"/>
    </ns0:row>
    <ns0:row r="82" ht="21" customHeight="1">
      <ns0:c r="B82" s="42" t="n"/>
      <ns0:c r="C82" s="77" t="n">
        <ns0:v>1</ns0:v>
      </ns0:c>
      <ns0:c r="D82" s="84" t="n">
        <ns0:v>45576</ns0:v>
      </ns0:c>
      <ns0:c r="E82" s="78" t="inlineStr">
        <ns0:is>
          <ns0:t xml:space="preserve">Hearing repair
( spec normal) </ns0:t>
        </ns0:is>
      </ns0:c>
      <ns0:c r="F82" s="45" t="n"/>
      <ns0:c r="G82" s="78" t="n">
        <ns0:v>211</ns0:v>
      </ns0:c>
      <ns0:c r="H82" s="77" t="n">
        <ns0:v>207</ns0:v>
      </ns0:c>
      <ns0:c r="I82" s="77" t="n">
        <ns0:v>2</ns0:v>
      </ns0:c>
      <ns0:c r="J82" s="77" t="n">
        <ns0:v>2</ns0:v>
      </ns0:c>
      <ns0:c r="K82" s="77" t="n">
        <ns0:v>207</ns0:v>
      </ns0:c>
      <ns0:c r="L82" s="77" t="n">
        <ns0:v>169</ns0:v>
      </ns0:c>
      <ns0:c r="M82" s="77" t="n">
        <ns0:v>28</ns0:v>
      </ns0:c>
      <ns0:c r="N82" s="77" t="n">
        <ns0:v>10</ns0:v>
      </ns0:c>
      <ns0:c r="O82" s="77" t="n">
        <ns0:v>42</ns0:v>
      </ns0:c>
      <ns0:c r="P82" s="85" t="n">
        <ns0:v>0.1990521327014218</ns0:v>
      </ns0:c>
      <ns0:c r="Q82" s="38" t="n"/>
      <ns0:c r="R82" s="38" t="n"/>
      <ns0:c r="S82" s="38" t="n"/>
      <ns0:c r="T82" s="38" t="n"/>
      <ns0:c r="U82" s="39" t="n"/>
      <ns0:c r="V82" s="40" t="n"/>
      <ns0:c r="W82" s="28" t="n"/>
      <ns0:c r="Y82" s="28" t="n"/>
      <ns0:c r="Z82" s="28" t="n"/>
      <ns0:c r="AA82" s="28" t="n"/>
      <ns0:c r="AB82" s="28" t="n"/>
      <ns0:c r="AC82" s="28" t="n"/>
      <ns0:c r="AD82" s="28" t="n"/>
      <ns0:c r="AE82" s="28" t="n"/>
      <ns0:c r="AF82" s="28" t="n"/>
      <ns0:c r="AG82" s="28" t="n"/>
      <ns0:c r="AH82" s="28" t="n"/>
      <ns0:c r="AI82" s="28" t="n"/>
      <ns0:c r="AJ82" s="28" t="n"/>
      <ns0:c r="AK82" s="28" t="n"/>
      <ns0:c r="AL82" s="28" t="n"/>
      <ns0:c r="AM82" s="28" t="n"/>
      <ns0:c r="AN82" s="28" t="n"/>
      <ns0:c r="AO82" s="28" t="n"/>
      <ns0:c r="AP82" s="28" t="n"/>
    </ns0:row>
    <ns0:row r="83" ht="21" customHeight="1">
      <ns0:c r="B83" s="42" t="n"/>
      <ns0:c r="C83" s="49" t="n"/>
      <ns0:c r="D83" s="48" t="n"/>
      <ns0:c r="E83" s="13" t="n"/>
      <ns0:c r="F83" s="15" t="n"/>
      <ns0:c r="G83" s="49" t="n"/>
      <ns0:c r="H83" s="49" t="n"/>
      <ns0:c r="I83" s="86" t="n">
        <ns0:v>0.009478672985781991</ns0:v>
      </ns0:c>
      <ns0:c r="J83" s="86" t="n">
        <ns0:v>0.009478672985781991</ns0:v>
      </ns0:c>
      <ns0:c r="K83" s="49" t="n"/>
      <ns0:c r="L83" s="49" t="n"/>
      <ns0:c r="M83" s="86" t="n">
        <ns0:v>0.1327014218009479</ns0:v>
      </ns0:c>
      <ns0:c r="N83" s="86" t="n">
        <ns0:v>0.04739336492890995</ns0:v>
      </ns0:c>
      <ns0:c r="O83" s="49" t="n"/>
      <ns0:c r="P83" s="49" t="n"/>
      <ns0:c r="Q83" s="38" t="n"/>
      <ns0:c r="R83" s="38" t="n"/>
      <ns0:c r="S83" s="38" t="n"/>
      <ns0:c r="T83" s="38" t="n"/>
      <ns0:c r="U83" s="39" t="n"/>
      <ns0:c r="V83" s="40" t="n"/>
      <ns0:c r="W83" s="28" t="n"/>
      <ns0:c r="Y83" s="28" t="n"/>
      <ns0:c r="Z83" s="28" t="n"/>
      <ns0:c r="AA83" s="28" t="n"/>
      <ns0:c r="AB83" s="28" t="n"/>
      <ns0:c r="AC83" s="28" t="n"/>
      <ns0:c r="AD83" s="28" t="n"/>
      <ns0:c r="AE83" s="28" t="n"/>
      <ns0:c r="AF83" s="28" t="n"/>
      <ns0:c r="AG83" s="28" t="n"/>
      <ns0:c r="AH83" s="28" t="n"/>
      <ns0:c r="AI83" s="28" t="n"/>
      <ns0:c r="AJ83" s="28" t="n"/>
      <ns0:c r="AK83" s="28" t="n"/>
      <ns0:c r="AL83" s="28" t="n"/>
      <ns0:c r="AM83" s="28" t="n"/>
      <ns0:c r="AN83" s="28" t="n"/>
      <ns0:c r="AO83" s="28" t="n"/>
      <ns0:c r="AP83" s="28" t="n"/>
    </ns0:row>
    <ns0:row r="84" ht="21" customHeight="1">
      <ns0:c r="B84" s="42" t="n"/>
      <ns0:c r="C84" s="77" t="n">
        <ns0:v>2</ns0:v>
      </ns0:c>
      <ns0:c r="D84" s="48" t="n"/>
      <ns0:c r="E84" s="78" t="inlineStr">
        <ns0:is>
          <ns0:t xml:space="preserve">Hearing repair
( increase voltage 10%) </ns0:t>
        </ns0:is>
      </ns0:c>
      <ns0:c r="F84" s="45" t="n"/>
      <ns0:c r="G84" s="78" t="n"/>
      <ns0:c r="H84" s="47" t="n"/>
      <ns0:c r="I84" s="47" t="n"/>
      <ns0:c r="J84" s="45" t="n"/>
      <ns0:c r="K84" s="77" t="n">
        <ns0:v>207</ns0:v>
      </ns0:c>
      <ns0:c r="L84" s="77" t="n">
        <ns0:v>117</ns0:v>
      </ns0:c>
      <ns0:c r="M84" s="77" t="n">
        <ns0:v>73</ns0:v>
      </ns0:c>
      <ns0:c r="N84" s="77" t="n">
        <ns0:v>17</ns0:v>
      </ns0:c>
      <ns0:c r="O84" s="77" t="n">
        <ns0:v>90</ns0:v>
      </ns0:c>
      <ns0:c r="P84" s="85" t="n">
        <ns0:v>0.4347826086956522</ns0:v>
      </ns0:c>
      <ns0:c r="Q84" s="38" t="n"/>
      <ns0:c r="R84" s="38" t="n"/>
      <ns0:c r="S84" s="38" t="n"/>
      <ns0:c r="T84" s="38" t="n"/>
      <ns0:c r="U84" s="39" t="n"/>
      <ns0:c r="V84" s="40" t="n"/>
      <ns0:c r="W84" s="28" t="n"/>
      <ns0:c r="Y84" s="28" t="n"/>
      <ns0:c r="Z84" s="28" t="n"/>
      <ns0:c r="AA84" s="28" t="n"/>
      <ns0:c r="AB84" s="28" t="n"/>
      <ns0:c r="AC84" s="28" t="n"/>
      <ns0:c r="AD84" s="28" t="n"/>
      <ns0:c r="AE84" s="28" t="n"/>
      <ns0:c r="AF84" s="28" t="n"/>
      <ns0:c r="AG84" s="28" t="n"/>
      <ns0:c r="AH84" s="28" t="n"/>
      <ns0:c r="AI84" s="28" t="n"/>
      <ns0:c r="AJ84" s="28" t="n"/>
      <ns0:c r="AK84" s="28" t="n"/>
      <ns0:c r="AL84" s="28" t="n"/>
      <ns0:c r="AM84" s="28" t="n"/>
      <ns0:c r="AN84" s="28" t="n"/>
      <ns0:c r="AO84" s="28" t="n"/>
      <ns0:c r="AP84" s="28" t="n"/>
    </ns0:row>
    <ns0:row r="85" ht="21" customHeight="1">
      <ns0:c r="B85" s="42" t="n"/>
      <ns0:c r="C85" s="49" t="n"/>
      <ns0:c r="D85" s="49" t="n"/>
      <ns0:c r="E85" s="13" t="n"/>
      <ns0:c r="F85" s="15" t="n"/>
      <ns0:c r="G85" s="13" t="n"/>
      <ns0:c r="H85" s="14" t="n"/>
      <ns0:c r="I85" s="14" t="n"/>
      <ns0:c r="J85" s="15" t="n"/>
      <ns0:c r="K85" s="49" t="n"/>
      <ns0:c r="L85" s="49" t="n"/>
      <ns0:c r="M85" s="86" t="n">
        <ns0:v>0.3526570048309179</ns0:v>
      </ns0:c>
      <ns0:c r="N85" s="86" t="n">
        <ns0:v>0.0821256038647343</ns0:v>
      </ns0:c>
      <ns0:c r="O85" s="49" t="n"/>
      <ns0:c r="P85" s="49" t="n"/>
      <ns0:c r="Q85" s="38" t="n"/>
      <ns0:c r="R85" s="38" t="n"/>
      <ns0:c r="S85" s="38" t="n"/>
      <ns0:c r="T85" s="38" t="n"/>
      <ns0:c r="U85" s="39" t="n"/>
      <ns0:c r="V85" s="40" t="n"/>
      <ns0:c r="W85" s="28" t="n"/>
      <ns0:c r="Y85" s="28" t="n"/>
      <ns0:c r="Z85" s="28" t="n"/>
      <ns0:c r="AA85" s="28" t="n"/>
      <ns0:c r="AB85" s="28" t="n"/>
      <ns0:c r="AC85" s="28" t="n"/>
      <ns0:c r="AD85" s="28" t="n"/>
      <ns0:c r="AE85" s="28" t="n"/>
      <ns0:c r="AF85" s="28" t="n"/>
      <ns0:c r="AG85" s="28" t="n"/>
      <ns0:c r="AH85" s="28" t="n"/>
      <ns0:c r="AI85" s="28" t="n"/>
      <ns0:c r="AJ85" s="28" t="n"/>
      <ns0:c r="AK85" s="28" t="n"/>
      <ns0:c r="AL85" s="28" t="n"/>
      <ns0:c r="AM85" s="28" t="n"/>
      <ns0:c r="AN85" s="28" t="n"/>
      <ns0:c r="AO85" s="28" t="n"/>
      <ns0:c r="AP85" s="28" t="n"/>
    </ns0:row>
    <ns0:row r="86" ht="26.25" customHeight="1">
      <ns0:c r="B86" s="42" t="n"/>
      <ns0:c r="C86" s="36" t="n"/>
      <ns0:c r="D86" s="36" t="n"/>
      <ns0:c r="E86" s="36" t="n"/>
      <ns0:c r="P86" s="38" t="n"/>
      <ns0:c r="Q86" s="38" t="n"/>
      <ns0:c r="R86" s="38" t="n"/>
      <ns0:c r="S86" s="38" t="n"/>
      <ns0:c r="T86" s="38" t="n"/>
      <ns0:c r="U86" s="39" t="n"/>
      <ns0:c r="V86" s="40" t="n"/>
      <ns0:c r="W86" s="28" t="n"/>
      <ns0:c r="Y86" s="28" t="n"/>
      <ns0:c r="Z86" s="28" t="n"/>
      <ns0:c r="AA86" s="28" t="n"/>
      <ns0:c r="AB86" s="28" t="n"/>
      <ns0:c r="AC86" s="28" t="n"/>
      <ns0:c r="AD86" s="28" t="n"/>
      <ns0:c r="AE86" s="28" t="n"/>
      <ns0:c r="AF86" s="28" t="n"/>
      <ns0:c r="AG86" s="28" t="n"/>
      <ns0:c r="AH86" s="28" t="n"/>
      <ns0:c r="AI86" s="28" t="n"/>
      <ns0:c r="AJ86" s="28" t="n"/>
      <ns0:c r="AK86" s="28" t="n"/>
      <ns0:c r="AL86" s="28" t="n"/>
      <ns0:c r="AM86" s="28" t="n"/>
      <ns0:c r="AN86" s="28" t="n"/>
      <ns0:c r="AO86" s="28" t="n"/>
      <ns0:c r="AP86" s="28" t="n"/>
    </ns0:row>
    <ns0:row r="87" ht="26.25" customHeight="1">
      <ns0:c r="B87" s="42" t="n"/>
      <ns0:c r="C87" s="72" t="inlineStr">
        <ns0:is>
          <ns0:t>■ MSM-S921B</ns0:t>
        </ns0:is>
      </ns0:c>
      <ns0:c r="D87" s="36" t="n"/>
      <ns0:c r="E87" s="36" t="n"/>
      <ns0:c r="P87" s="38" t="n"/>
      <ns0:c r="Q87" s="38" t="n"/>
      <ns0:c r="R87" s="38" t="n"/>
      <ns0:c r="S87" s="38" t="n"/>
      <ns0:c r="T87" s="38" t="n"/>
      <ns0:c r="U87" s="39" t="n"/>
      <ns0:c r="V87" s="40" t="n"/>
      <ns0:c r="W87" s="28" t="n"/>
      <ns0:c r="Y87" s="28" t="n"/>
      <ns0:c r="Z87" s="28" t="n"/>
      <ns0:c r="AA87" s="28" t="n"/>
      <ns0:c r="AB87" s="28" t="n"/>
      <ns0:c r="AC87" s="28" t="n"/>
      <ns0:c r="AD87" s="28" t="n"/>
      <ns0:c r="AE87" s="28" t="n"/>
      <ns0:c r="AF87" s="28" t="n"/>
      <ns0:c r="AG87" s="28" t="n"/>
      <ns0:c r="AH87" s="28" t="n"/>
      <ns0:c r="AI87" s="28" t="n"/>
      <ns0:c r="AJ87" s="28" t="n"/>
      <ns0:c r="AK87" s="28" t="n"/>
      <ns0:c r="AL87" s="28" t="n"/>
      <ns0:c r="AM87" s="28" t="n"/>
      <ns0:c r="AN87" s="28" t="n"/>
      <ns0:c r="AO87" s="28" t="n"/>
      <ns0:c r="AP87" s="28" t="n"/>
    </ns0:row>
    <ns0:row r="88" ht="26.25" customHeight="1">
      <ns0:c r="B88" s="42" t="n"/>
      <ns0:c r="C88" s="87" t="inlineStr">
        <ns0:is>
          <ns0:t>Date</ns0:t>
        </ns0:is>
      </ns0:c>
      <ns0:c r="D88" s="87" t="inlineStr">
        <ns0:is>
          <ns0:t>Line</ns0:t>
        </ns0:is>
      </ns0:c>
      <ns0:c r="E88" s="87" t="inlineStr">
        <ns0:is>
          <ns0:t>Item</ns0:t>
        </ns0:is>
      </ns0:c>
      <ns0:c r="F88" s="45" t="n"/>
      <ns0:c r="G88" s="87" t="inlineStr">
        <ns0:is>
          <ns0:t>Input</ns0:t>
        </ns0:is>
      </ns0:c>
      <ns0:c r="H88" s="87" t="inlineStr">
        <ns0:is>
          <ns0:t>OK</ns0:t>
        </ns0:is>
      </ns0:c>
      <ns0:c r="I88" s="88" t="inlineStr">
        <ns0:is>
          <ns0:t>NG</ns0:t>
        </ns0:is>
      </ns0:c>
      <ns0:c r="J88" s="18" t="n"/>
      <ns0:c r="K88" s="18" t="n"/>
      <ns0:c r="L88" s="60" t="n"/>
      <ns0:c r="M88" s="87" t="inlineStr">
        <ns0:is>
          <ns0:t>Total NG</ns0:t>
        </ns0:is>
      </ns0:c>
      <ns0:c r="N88" s="87" t="inlineStr">
        <ns0:is>
          <ns0:t>NG rate</ns0:t>
        </ns0:is>
      </ns0:c>
      <ns0:c r="P88" s="38" t="n"/>
      <ns0:c r="Q88" s="38" t="n"/>
      <ns0:c r="R88" s="38" t="n"/>
      <ns0:c r="S88" s="38" t="n"/>
      <ns0:c r="T88" s="38" t="n"/>
      <ns0:c r="U88" s="39" t="n"/>
      <ns0:c r="V88" s="40" t="n"/>
      <ns0:c r="W88" s="28" t="n"/>
      <ns0:c r="Y88" s="28" t="n"/>
      <ns0:c r="Z88" s="28" t="n"/>
      <ns0:c r="AA88" s="28" t="n"/>
      <ns0:c r="AB88" s="28" t="n"/>
      <ns0:c r="AC88" s="28" t="n"/>
      <ns0:c r="AD88" s="28" t="n"/>
      <ns0:c r="AE88" s="28" t="n"/>
      <ns0:c r="AF88" s="28" t="n"/>
      <ns0:c r="AG88" s="28" t="n"/>
      <ns0:c r="AH88" s="28" t="n"/>
      <ns0:c r="AI88" s="28" t="n"/>
      <ns0:c r="AJ88" s="28" t="n"/>
      <ns0:c r="AK88" s="28" t="n"/>
      <ns0:c r="AL88" s="28" t="n"/>
      <ns0:c r="AM88" s="28" t="n"/>
      <ns0:c r="AN88" s="28" t="n"/>
      <ns0:c r="AO88" s="28" t="n"/>
      <ns0:c r="AP88" s="28" t="n"/>
    </ns0:row>
    <ns0:row r="89" ht="26.25" customHeight="1">
      <ns0:c r="B89" s="42" t="n"/>
      <ns0:c r="C89" s="49" t="n"/>
      <ns0:c r="D89" s="49" t="n"/>
      <ns0:c r="E89" s="13" t="n"/>
      <ns0:c r="F89" s="15" t="n"/>
      <ns0:c r="G89" s="49" t="n"/>
      <ns0:c r="H89" s="49" t="n"/>
      <ns0:c r="I89" s="87" t="inlineStr">
        <ns0:is>
          <ns0:t>Bako</ns0:t>
        </ns0:is>
      </ns0:c>
      <ns0:c r="J89" s="87" t="inlineStr">
        <ns0:is>
          <ns0:t>Hearing 1</ns0:t>
        </ns0:is>
      </ns0:c>
      <ns0:c r="K89" s="87" t="inlineStr">
        <ns0:is>
          <ns0:t>Hearing 2</ns0:t>
        </ns0:is>
      </ns0:c>
      <ns0:c r="L89" s="87" t="inlineStr">
        <ns0:is>
          <ns0:t>Air leak</ns0:t>
        </ns0:is>
      </ns0:c>
      <ns0:c r="M89" s="49" t="n"/>
      <ns0:c r="N89" s="49" t="n"/>
      <ns0:c r="P89" s="38" t="n"/>
      <ns0:c r="Q89" s="38" t="n"/>
      <ns0:c r="R89" s="38" t="n"/>
      <ns0:c r="S89" s="38" t="n"/>
      <ns0:c r="T89" s="38" t="n"/>
      <ns0:c r="U89" s="39" t="n"/>
      <ns0:c r="V89" s="40" t="n"/>
      <ns0:c r="W89" s="28" t="n"/>
      <ns0:c r="Y89" s="28" t="n"/>
      <ns0:c r="Z89" s="28" t="n"/>
      <ns0:c r="AA89" s="28" t="n"/>
      <ns0:c r="AB89" s="28" t="n"/>
      <ns0:c r="AC89" s="28" t="n"/>
      <ns0:c r="AD89" s="28" t="n"/>
      <ns0:c r="AE89" s="28" t="n"/>
      <ns0:c r="AF89" s="28" t="n"/>
      <ns0:c r="AG89" s="28" t="n"/>
      <ns0:c r="AH89" s="28" t="n"/>
      <ns0:c r="AI89" s="28" t="n"/>
      <ns0:c r="AJ89" s="28" t="n"/>
      <ns0:c r="AK89" s="28" t="n"/>
      <ns0:c r="AL89" s="28" t="n"/>
      <ns0:c r="AM89" s="28" t="n"/>
      <ns0:c r="AN89" s="28" t="n"/>
      <ns0:c r="AO89" s="28" t="n"/>
      <ns0:c r="AP89" s="28" t="n"/>
    </ns0:row>
    <ns0:row r="90" ht="21" customHeight="1">
      <ns0:c r="B90" s="42" t="n"/>
      <ns0:c r="C90" s="89" t="n">
        <ns0:v>45579</ns0:v>
      </ns0:c>
      <ns0:c r="D90" s="90" t="inlineStr">
        <ns0:is>
          <ns0:t>B2-8A</ns0:t>
        </ns0:is>
      </ns0:c>
      <ns0:c r="E90" s="91" t="inlineStr">
        <ns0:is>
          <ns0:t>SPK repair NG hearing + voltage normal</ns0:t>
        </ns0:is>
      </ns0:c>
      <ns0:c r="F90" s="45" t="n"/>
      <ns0:c r="G90" s="92" t="n">
        <ns0:v>34</ns0:v>
      </ns0:c>
      <ns0:c r="H90" s="92" t="n">
        <ns0:v>30</ns0:v>
      </ns0:c>
      <ns0:c r="I90" s="92" t="n">
        <ns0:v>3</ns0:v>
      </ns0:c>
      <ns0:c r="J90" s="92" t="n">
        <ns0:v>1</ns0:v>
      </ns0:c>
      <ns0:c r="K90" s="92" t="n">
        <ns0:v>0</ns0:v>
      </ns0:c>
      <ns0:c r="L90" s="92" t="n">
        <ns0:v>0</ns0:v>
      </ns0:c>
      <ns0:c r="M90" s="92" t="n">
        <ns0:v>4</ns0:v>
      </ns0:c>
      <ns0:c r="N90" s="93" t="n">
        <ns0:v>0.1176470588235294</ns0:v>
      </ns0:c>
      <ns0:c r="P90" s="38" t="n"/>
      <ns0:c r="Q90" s="38" t="n"/>
      <ns0:c r="R90" s="38" t="n"/>
      <ns0:c r="S90" s="38" t="n"/>
      <ns0:c r="T90" s="38" t="n"/>
      <ns0:c r="U90" s="39" t="n"/>
      <ns0:c r="V90" s="40" t="n"/>
      <ns0:c r="W90" s="28" t="n"/>
      <ns0:c r="Y90" s="28" t="n"/>
      <ns0:c r="Z90" s="28" t="n"/>
      <ns0:c r="AA90" s="28" t="n"/>
      <ns0:c r="AB90" s="28" t="n"/>
      <ns0:c r="AC90" s="28" t="n"/>
      <ns0:c r="AD90" s="28" t="n"/>
      <ns0:c r="AE90" s="28" t="n"/>
      <ns0:c r="AF90" s="28" t="n"/>
      <ns0:c r="AG90" s="28" t="n"/>
      <ns0:c r="AH90" s="28" t="n"/>
      <ns0:c r="AI90" s="28" t="n"/>
      <ns0:c r="AJ90" s="28" t="n"/>
      <ns0:c r="AK90" s="28" t="n"/>
      <ns0:c r="AL90" s="28" t="n"/>
      <ns0:c r="AM90" s="28" t="n"/>
      <ns0:c r="AN90" s="28" t="n"/>
      <ns0:c r="AO90" s="28" t="n"/>
      <ns0:c r="AP90" s="28" t="n"/>
    </ns0:row>
    <ns0:row r="91" ht="26.25" customHeight="1">
      <ns0:c r="B91" s="42" t="n"/>
      <ns0:c r="C91" s="48" t="n"/>
      <ns0:c r="D91" s="48" t="n"/>
      <ns0:c r="E91" s="8" t="n"/>
      <ns0:c r="F91" s="9" t="n"/>
      <ns0:c r="G91" s="49" t="n"/>
      <ns0:c r="H91" s="49" t="n"/>
      <ns0:c r="I91" s="94" t="n">
        <ns0:v>0.08823529411764706</ns0:v>
      </ns0:c>
      <ns0:c r="J91" s="94" t="n">
        <ns0:v>0.02941176470588235</ns0:v>
      </ns0:c>
      <ns0:c r="K91" s="94" t="n">
        <ns0:v>0</ns0:v>
      </ns0:c>
      <ns0:c r="L91" s="94" t="n">
        <ns0:v>0</ns0:v>
      </ns0:c>
      <ns0:c r="M91" s="49" t="n"/>
      <ns0:c r="N91" s="49" t="n"/>
      <ns0:c r="P91" s="38" t="n"/>
      <ns0:c r="Q91" s="38" t="n"/>
      <ns0:c r="R91" s="38" t="n"/>
      <ns0:c r="S91" s="38" t="n"/>
      <ns0:c r="T91" s="38" t="n"/>
      <ns0:c r="U91" s="39" t="n"/>
      <ns0:c r="V91" s="40" t="n"/>
      <ns0:c r="W91" s="28" t="n"/>
      <ns0:c r="Y91" s="28" t="n"/>
      <ns0:c r="Z91" s="28" t="n"/>
      <ns0:c r="AA91" s="28" t="n"/>
      <ns0:c r="AB91" s="28" t="n"/>
      <ns0:c r="AC91" s="28" t="n"/>
      <ns0:c r="AD91" s="28" t="n"/>
      <ns0:c r="AE91" s="28" t="n"/>
      <ns0:c r="AF91" s="28" t="n"/>
      <ns0:c r="AG91" s="28" t="n"/>
      <ns0:c r="AH91" s="28" t="n"/>
      <ns0:c r="AI91" s="28" t="n"/>
      <ns0:c r="AJ91" s="28" t="n"/>
      <ns0:c r="AK91" s="28" t="n"/>
      <ns0:c r="AL91" s="28" t="n"/>
      <ns0:c r="AM91" s="28" t="n"/>
      <ns0:c r="AN91" s="28" t="n"/>
      <ns0:c r="AO91" s="28" t="n"/>
      <ns0:c r="AP91" s="28" t="n"/>
    </ns0:row>
    <ns0:row r="92" ht="21" customHeight="1">
      <ns0:c r="B92" s="42" t="n"/>
      <ns0:c r="C92" s="48" t="n"/>
      <ns0:c r="D92" s="48" t="n"/>
      <ns0:c r="E92" s="95" t="inlineStr">
        <ns0:is>
          <ns0:t>SPK repair NG hearing + voltage increase 10%</ns0:t>
        </ns0:is>
      </ns0:c>
      <ns0:c r="F92" s="45" t="n"/>
      <ns0:c r="G92" s="90" t="n">
        <ns0:v>117</ns0:v>
      </ns0:c>
      <ns0:c r="H92" s="90" t="n">
        <ns0:v>116</ns0:v>
      </ns0:c>
      <ns0:c r="I92" s="90" t="n">
        <ns0:v>1</ns0:v>
      </ns0:c>
      <ns0:c r="J92" s="90" t="n">
        <ns0:v>0</ns0:v>
      </ns0:c>
      <ns0:c r="K92" s="90" t="n">
        <ns0:v>0</ns0:v>
      </ns0:c>
      <ns0:c r="L92" s="90" t="n">
        <ns0:v>0</ns0:v>
      </ns0:c>
      <ns0:c r="M92" s="90" t="n">
        <ns0:v>1</ns0:v>
      </ns0:c>
      <ns0:c r="N92" s="96" t="n">
        <ns0:v>0.008547008547008548</ns0:v>
      </ns0:c>
      <ns0:c r="P92" s="38" t="n"/>
      <ns0:c r="Q92" s="38" t="n"/>
      <ns0:c r="R92" s="38" t="n"/>
      <ns0:c r="S92" s="38" t="n"/>
      <ns0:c r="T92" s="38" t="n"/>
      <ns0:c r="U92" s="39" t="n"/>
      <ns0:c r="V92" s="40" t="n"/>
      <ns0:c r="W92" s="28" t="n"/>
      <ns0:c r="Y92" s="28" t="n"/>
      <ns0:c r="Z92" s="28" t="n"/>
      <ns0:c r="AA92" s="28" t="n"/>
      <ns0:c r="AB92" s="28" t="n"/>
      <ns0:c r="AC92" s="28" t="n"/>
      <ns0:c r="AD92" s="28" t="n"/>
      <ns0:c r="AE92" s="28" t="n"/>
      <ns0:c r="AF92" s="28" t="n"/>
      <ns0:c r="AG92" s="28" t="n"/>
      <ns0:c r="AH92" s="28" t="n"/>
      <ns0:c r="AI92" s="28" t="n"/>
      <ns0:c r="AJ92" s="28" t="n"/>
      <ns0:c r="AK92" s="28" t="n"/>
      <ns0:c r="AL92" s="28" t="n"/>
      <ns0:c r="AM92" s="28" t="n"/>
      <ns0:c r="AN92" s="28" t="n"/>
      <ns0:c r="AO92" s="28" t="n"/>
      <ns0:c r="AP92" s="28" t="n"/>
    </ns0:row>
    <ns0:row r="93" ht="26.25" customHeight="1">
      <ns0:c r="B93" s="42" t="n"/>
      <ns0:c r="C93" s="48" t="n"/>
      <ns0:c r="D93" s="48" t="n"/>
      <ns0:c r="E93" s="8" t="n"/>
      <ns0:c r="F93" s="9" t="n"/>
      <ns0:c r="G93" s="49" t="n"/>
      <ns0:c r="H93" s="49" t="n"/>
      <ns0:c r="I93" s="97" t="n">
        <ns0:v>0.008547008547008548</ns0:v>
      </ns0:c>
      <ns0:c r="J93" s="97" t="n">
        <ns0:v>0</ns0:v>
      </ns0:c>
      <ns0:c r="K93" s="97" t="n">
        <ns0:v>0</ns0:v>
      </ns0:c>
      <ns0:c r="L93" s="97" t="n">
        <ns0:v>0</ns0:v>
      </ns0:c>
      <ns0:c r="M93" s="49" t="n"/>
      <ns0:c r="N93" s="49" t="n"/>
      <ns0:c r="P93" s="38" t="n"/>
      <ns0:c r="Q93" s="38" t="n"/>
      <ns0:c r="R93" s="38" t="n"/>
      <ns0:c r="S93" s="38" t="n"/>
      <ns0:c r="T93" s="38" t="n"/>
      <ns0:c r="U93" s="39" t="n"/>
      <ns0:c r="V93" s="40" t="n"/>
      <ns0:c r="W93" s="28" t="n"/>
      <ns0:c r="Y93" s="28" t="n"/>
      <ns0:c r="Z93" s="28" t="n"/>
      <ns0:c r="AA93" s="28" t="n"/>
      <ns0:c r="AB93" s="28" t="n"/>
      <ns0:c r="AC93" s="28" t="n"/>
      <ns0:c r="AD93" s="28" t="n"/>
      <ns0:c r="AE93" s="28" t="n"/>
      <ns0:c r="AF93" s="28" t="n"/>
      <ns0:c r="AG93" s="28" t="n"/>
      <ns0:c r="AH93" s="28" t="n"/>
      <ns0:c r="AI93" s="28" t="n"/>
      <ns0:c r="AJ93" s="28" t="n"/>
      <ns0:c r="AK93" s="28" t="n"/>
      <ns0:c r="AL93" s="28" t="n"/>
      <ns0:c r="AM93" s="28" t="n"/>
      <ns0:c r="AN93" s="28" t="n"/>
      <ns0:c r="AO93" s="28" t="n"/>
      <ns0:c r="AP93" s="28" t="n"/>
    </ns0:row>
    <ns0:row r="94" ht="26.25" customHeight="1">
      <ns0:c r="B94" s="42" t="n"/>
      <ns0:c r="C94" s="48" t="n"/>
      <ns0:c r="D94" s="48" t="n"/>
      <ns0:c r="E94" s="98" t="inlineStr">
        <ns0:is>
          <ns0:t xml:space="preserve">Normal </ns0:t>
        </ns0:is>
      </ns0:c>
      <ns0:c r="F94" s="45" t="n"/>
      <ns0:c r="G94" s="90" t="n">
        <ns0:v>217</ns0:v>
      </ns0:c>
      <ns0:c r="H94" s="90" t="n">
        <ns0:v>215</ns0:v>
      </ns0:c>
      <ns0:c r="I94" s="90" t="n">
        <ns0:v>1</ns0:v>
      </ns0:c>
      <ns0:c r="J94" s="90" t="n">
        <ns0:v>1</ns0:v>
      </ns0:c>
      <ns0:c r="K94" s="90" t="n">
        <ns0:v>0</ns0:v>
      </ns0:c>
      <ns0:c r="L94" s="90" t="n">
        <ns0:v>0</ns0:v>
      </ns0:c>
      <ns0:c r="M94" s="90" t="n">
        <ns0:v>2</ns0:v>
      </ns0:c>
      <ns0:c r="N94" s="96" t="n">
        <ns0:v>0.009216589861751152</ns0:v>
      </ns0:c>
      <ns0:c r="P94" s="38" t="n"/>
      <ns0:c r="Q94" s="38" t="n"/>
      <ns0:c r="R94" s="38" t="n"/>
      <ns0:c r="S94" s="38" t="n"/>
      <ns0:c r="T94" s="38" t="n"/>
      <ns0:c r="U94" s="39" t="n"/>
      <ns0:c r="V94" s="40" t="n"/>
      <ns0:c r="W94" s="28" t="n"/>
      <ns0:c r="Y94" s="28" t="n"/>
      <ns0:c r="Z94" s="28" t="n"/>
      <ns0:c r="AA94" s="28" t="n"/>
      <ns0:c r="AB94" s="28" t="n"/>
      <ns0:c r="AC94" s="28" t="n"/>
      <ns0:c r="AD94" s="28" t="n"/>
      <ns0:c r="AE94" s="28" t="n"/>
      <ns0:c r="AF94" s="28" t="n"/>
      <ns0:c r="AG94" s="28" t="n"/>
      <ns0:c r="AH94" s="28" t="n"/>
      <ns0:c r="AI94" s="28" t="n"/>
      <ns0:c r="AJ94" s="28" t="n"/>
      <ns0:c r="AK94" s="28" t="n"/>
      <ns0:c r="AL94" s="28" t="n"/>
      <ns0:c r="AM94" s="28" t="n"/>
      <ns0:c r="AN94" s="28" t="n"/>
      <ns0:c r="AO94" s="28" t="n"/>
      <ns0:c r="AP94" s="28" t="n"/>
    </ns0:row>
    <ns0:row r="95" ht="26.25" customHeight="1">
      <ns0:c r="B95" s="42" t="n"/>
      <ns0:c r="C95" s="49" t="n"/>
      <ns0:c r="D95" s="49" t="n"/>
      <ns0:c r="E95" s="13" t="n"/>
      <ns0:c r="F95" s="15" t="n"/>
      <ns0:c r="G95" s="49" t="n"/>
      <ns0:c r="H95" s="49" t="n"/>
      <ns0:c r="I95" s="97" t="n">
        <ns0:v>0.004608294930875576</ns0:v>
      </ns0:c>
      <ns0:c r="J95" s="97" t="n">
        <ns0:v>0.004608294930875576</ns0:v>
      </ns0:c>
      <ns0:c r="K95" s="97" t="n">
        <ns0:v>0</ns0:v>
      </ns0:c>
      <ns0:c r="L95" s="97" t="n">
        <ns0:v>0</ns0:v>
      </ns0:c>
      <ns0:c r="M95" s="49" t="n"/>
      <ns0:c r="N95" s="49" t="n"/>
      <ns0:c r="P95" s="38" t="n"/>
      <ns0:c r="Q95" s="38" t="n"/>
      <ns0:c r="R95" s="38" t="n"/>
      <ns0:c r="S95" s="38" t="n"/>
      <ns0:c r="T95" s="38" t="n"/>
      <ns0:c r="U95" s="39" t="n"/>
      <ns0:c r="V95" s="40" t="n"/>
      <ns0:c r="W95" s="28" t="n"/>
      <ns0:c r="Y95" s="28" t="n"/>
      <ns0:c r="Z95" s="28" t="n"/>
      <ns0:c r="AA95" s="28" t="n"/>
      <ns0:c r="AB95" s="28" t="n"/>
      <ns0:c r="AC95" s="28" t="n"/>
      <ns0:c r="AD95" s="28" t="n"/>
      <ns0:c r="AE95" s="28" t="n"/>
      <ns0:c r="AF95" s="28" t="n"/>
      <ns0:c r="AG95" s="28" t="n"/>
      <ns0:c r="AH95" s="28" t="n"/>
      <ns0:c r="AI95" s="28" t="n"/>
      <ns0:c r="AJ95" s="28" t="n"/>
      <ns0:c r="AK95" s="28" t="n"/>
      <ns0:c r="AL95" s="28" t="n"/>
      <ns0:c r="AM95" s="28" t="n"/>
      <ns0:c r="AN95" s="28" t="n"/>
      <ns0:c r="AO95" s="28" t="n"/>
      <ns0:c r="AP95" s="28" t="n"/>
    </ns0:row>
    <ns0:row r="96" ht="26.25" customHeight="1">
      <ns0:c r="B96" s="42" t="n"/>
      <ns0:c r="C96" s="99" t="n"/>
      <ns0:c r="D96" s="100" t="n"/>
      <ns0:c r="E96" s="101" t="n"/>
      <ns0:c r="F96" s="101" t="n"/>
      <ns0:c r="G96" s="100" t="n"/>
      <ns0:c r="H96" s="100" t="n"/>
      <ns0:c r="I96" s="102" t="n"/>
      <ns0:c r="J96" s="102" t="n"/>
      <ns0:c r="K96" s="102" t="n"/>
      <ns0:c r="L96" s="102" t="n"/>
      <ns0:c r="M96" s="100" t="n"/>
      <ns0:c r="N96" s="103" t="n"/>
      <ns0:c r="P96" s="38" t="n"/>
      <ns0:c r="Q96" s="38" t="n"/>
      <ns0:c r="R96" s="38" t="n"/>
      <ns0:c r="S96" s="38" t="n"/>
      <ns0:c r="T96" s="38" t="n"/>
      <ns0:c r="U96" s="39" t="n"/>
      <ns0:c r="V96" s="40" t="n"/>
      <ns0:c r="W96" s="28" t="n"/>
      <ns0:c r="Y96" s="28" t="n"/>
      <ns0:c r="Z96" s="28" t="n"/>
      <ns0:c r="AA96" s="28" t="n"/>
      <ns0:c r="AB96" s="28" t="n"/>
      <ns0:c r="AC96" s="28" t="n"/>
      <ns0:c r="AD96" s="28" t="n"/>
      <ns0:c r="AE96" s="28" t="n"/>
      <ns0:c r="AF96" s="28" t="n"/>
      <ns0:c r="AG96" s="28" t="n"/>
      <ns0:c r="AH96" s="28" t="n"/>
      <ns0:c r="AI96" s="28" t="n"/>
      <ns0:c r="AJ96" s="28" t="n"/>
      <ns0:c r="AK96" s="28" t="n"/>
      <ns0:c r="AL96" s="28" t="n"/>
      <ns0:c r="AM96" s="28" t="n"/>
      <ns0:c r="AN96" s="28" t="n"/>
      <ns0:c r="AO96" s="28" t="n"/>
      <ns0:c r="AP96" s="28" t="n"/>
    </ns0:row>
    <ns0:row r="97" ht="26.25" customHeight="1">
      <ns0:c r="B97" s="42" t="n"/>
      <ns0:c r="C97" s="99" t="n"/>
      <ns0:c r="D97" s="100" t="n"/>
      <ns0:c r="E97" s="101" t="n"/>
      <ns0:c r="F97" s="101" t="n"/>
      <ns0:c r="G97" s="100" t="n"/>
      <ns0:c r="H97" s="100" t="n"/>
      <ns0:c r="I97" s="102" t="n"/>
      <ns0:c r="J97" s="102" t="n"/>
      <ns0:c r="K97" s="102" t="n"/>
      <ns0:c r="L97" s="102" t="n"/>
      <ns0:c r="M97" s="100" t="n"/>
      <ns0:c r="N97" s="103" t="n"/>
      <ns0:c r="P97" s="38" t="n"/>
      <ns0:c r="Q97" s="38" t="n"/>
      <ns0:c r="R97" s="38" t="n"/>
      <ns0:c r="S97" s="38" t="n"/>
      <ns0:c r="T97" s="38" t="n"/>
      <ns0:c r="U97" s="39" t="n"/>
      <ns0:c r="V97" s="40" t="n"/>
      <ns0:c r="W97" s="28" t="n"/>
      <ns0:c r="Y97" s="28" t="n"/>
      <ns0:c r="Z97" s="28" t="n"/>
      <ns0:c r="AA97" s="28" t="n"/>
      <ns0:c r="AB97" s="28" t="n"/>
      <ns0:c r="AC97" s="28" t="n"/>
      <ns0:c r="AD97" s="28" t="n"/>
      <ns0:c r="AE97" s="28" t="n"/>
      <ns0:c r="AF97" s="28" t="n"/>
      <ns0:c r="AG97" s="28" t="n"/>
      <ns0:c r="AH97" s="28" t="n"/>
      <ns0:c r="AI97" s="28" t="n"/>
      <ns0:c r="AJ97" s="28" t="n"/>
      <ns0:c r="AK97" s="28" t="n"/>
      <ns0:c r="AL97" s="28" t="n"/>
      <ns0:c r="AM97" s="28" t="n"/>
      <ns0:c r="AN97" s="28" t="n"/>
      <ns0:c r="AO97" s="28" t="n"/>
      <ns0:c r="AP97" s="28" t="n"/>
    </ns0:row>
    <ns0:row r="98" ht="26.25" customHeight="1">
      <ns0:c r="B98" s="42" t="n"/>
      <ns0:c r="C98" s="99" t="n"/>
      <ns0:c r="D98" s="100" t="n"/>
      <ns0:c r="E98" s="101" t="n"/>
      <ns0:c r="F98" s="101" t="n"/>
      <ns0:c r="G98" s="100" t="n"/>
      <ns0:c r="H98" s="100" t="n"/>
      <ns0:c r="I98" s="102" t="n"/>
      <ns0:c r="J98" s="102" t="n"/>
      <ns0:c r="K98" s="102" t="n"/>
      <ns0:c r="L98" s="102" t="n"/>
      <ns0:c r="M98" s="100" t="n"/>
      <ns0:c r="N98" s="103" t="n"/>
      <ns0:c r="P98" s="38" t="n"/>
      <ns0:c r="Q98" s="38" t="n"/>
      <ns0:c r="R98" s="38" t="n"/>
      <ns0:c r="S98" s="38" t="n"/>
      <ns0:c r="T98" s="38" t="n"/>
      <ns0:c r="U98" s="39" t="n"/>
      <ns0:c r="V98" s="40" t="n"/>
      <ns0:c r="W98" s="28" t="n"/>
      <ns0:c r="Y98" s="28" t="n"/>
      <ns0:c r="Z98" s="28" t="n"/>
      <ns0:c r="AA98" s="28" t="n"/>
      <ns0:c r="AB98" s="28" t="n"/>
      <ns0:c r="AC98" s="28" t="n"/>
      <ns0:c r="AD98" s="28" t="n"/>
      <ns0:c r="AE98" s="28" t="n"/>
      <ns0:c r="AF98" s="28" t="n"/>
      <ns0:c r="AG98" s="28" t="n"/>
      <ns0:c r="AH98" s="28" t="n"/>
      <ns0:c r="AI98" s="28" t="n"/>
      <ns0:c r="AJ98" s="28" t="n"/>
      <ns0:c r="AK98" s="28" t="n"/>
      <ns0:c r="AL98" s="28" t="n"/>
      <ns0:c r="AM98" s="28" t="n"/>
      <ns0:c r="AN98" s="28" t="n"/>
      <ns0:c r="AO98" s="28" t="n"/>
      <ns0:c r="AP98" s="28" t="n"/>
    </ns0:row>
    <ns0:row r="99" ht="26.25" customHeight="1">
      <ns0:c r="B99" s="42" t="n"/>
      <ns0:c r="C99" s="99" t="n"/>
      <ns0:c r="D99" s="100" t="n"/>
      <ns0:c r="E99" s="101" t="n"/>
      <ns0:c r="F99" s="101" t="n"/>
      <ns0:c r="G99" s="100" t="n"/>
      <ns0:c r="H99" s="100" t="n"/>
      <ns0:c r="I99" s="102" t="n"/>
      <ns0:c r="J99" s="102" t="n"/>
      <ns0:c r="K99" s="102" t="n"/>
      <ns0:c r="L99" s="102" t="n"/>
      <ns0:c r="M99" s="100" t="n"/>
      <ns0:c r="N99" s="103" t="n"/>
      <ns0:c r="P99" s="38" t="n"/>
      <ns0:c r="Q99" s="38" t="n"/>
      <ns0:c r="R99" s="38" t="n"/>
      <ns0:c r="S99" s="38" t="n"/>
      <ns0:c r="T99" s="38" t="n"/>
      <ns0:c r="U99" s="39" t="n"/>
      <ns0:c r="V99" s="40" t="n"/>
      <ns0:c r="W99" s="28" t="n"/>
      <ns0:c r="Y99" s="28" t="n"/>
      <ns0:c r="Z99" s="28" t="n"/>
      <ns0:c r="AA99" s="28" t="n"/>
      <ns0:c r="AB99" s="28" t="n"/>
      <ns0:c r="AC99" s="28" t="n"/>
      <ns0:c r="AD99" s="28" t="n"/>
      <ns0:c r="AE99" s="28" t="n"/>
      <ns0:c r="AF99" s="28" t="n"/>
      <ns0:c r="AG99" s="28" t="n"/>
      <ns0:c r="AH99" s="28" t="n"/>
      <ns0:c r="AI99" s="28" t="n"/>
      <ns0:c r="AJ99" s="28" t="n"/>
      <ns0:c r="AK99" s="28" t="n"/>
      <ns0:c r="AL99" s="28" t="n"/>
      <ns0:c r="AM99" s="28" t="n"/>
      <ns0:c r="AN99" s="28" t="n"/>
      <ns0:c r="AO99" s="28" t="n"/>
      <ns0:c r="AP99" s="28" t="n"/>
    </ns0:row>
    <ns0:row r="100" ht="26.25" customHeight="1">
      <ns0:c r="B100" s="42" t="n"/>
      <ns0:c r="C100" s="99" t="n"/>
      <ns0:c r="D100" s="100" t="n"/>
      <ns0:c r="E100" s="101" t="n"/>
      <ns0:c r="F100" s="101" t="n"/>
      <ns0:c r="G100" s="100" t="n"/>
      <ns0:c r="H100" s="100" t="n"/>
      <ns0:c r="I100" s="102" t="n"/>
      <ns0:c r="J100" s="102" t="n"/>
      <ns0:c r="K100" s="102" t="n"/>
      <ns0:c r="L100" s="102" t="n"/>
      <ns0:c r="M100" s="100" t="n"/>
      <ns0:c r="N100" s="103" t="n"/>
      <ns0:c r="P100" s="38" t="n"/>
      <ns0:c r="Q100" s="38" t="n"/>
      <ns0:c r="R100" s="38" t="n"/>
      <ns0:c r="S100" s="38" t="n"/>
      <ns0:c r="T100" s="38" t="n"/>
      <ns0:c r="U100" s="39" t="n"/>
      <ns0:c r="V100" s="40" t="n"/>
      <ns0:c r="W100" s="28" t="n"/>
      <ns0:c r="Y100" s="28" t="n"/>
      <ns0:c r="Z100" s="28" t="n"/>
      <ns0:c r="AA100" s="28" t="n"/>
      <ns0:c r="AB100" s="28" t="n"/>
      <ns0:c r="AC100" s="28" t="n"/>
      <ns0:c r="AD100" s="28" t="n"/>
      <ns0:c r="AE100" s="28" t="n"/>
      <ns0:c r="AF100" s="28" t="n"/>
      <ns0:c r="AG100" s="28" t="n"/>
      <ns0:c r="AH100" s="28" t="n"/>
      <ns0:c r="AI100" s="28" t="n"/>
      <ns0:c r="AJ100" s="28" t="n"/>
      <ns0:c r="AK100" s="28" t="n"/>
      <ns0:c r="AL100" s="28" t="n"/>
      <ns0:c r="AM100" s="28" t="n"/>
      <ns0:c r="AN100" s="28" t="n"/>
      <ns0:c r="AO100" s="28" t="n"/>
      <ns0:c r="AP100" s="28" t="n"/>
    </ns0:row>
    <ns0:row r="101" ht="26.25" customHeight="1">
      <ns0:c r="B101" s="42" t="n"/>
      <ns0:c r="C101" s="99" t="n"/>
      <ns0:c r="D101" s="100" t="n"/>
      <ns0:c r="E101" s="101" t="n"/>
      <ns0:c r="F101" s="101" t="n"/>
      <ns0:c r="G101" s="100" t="n"/>
      <ns0:c r="H101" s="100" t="n"/>
      <ns0:c r="I101" s="102" t="n"/>
      <ns0:c r="J101" s="102" t="n"/>
      <ns0:c r="K101" s="102" t="n"/>
      <ns0:c r="L101" s="102" t="n"/>
      <ns0:c r="M101" s="100" t="n"/>
      <ns0:c r="N101" s="103" t="n"/>
      <ns0:c r="P101" s="38" t="n"/>
      <ns0:c r="Q101" s="38" t="n"/>
      <ns0:c r="R101" s="38" t="n"/>
      <ns0:c r="S101" s="38" t="n"/>
      <ns0:c r="T101" s="38" t="n"/>
      <ns0:c r="U101" s="39" t="n"/>
      <ns0:c r="V101" s="40" t="n"/>
      <ns0:c r="W101" s="28" t="n"/>
      <ns0:c r="Y101" s="28" t="n"/>
      <ns0:c r="Z101" s="28" t="n"/>
      <ns0:c r="AA101" s="28" t="n"/>
      <ns0:c r="AB101" s="28" t="n"/>
      <ns0:c r="AC101" s="28" t="n"/>
      <ns0:c r="AD101" s="28" t="n"/>
      <ns0:c r="AE101" s="28" t="n"/>
      <ns0:c r="AF101" s="28" t="n"/>
      <ns0:c r="AG101" s="28" t="n"/>
      <ns0:c r="AH101" s="28" t="n"/>
      <ns0:c r="AI101" s="28" t="n"/>
      <ns0:c r="AJ101" s="28" t="n"/>
      <ns0:c r="AK101" s="28" t="n"/>
      <ns0:c r="AL101" s="28" t="n"/>
      <ns0:c r="AM101" s="28" t="n"/>
      <ns0:c r="AN101" s="28" t="n"/>
      <ns0:c r="AO101" s="28" t="n"/>
      <ns0:c r="AP101" s="28" t="n"/>
    </ns0:row>
    <ns0:row r="102" ht="26.25" customHeight="1">
      <ns0:c r="B102" s="42" t="n"/>
      <ns0:c r="C102" s="99" t="n"/>
      <ns0:c r="D102" s="100" t="n"/>
      <ns0:c r="E102" s="101" t="n"/>
      <ns0:c r="F102" s="101" t="n"/>
      <ns0:c r="G102" s="100" t="n"/>
      <ns0:c r="H102" s="100" t="n"/>
      <ns0:c r="I102" s="102" t="n"/>
      <ns0:c r="J102" s="102" t="n"/>
      <ns0:c r="K102" s="102" t="n"/>
      <ns0:c r="L102" s="102" t="n"/>
      <ns0:c r="M102" s="100" t="n"/>
      <ns0:c r="N102" s="103" t="n"/>
      <ns0:c r="P102" s="38" t="n"/>
      <ns0:c r="Q102" s="38" t="n"/>
      <ns0:c r="R102" s="38" t="n"/>
      <ns0:c r="S102" s="38" t="n"/>
      <ns0:c r="T102" s="38" t="n"/>
      <ns0:c r="U102" s="39" t="n"/>
      <ns0:c r="V102" s="40" t="n"/>
      <ns0:c r="W102" s="28" t="n"/>
      <ns0:c r="Y102" s="28" t="n"/>
      <ns0:c r="Z102" s="28" t="n"/>
      <ns0:c r="AA102" s="28" t="n"/>
      <ns0:c r="AB102" s="28" t="n"/>
      <ns0:c r="AC102" s="28" t="n"/>
      <ns0:c r="AD102" s="28" t="n"/>
      <ns0:c r="AE102" s="28" t="n"/>
      <ns0:c r="AF102" s="28" t="n"/>
      <ns0:c r="AG102" s="28" t="n"/>
      <ns0:c r="AH102" s="28" t="n"/>
      <ns0:c r="AI102" s="28" t="n"/>
      <ns0:c r="AJ102" s="28" t="n"/>
      <ns0:c r="AK102" s="28" t="n"/>
      <ns0:c r="AL102" s="28" t="n"/>
      <ns0:c r="AM102" s="28" t="n"/>
      <ns0:c r="AN102" s="28" t="n"/>
      <ns0:c r="AO102" s="28" t="n"/>
      <ns0:c r="AP102" s="28" t="n"/>
    </ns0:row>
    <ns0:row r="103" ht="26.25" customHeight="1">
      <ns0:c r="B103" s="42" t="n"/>
      <ns0:c r="C103" s="99" t="n"/>
      <ns0:c r="D103" s="100" t="n"/>
      <ns0:c r="E103" s="101" t="n"/>
      <ns0:c r="F103" s="101" t="n"/>
      <ns0:c r="G103" s="100" t="n"/>
      <ns0:c r="H103" s="100" t="n"/>
      <ns0:c r="I103" s="102" t="n"/>
      <ns0:c r="J103" s="102" t="n"/>
      <ns0:c r="K103" s="102" t="n"/>
      <ns0:c r="L103" s="102" t="n"/>
      <ns0:c r="M103" s="100" t="n"/>
      <ns0:c r="N103" s="103" t="n"/>
      <ns0:c r="P103" s="38" t="n"/>
      <ns0:c r="Q103" s="38" t="n"/>
      <ns0:c r="R103" s="38" t="n"/>
      <ns0:c r="S103" s="38" t="n"/>
      <ns0:c r="T103" s="38" t="n"/>
      <ns0:c r="U103" s="39" t="n"/>
      <ns0:c r="V103" s="40" t="n"/>
      <ns0:c r="W103" s="28" t="n"/>
      <ns0:c r="Y103" s="28" t="n"/>
      <ns0:c r="Z103" s="28" t="n"/>
      <ns0:c r="AA103" s="28" t="n"/>
      <ns0:c r="AB103" s="28" t="n"/>
      <ns0:c r="AC103" s="28" t="n"/>
      <ns0:c r="AD103" s="28" t="n"/>
      <ns0:c r="AE103" s="28" t="n"/>
      <ns0:c r="AF103" s="28" t="n"/>
      <ns0:c r="AG103" s="28" t="n"/>
      <ns0:c r="AH103" s="28" t="n"/>
      <ns0:c r="AI103" s="28" t="n"/>
      <ns0:c r="AJ103" s="28" t="n"/>
      <ns0:c r="AK103" s="28" t="n"/>
      <ns0:c r="AL103" s="28" t="n"/>
      <ns0:c r="AM103" s="28" t="n"/>
      <ns0:c r="AN103" s="28" t="n"/>
      <ns0:c r="AO103" s="28" t="n"/>
      <ns0:c r="AP103" s="28" t="n"/>
    </ns0:row>
    <ns0:row r="104" ht="26.25" customHeight="1">
      <ns0:c r="B104" s="42" t="n"/>
      <ns0:c r="C104" s="36" t="n"/>
      <ns0:c r="D104" s="36" t="n"/>
      <ns0:c r="E104" s="36" t="n"/>
      <ns0:c r="F104" s="36" t="n"/>
      <ns0:c r="G104" s="37" t="n"/>
      <ns0:c r="H104" s="37" t="n"/>
      <ns0:c r="I104" s="38" t="n"/>
      <ns0:c r="J104" s="38" t="n"/>
      <ns0:c r="K104" s="38" t="n"/>
      <ns0:c r="L104" s="39" t="n"/>
      <ns0:c r="M104" s="38" t="n"/>
      <ns0:c r="N104" s="38" t="n"/>
      <ns0:c r="O104" s="38" t="n"/>
      <ns0:c r="P104" s="38" t="n"/>
      <ns0:c r="Q104" s="38" t="n"/>
      <ns0:c r="R104" s="38" t="n"/>
      <ns0:c r="S104" s="38" t="n"/>
      <ns0:c r="T104" s="38" t="n"/>
      <ns0:c r="U104" s="39" t="n"/>
      <ns0:c r="V104" s="40" t="n"/>
      <ns0:c r="W104" s="28" t="n"/>
      <ns0:c r="Y104" s="28" t="n"/>
      <ns0:c r="Z104" s="28" t="n"/>
      <ns0:c r="AA104" s="28" t="n"/>
      <ns0:c r="AB104" s="28" t="n"/>
      <ns0:c r="AC104" s="28" t="n"/>
      <ns0:c r="AD104" s="28" t="n"/>
      <ns0:c r="AE104" s="28" t="n"/>
      <ns0:c r="AF104" s="28" t="n"/>
      <ns0:c r="AG104" s="28" t="n"/>
      <ns0:c r="AH104" s="28" t="n"/>
      <ns0:c r="AI104" s="28" t="n"/>
      <ns0:c r="AJ104" s="28" t="n"/>
      <ns0:c r="AK104" s="28" t="n"/>
      <ns0:c r="AL104" s="28" t="n"/>
      <ns0:c r="AM104" s="28" t="n"/>
      <ns0:c r="AN104" s="28" t="n"/>
      <ns0:c r="AO104" s="28" t="n"/>
      <ns0:c r="AP104" s="28" t="n"/>
    </ns0:row>
    <ns0:row r="105" ht="26.25" customHeight="1">
      <ns0:c r="B105" s="65" t="inlineStr">
        <ns0:is>
          <ns0:t xml:space="preserve">  . Test Result &amp; 1st Fixing Standard</ns0:t>
        </ns0:is>
      </ns0:c>
      <ns0:c r="C105" s="66" t="n"/>
      <ns0:c r="D105" s="66" t="n"/>
      <ns0:c r="E105" s="66" t="n"/>
      <ns0:c r="F105" s="66" t="n"/>
      <ns0:c r="G105" s="67" t="n"/>
      <ns0:c r="H105" s="67" t="n"/>
      <ns0:c r="I105" s="68" t="n"/>
      <ns0:c r="J105" s="68" t="n"/>
      <ns0:c r="K105" s="68" t="n"/>
      <ns0:c r="L105" s="69" t="n"/>
      <ns0:c r="M105" s="68" t="n"/>
      <ns0:c r="N105" s="68" t="n"/>
      <ns0:c r="O105" s="68" t="n"/>
      <ns0:c r="P105" s="68" t="n"/>
      <ns0:c r="Q105" s="68" t="n"/>
      <ns0:c r="R105" s="68" t="n"/>
      <ns0:c r="S105" s="68" t="n"/>
      <ns0:c r="T105" s="68" t="n"/>
      <ns0:c r="U105" s="69" t="n"/>
      <ns0:c r="V105" s="70" t="n"/>
      <ns0:c r="W105" s="28" t="n"/>
      <ns0:c r="Y105" s="28" t="n"/>
      <ns0:c r="Z105" s="28" t="n"/>
      <ns0:c r="AA105" s="28" t="n"/>
      <ns0:c r="AB105" s="28" t="n"/>
      <ns0:c r="AC105" s="28" t="n"/>
      <ns0:c r="AD105" s="28" t="n"/>
      <ns0:c r="AE105" s="28" t="n"/>
      <ns0:c r="AF105" s="28" t="n"/>
      <ns0:c r="AG105" s="28" t="n"/>
      <ns0:c r="AH105" s="28" t="n"/>
      <ns0:c r="AI105" s="28" t="n"/>
      <ns0:c r="AJ105" s="28" t="n"/>
      <ns0:c r="AK105" s="28" t="n"/>
      <ns0:c r="AL105" s="28" t="n"/>
      <ns0:c r="AM105" s="28" t="n"/>
      <ns0:c r="AN105" s="28" t="n"/>
      <ns0:c r="AO105" s="28" t="n"/>
      <ns0:c r="AP105" s="28" t="n"/>
    </ns0:row>
    <ns0:row r="106" ht="26.25" customHeight="1">
      <ns0:c r="B106" s="71" t="inlineStr">
        <ns0:is>
          <ns0:t xml:space="preserve">    - 161016 SPK Hearing Up Voltage +10%</ns0:t>
        </ns0:is>
      </ns0:c>
      <ns0:c r="C106" s="36" t="n"/>
      <ns0:c r="D106" s="36" t="n"/>
      <ns0:c r="E106" s="36" t="n"/>
      <ns0:c r="F106" s="36" t="n"/>
      <ns0:c r="G106" s="37" t="n"/>
      <ns0:c r="H106" s="37" t="n"/>
      <ns0:c r="I106" s="38" t="n"/>
      <ns0:c r="J106" s="38" t="n"/>
      <ns0:c r="K106" s="38" t="n"/>
      <ns0:c r="L106" s="39" t="n"/>
      <ns0:c r="M106" s="38" t="n"/>
      <ns0:c r="N106" s="38" t="n"/>
      <ns0:c r="O106" s="38" t="n"/>
      <ns0:c r="P106" s="38" t="n"/>
      <ns0:c r="Q106" s="38" t="n"/>
      <ns0:c r="R106" s="38" t="n"/>
      <ns0:c r="S106" s="38" t="n"/>
      <ns0:c r="T106" s="38" t="n"/>
      <ns0:c r="U106" s="39" t="n"/>
      <ns0:c r="V106" s="40" t="n"/>
      <ns0:c r="W106" s="28" t="n"/>
      <ns0:c r="Y106" s="28" t="n"/>
      <ns0:c r="Z106" s="28" t="n"/>
      <ns0:c r="AA106" s="28" t="n"/>
      <ns0:c r="AB106" s="28" t="n"/>
      <ns0:c r="AC106" s="28" t="n"/>
      <ns0:c r="AD106" s="28" t="n"/>
      <ns0:c r="AE106" s="28" t="n"/>
      <ns0:c r="AF106" s="28" t="n"/>
      <ns0:c r="AG106" s="28" t="n"/>
      <ns0:c r="AH106" s="28" t="n"/>
      <ns0:c r="AI106" s="28" t="n"/>
      <ns0:c r="AJ106" s="28" t="n"/>
      <ns0:c r="AK106" s="28" t="n"/>
      <ns0:c r="AL106" s="28" t="n"/>
      <ns0:c r="AM106" s="28" t="n"/>
      <ns0:c r="AN106" s="28" t="n"/>
      <ns0:c r="AO106" s="28" t="n"/>
      <ns0:c r="AP106" s="28" t="n"/>
    </ns0:row>
    <ns0:row r="107" ht="26.25" customHeight="1">
      <ns0:c r="B107" s="71" t="n"/>
      <ns0:c r="C107" s="36" t="n"/>
      <ns0:c r="D107" s="36" t="n"/>
      <ns0:c r="E107" s="36" t="n"/>
      <ns0:c r="F107" s="36" t="n"/>
      <ns0:c r="G107" s="37" t="n"/>
      <ns0:c r="H107" s="37" t="n"/>
      <ns0:c r="I107" s="38" t="n"/>
      <ns0:c r="J107" s="38" t="n"/>
      <ns0:c r="K107" s="38" t="n"/>
      <ns0:c r="L107" s="39" t="n"/>
      <ns0:c r="M107" s="38" t="n"/>
      <ns0:c r="N107" s="38" t="n"/>
      <ns0:c r="O107" s="38" t="n"/>
      <ns0:c r="P107" s="38" t="n"/>
      <ns0:c r="Q107" s="38" t="n"/>
      <ns0:c r="R107" s="38" t="n"/>
      <ns0:c r="S107" s="38" t="n"/>
      <ns0:c r="T107" s="38" t="n"/>
      <ns0:c r="U107" s="39" t="n"/>
      <ns0:c r="V107" s="40" t="n"/>
      <ns0:c r="W107" s="28" t="n"/>
      <ns0:c r="Y107" s="28" t="n"/>
      <ns0:c r="Z107" s="28" t="n"/>
      <ns0:c r="AA107" s="28" t="n"/>
      <ns0:c r="AB107" s="28" t="n"/>
      <ns0:c r="AC107" s="28" t="n"/>
      <ns0:c r="AD107" s="28" t="n"/>
      <ns0:c r="AE107" s="28" t="n"/>
      <ns0:c r="AF107" s="28" t="n"/>
      <ns0:c r="AG107" s="28" t="n"/>
      <ns0:c r="AH107" s="28" t="n"/>
      <ns0:c r="AI107" s="28" t="n"/>
      <ns0:c r="AJ107" s="28" t="n"/>
      <ns0:c r="AK107" s="28" t="n"/>
      <ns0:c r="AL107" s="28" t="n"/>
      <ns0:c r="AM107" s="28" t="n"/>
      <ns0:c r="AN107" s="28" t="n"/>
      <ns0:c r="AO107" s="28" t="n"/>
      <ns0:c r="AP107" s="28" t="n"/>
    </ns0:row>
    <ns0:row r="108" ht="26.25" customHeight="1">
      <ns0:c r="B108" s="71" t="n"/>
      <ns0:c r="C108" s="36" t="n"/>
      <ns0:c r="D108" s="36" t="n"/>
      <ns0:c r="E108" s="36" t="n"/>
      <ns0:c r="F108" s="36" t="n"/>
      <ns0:c r="G108" s="37" t="n"/>
      <ns0:c r="H108" s="37" t="n"/>
      <ns0:c r="I108" s="38" t="n"/>
      <ns0:c r="J108" s="38" t="n"/>
      <ns0:c r="K108" s="38" t="n"/>
      <ns0:c r="L108" s="39" t="n"/>
      <ns0:c r="M108" s="38" t="n"/>
      <ns0:c r="N108" s="38" t="n"/>
      <ns0:c r="O108" s="38" t="n"/>
      <ns0:c r="P108" s="38" t="n"/>
      <ns0:c r="Q108" s="38" t="n"/>
      <ns0:c r="R108" s="38" t="n"/>
      <ns0:c r="S108" s="38" t="n"/>
      <ns0:c r="T108" s="38" t="n"/>
      <ns0:c r="U108" s="39" t="n"/>
      <ns0:c r="V108" s="40" t="n"/>
      <ns0:c r="W108" s="28" t="n"/>
      <ns0:c r="Y108" s="28" t="n"/>
      <ns0:c r="Z108" s="28" t="n"/>
      <ns0:c r="AA108" s="28" t="n"/>
      <ns0:c r="AB108" s="28" t="n"/>
      <ns0:c r="AC108" s="28" t="n"/>
      <ns0:c r="AD108" s="28" t="n"/>
      <ns0:c r="AE108" s="28" t="n"/>
      <ns0:c r="AF108" s="28" t="n"/>
      <ns0:c r="AG108" s="28" t="n"/>
      <ns0:c r="AH108" s="28" t="n"/>
      <ns0:c r="AI108" s="28" t="n"/>
      <ns0:c r="AJ108" s="28" t="n"/>
      <ns0:c r="AK108" s="28" t="n"/>
      <ns0:c r="AL108" s="28" t="n"/>
      <ns0:c r="AM108" s="28" t="n"/>
      <ns0:c r="AN108" s="28" t="n"/>
      <ns0:c r="AO108" s="28" t="n"/>
      <ns0:c r="AP108" s="28" t="n"/>
    </ns0:row>
    <ns0:row r="109" ht="26.25" customHeight="1">
      <ns0:c r="B109" s="71" t="n"/>
      <ns0:c r="C109" s="36" t="n"/>
      <ns0:c r="D109" s="36" t="n"/>
      <ns0:c r="E109" s="36" t="n"/>
      <ns0:c r="F109" s="36" t="n"/>
      <ns0:c r="G109" s="37" t="n"/>
      <ns0:c r="H109" s="37" t="n"/>
      <ns0:c r="I109" s="38" t="n"/>
      <ns0:c r="J109" s="38" t="n"/>
      <ns0:c r="K109" s="38" t="n"/>
      <ns0:c r="L109" s="39" t="n"/>
      <ns0:c r="M109" s="38" t="n"/>
      <ns0:c r="N109" s="38" t="n"/>
      <ns0:c r="O109" s="38" t="n"/>
      <ns0:c r="P109" s="38" t="n"/>
      <ns0:c r="Q109" s="38" t="n"/>
      <ns0:c r="R109" s="38" t="n"/>
      <ns0:c r="S109" s="38" t="n"/>
      <ns0:c r="T109" s="38" t="n"/>
      <ns0:c r="U109" s="39" t="n"/>
      <ns0:c r="V109" s="40" t="n"/>
      <ns0:c r="W109" s="28" t="n"/>
      <ns0:c r="Y109" s="28" t="n"/>
      <ns0:c r="Z109" s="28" t="n"/>
      <ns0:c r="AA109" s="28" t="n"/>
      <ns0:c r="AB109" s="28" t="n"/>
      <ns0:c r="AC109" s="28" t="n"/>
      <ns0:c r="AD109" s="28" t="n"/>
      <ns0:c r="AE109" s="28" t="n"/>
      <ns0:c r="AF109" s="28" t="n"/>
      <ns0:c r="AG109" s="28" t="n"/>
      <ns0:c r="AH109" s="28" t="n"/>
      <ns0:c r="AI109" s="28" t="n"/>
      <ns0:c r="AJ109" s="28" t="n"/>
      <ns0:c r="AK109" s="28" t="n"/>
      <ns0:c r="AL109" s="28" t="n"/>
      <ns0:c r="AM109" s="28" t="n"/>
      <ns0:c r="AN109" s="28" t="n"/>
      <ns0:c r="AO109" s="28" t="n"/>
      <ns0:c r="AP109" s="28" t="n"/>
    </ns0:row>
    <ns0:row r="110" ht="26.25" customHeight="1">
      <ns0:c r="B110" s="104" t="inlineStr">
        <ns0:is>
          <ns0:t xml:space="preserve">      (* if cannot reduce many, consider it more time)</ns0:t>
        </ns0:is>
      </ns0:c>
      <ns0:c r="C110" s="36" t="n"/>
      <ns0:c r="D110" s="36" t="n"/>
      <ns0:c r="E110" s="36" t="n"/>
      <ns0:c r="F110" s="36" t="n"/>
      <ns0:c r="G110" s="37" t="n"/>
      <ns0:c r="H110" s="37" t="n"/>
      <ns0:c r="I110" s="38" t="n"/>
      <ns0:c r="J110" s="38" t="n"/>
      <ns0:c r="K110" s="38" t="n"/>
      <ns0:c r="L110" s="39" t="n"/>
      <ns0:c r="M110" s="38" t="n"/>
      <ns0:c r="N110" s="38" t="n"/>
      <ns0:c r="O110" s="38" t="n"/>
      <ns0:c r="P110" s="38" t="n"/>
      <ns0:c r="Q110" s="38" t="n"/>
      <ns0:c r="R110" s="38" t="n"/>
      <ns0:c r="S110" s="38" t="n"/>
      <ns0:c r="T110" s="38" t="n"/>
      <ns0:c r="U110" s="39" t="n"/>
      <ns0:c r="V110" s="40" t="n"/>
      <ns0:c r="W110" s="28" t="n"/>
      <ns0:c r="Y110" s="28" t="n"/>
      <ns0:c r="Z110" s="28" t="n"/>
      <ns0:c r="AA110" s="28" t="n"/>
      <ns0:c r="AB110" s="28" t="n"/>
      <ns0:c r="AC110" s="28" t="n"/>
      <ns0:c r="AD110" s="28" t="n"/>
      <ns0:c r="AE110" s="28" t="n"/>
      <ns0:c r="AF110" s="28" t="n"/>
      <ns0:c r="AG110" s="28" t="n"/>
      <ns0:c r="AH110" s="28" t="n"/>
      <ns0:c r="AI110" s="28" t="n"/>
      <ns0:c r="AJ110" s="28" t="n"/>
      <ns0:c r="AK110" s="28" t="n"/>
      <ns0:c r="AL110" s="28" t="n"/>
      <ns0:c r="AM110" s="28" t="n"/>
      <ns0:c r="AN110" s="28" t="n"/>
      <ns0:c r="AO110" s="28" t="n"/>
      <ns0:c r="AP110" s="28" t="n"/>
    </ns0:row>
    <ns0:row r="111" ht="26.25" customHeight="1">
      <ns0:c r="B111" s="42" t="n"/>
      <ns0:c r="C111" s="36" t="n"/>
      <ns0:c r="D111" s="36" t="n"/>
      <ns0:c r="E111" s="36" t="n"/>
      <ns0:c r="F111" s="36" t="n"/>
      <ns0:c r="G111" s="37" t="n"/>
      <ns0:c r="H111" s="37" t="n"/>
      <ns0:c r="I111" s="38" t="n"/>
      <ns0:c r="J111" s="38" t="n"/>
      <ns0:c r="K111" s="38" t="n"/>
      <ns0:c r="L111" s="39" t="n"/>
      <ns0:c r="M111" s="38" t="n"/>
      <ns0:c r="N111" s="38" t="n"/>
      <ns0:c r="O111" s="38" t="n"/>
      <ns0:c r="P111" s="38" t="n"/>
      <ns0:c r="Q111" s="38" t="n"/>
      <ns0:c r="R111" s="38" t="n"/>
      <ns0:c r="S111" s="38" t="n"/>
      <ns0:c r="T111" s="38" t="n"/>
      <ns0:c r="U111" s="39" t="n"/>
      <ns0:c r="V111" s="40" t="n"/>
      <ns0:c r="W111" s="28" t="n"/>
      <ns0:c r="Y111" s="28" t="n"/>
      <ns0:c r="Z111" s="28" t="n"/>
      <ns0:c r="AA111" s="28" t="n"/>
      <ns0:c r="AB111" s="28" t="n"/>
      <ns0:c r="AC111" s="28" t="n"/>
      <ns0:c r="AD111" s="28" t="n"/>
      <ns0:c r="AE111" s="28" t="n"/>
      <ns0:c r="AF111" s="28" t="n"/>
      <ns0:c r="AG111" s="28" t="n"/>
      <ns0:c r="AH111" s="28" t="n"/>
      <ns0:c r="AI111" s="28" t="n"/>
      <ns0:c r="AJ111" s="28" t="n"/>
      <ns0:c r="AK111" s="28" t="n"/>
      <ns0:c r="AL111" s="28" t="n"/>
      <ns0:c r="AM111" s="28" t="n"/>
      <ns0:c r="AN111" s="28" t="n"/>
      <ns0:c r="AO111" s="28" t="n"/>
    </ns0:row>
    <ns0:row r="112" ht="26.25" customHeight="1">
      <ns0:c r="B112" s="42" t="n"/>
      <ns0:c r="C112" s="36" t="n"/>
      <ns0:c r="D112" s="36" t="n"/>
      <ns0:c r="E112" s="36" t="n"/>
      <ns0:c r="F112" s="36" t="n"/>
      <ns0:c r="G112" s="37" t="n"/>
      <ns0:c r="H112" s="37" t="n"/>
      <ns0:c r="I112" s="38" t="n"/>
      <ns0:c r="J112" s="38" t="n"/>
      <ns0:c r="K112" s="38" t="n"/>
      <ns0:c r="L112" s="39" t="n"/>
      <ns0:c r="M112" s="38" t="n"/>
      <ns0:c r="N112" s="38" t="n"/>
      <ns0:c r="O112" s="38" t="n"/>
      <ns0:c r="P112" s="38" t="n"/>
      <ns0:c r="Q112" s="38" t="n"/>
      <ns0:c r="R112" s="38" t="n"/>
      <ns0:c r="S112" s="38" t="n"/>
      <ns0:c r="T112" s="38" t="n"/>
      <ns0:c r="U112" s="39" t="n"/>
      <ns0:c r="V112" s="40" t="n"/>
      <ns0:c r="W112" s="28" t="n"/>
      <ns0:c r="Y112" s="28" t="n"/>
      <ns0:c r="Z112" s="28" t="n"/>
      <ns0:c r="AA112" s="28" t="n"/>
      <ns0:c r="AB112" s="28" t="n"/>
      <ns0:c r="AC112" s="28" t="n"/>
      <ns0:c r="AD112" s="28" t="n"/>
      <ns0:c r="AE112" s="28" t="n"/>
      <ns0:c r="AF112" s="28" t="n"/>
      <ns0:c r="AG112" s="28" t="n"/>
      <ns0:c r="AH112" s="28" t="n"/>
      <ns0:c r="AI112" s="28" t="n"/>
      <ns0:c r="AJ112" s="28" t="n"/>
      <ns0:c r="AK112" s="28" t="n"/>
      <ns0:c r="AL112" s="28" t="n"/>
      <ns0:c r="AM112" s="28" t="n"/>
      <ns0:c r="AN112" s="28" t="n"/>
      <ns0:c r="AO112" s="28" t="n"/>
    </ns0:row>
    <ns0:row r="113" ht="26.25" customHeight="1">
      <ns0:c r="B113" s="42" t="n"/>
      <ns0:c r="C113" s="36" t="n"/>
      <ns0:c r="D113" s="36" t="n"/>
      <ns0:c r="E113" s="36" t="n"/>
      <ns0:c r="F113" s="36" t="n"/>
      <ns0:c r="G113" s="37" t="n"/>
      <ns0:c r="H113" s="37" t="n"/>
      <ns0:c r="I113" s="38" t="n"/>
      <ns0:c r="J113" s="38" t="n"/>
      <ns0:c r="K113" s="38" t="n"/>
      <ns0:c r="L113" s="39" t="n"/>
      <ns0:c r="M113" s="38" t="n"/>
      <ns0:c r="N113" s="38" t="n"/>
      <ns0:c r="O113" s="38" t="n"/>
      <ns0:c r="P113" s="38" t="n"/>
      <ns0:c r="Q113" s="38" t="n"/>
      <ns0:c r="R113" s="38" t="n"/>
      <ns0:c r="S113" s="38" t="n"/>
      <ns0:c r="T113" s="38" t="n"/>
      <ns0:c r="U113" s="39" t="n"/>
      <ns0:c r="V113" s="40" t="n"/>
      <ns0:c r="W113" s="28" t="n"/>
      <ns0:c r="Y113" s="28" t="n"/>
      <ns0:c r="Z113" s="28" t="n"/>
      <ns0:c r="AA113" s="28" t="n"/>
      <ns0:c r="AB113" s="28" t="n"/>
      <ns0:c r="AC113" s="28" t="n"/>
      <ns0:c r="AD113" s="28" t="n"/>
      <ns0:c r="AE113" s="28" t="n"/>
      <ns0:c r="AF113" s="28" t="n"/>
      <ns0:c r="AG113" s="28" t="n"/>
      <ns0:c r="AH113" s="28" t="n"/>
      <ns0:c r="AI113" s="28" t="n"/>
      <ns0:c r="AJ113" s="28" t="n"/>
      <ns0:c r="AK113" s="28" t="n"/>
      <ns0:c r="AL113" s="28" t="n"/>
      <ns0:c r="AM113" s="28" t="n"/>
      <ns0:c r="AN113" s="28" t="n"/>
      <ns0:c r="AO113" s="28" t="n"/>
    </ns0:row>
    <ns0:row r="114" ht="26.25" customHeight="1">
      <ns0:c r="B114" s="42" t="n"/>
      <ns0:c r="C114" s="36" t="n"/>
      <ns0:c r="D114" s="36" t="n"/>
      <ns0:c r="E114" s="36" t="n"/>
      <ns0:c r="F114" s="36" t="n"/>
      <ns0:c r="G114" s="37" t="n"/>
      <ns0:c r="H114" s="37" t="n"/>
      <ns0:c r="I114" s="38" t="n"/>
      <ns0:c r="J114" s="38" t="n"/>
      <ns0:c r="K114" s="38" t="n"/>
      <ns0:c r="L114" s="39" t="n"/>
      <ns0:c r="M114" s="38" t="n"/>
      <ns0:c r="N114" s="38" t="n"/>
      <ns0:c r="O114" s="38" t="n"/>
      <ns0:c r="P114" s="38" t="n"/>
      <ns0:c r="Q114" s="38" t="n"/>
      <ns0:c r="R114" s="38" t="n"/>
      <ns0:c r="S114" s="38" t="n"/>
      <ns0:c r="T114" s="38" t="n"/>
      <ns0:c r="U114" s="39" t="n"/>
      <ns0:c r="V114" s="40" t="n"/>
      <ns0:c r="W114" s="28" t="n"/>
      <ns0:c r="Y114" s="28" t="n"/>
      <ns0:c r="Z114" s="28" t="n"/>
      <ns0:c r="AA114" s="28" t="n"/>
      <ns0:c r="AB114" s="28" t="n"/>
      <ns0:c r="AC114" s="28" t="n"/>
      <ns0:c r="AD114" s="28" t="n"/>
      <ns0:c r="AE114" s="28" t="n"/>
      <ns0:c r="AF114" s="28" t="n"/>
      <ns0:c r="AG114" s="28" t="n"/>
      <ns0:c r="AH114" s="28" t="n"/>
      <ns0:c r="AI114" s="28" t="n"/>
      <ns0:c r="AJ114" s="28" t="n"/>
      <ns0:c r="AK114" s="28" t="n"/>
      <ns0:c r="AL114" s="28" t="n"/>
      <ns0:c r="AM114" s="28" t="n"/>
      <ns0:c r="AN114" s="28" t="n"/>
      <ns0:c r="AO114" s="28" t="n"/>
    </ns0:row>
    <ns0:row r="115" ht="26.25" customHeight="1">
      <ns0:c r="B115" s="42" t="n"/>
      <ns0:c r="C115" s="36" t="n"/>
      <ns0:c r="D115" s="36" t="n"/>
      <ns0:c r="E115" s="36" t="n"/>
      <ns0:c r="F115" s="36" t="n"/>
      <ns0:c r="G115" s="37" t="n"/>
      <ns0:c r="H115" s="37" t="n"/>
      <ns0:c r="I115" s="38" t="n"/>
      <ns0:c r="J115" s="38" t="n"/>
      <ns0:c r="K115" s="38" t="n"/>
      <ns0:c r="L115" s="39" t="n"/>
      <ns0:c r="M115" s="38" t="n"/>
      <ns0:c r="N115" s="38" t="n"/>
      <ns0:c r="O115" s="38" t="n"/>
      <ns0:c r="P115" s="38" t="n"/>
      <ns0:c r="Q115" s="38" t="n"/>
      <ns0:c r="R115" s="38" t="n"/>
      <ns0:c r="S115" s="38" t="n"/>
      <ns0:c r="T115" s="38" t="n"/>
      <ns0:c r="U115" s="39" t="n"/>
      <ns0:c r="V115" s="40" t="n"/>
      <ns0:c r="W115" s="28" t="n"/>
      <ns0:c r="Y115" s="28" t="n"/>
      <ns0:c r="Z115" s="28" t="n"/>
      <ns0:c r="AA115" s="28" t="n"/>
      <ns0:c r="AB115" s="28" t="n"/>
      <ns0:c r="AC115" s="28" t="n"/>
      <ns0:c r="AD115" s="28" t="n"/>
      <ns0:c r="AE115" s="28" t="n"/>
      <ns0:c r="AF115" s="28" t="n"/>
      <ns0:c r="AG115" s="28" t="n"/>
      <ns0:c r="AH115" s="28" t="n"/>
      <ns0:c r="AI115" s="28" t="n"/>
      <ns0:c r="AJ115" s="28" t="n"/>
      <ns0:c r="AK115" s="28" t="n"/>
      <ns0:c r="AL115" s="28" t="n"/>
      <ns0:c r="AM115" s="28" t="n"/>
      <ns0:c r="AN115" s="28" t="n"/>
      <ns0:c r="AO115" s="28" t="n"/>
    </ns0:row>
    <ns0:row r="116" ht="26.25" customHeight="1">
      <ns0:c r="B116" s="42" t="n"/>
      <ns0:c r="C116" s="36" t="n"/>
      <ns0:c r="D116" s="36" t="n"/>
      <ns0:c r="E116" s="36" t="n"/>
      <ns0:c r="F116" s="36" t="n"/>
      <ns0:c r="G116" s="37" t="n"/>
      <ns0:c r="H116" s="37" t="n"/>
      <ns0:c r="I116" s="38" t="n"/>
      <ns0:c r="J116" s="38" t="n"/>
      <ns0:c r="K116" s="38" t="n"/>
      <ns0:c r="L116" s="39" t="n"/>
      <ns0:c r="M116" s="38" t="n"/>
      <ns0:c r="N116" s="38" t="n"/>
      <ns0:c r="O116" s="38" t="n"/>
      <ns0:c r="P116" s="38" t="n"/>
      <ns0:c r="Q116" s="38" t="n"/>
      <ns0:c r="R116" s="38" t="n"/>
      <ns0:c r="S116" s="38" t="n"/>
      <ns0:c r="T116" s="38" t="n"/>
      <ns0:c r="U116" s="39" t="n"/>
      <ns0:c r="V116" s="40" t="n"/>
      <ns0:c r="W116" s="28" t="n"/>
      <ns0:c r="Y116" s="28" t="n"/>
      <ns0:c r="Z116" s="28" t="n"/>
      <ns0:c r="AA116" s="28" t="n"/>
      <ns0:c r="AB116" s="28" t="n"/>
      <ns0:c r="AC116" s="28" t="n"/>
      <ns0:c r="AD116" s="28" t="n"/>
      <ns0:c r="AE116" s="28" t="n"/>
      <ns0:c r="AF116" s="28" t="n"/>
      <ns0:c r="AG116" s="28" t="n"/>
      <ns0:c r="AH116" s="28" t="n"/>
      <ns0:c r="AI116" s="28" t="n"/>
      <ns0:c r="AJ116" s="28" t="n"/>
      <ns0:c r="AK116" s="28" t="n"/>
      <ns0:c r="AL116" s="28" t="n"/>
      <ns0:c r="AM116" s="28" t="n"/>
      <ns0:c r="AN116" s="28" t="n"/>
      <ns0:c r="AO116" s="28" t="n"/>
    </ns0:row>
    <ns0:row r="117" ht="26.25" customHeight="1">
      <ns0:c r="B117" s="42" t="n"/>
      <ns0:c r="C117" s="36" t="n"/>
      <ns0:c r="D117" s="36" t="n"/>
      <ns0:c r="E117" s="36" t="n"/>
      <ns0:c r="F117" s="36" t="n"/>
      <ns0:c r="G117" s="37" t="n"/>
      <ns0:c r="H117" s="37" t="n"/>
      <ns0:c r="I117" s="38" t="n"/>
      <ns0:c r="J117" s="38" t="n"/>
      <ns0:c r="K117" s="38" t="n"/>
      <ns0:c r="L117" s="39" t="n"/>
      <ns0:c r="M117" s="38" t="n"/>
      <ns0:c r="N117" s="38" t="n"/>
      <ns0:c r="O117" s="38" t="n"/>
      <ns0:c r="P117" s="38" t="n"/>
      <ns0:c r="Q117" s="38" t="n"/>
      <ns0:c r="R117" s="38" t="n"/>
      <ns0:c r="S117" s="38" t="n"/>
      <ns0:c r="T117" s="38" t="n"/>
      <ns0:c r="U117" s="39" t="n"/>
      <ns0:c r="V117" s="40" t="n"/>
      <ns0:c r="W117" s="28" t="n"/>
      <ns0:c r="Y117" s="28" t="n"/>
      <ns0:c r="Z117" s="28" t="n"/>
      <ns0:c r="AA117" s="28" t="n"/>
      <ns0:c r="AB117" s="28" t="n"/>
      <ns0:c r="AC117" s="28" t="n"/>
      <ns0:c r="AD117" s="28" t="n"/>
      <ns0:c r="AE117" s="28" t="n"/>
      <ns0:c r="AF117" s="28" t="n"/>
      <ns0:c r="AG117" s="28" t="n"/>
      <ns0:c r="AH117" s="28" t="n"/>
      <ns0:c r="AI117" s="28" t="n"/>
      <ns0:c r="AJ117" s="28" t="n"/>
      <ns0:c r="AK117" s="28" t="n"/>
      <ns0:c r="AL117" s="28" t="n"/>
      <ns0:c r="AM117" s="28" t="n"/>
      <ns0:c r="AN117" s="28" t="n"/>
      <ns0:c r="AO117" s="28" t="n"/>
    </ns0:row>
    <ns0:row r="118" ht="26.25" customHeight="1">
      <ns0:c r="B118" s="42" t="n"/>
      <ns0:c r="C118" s="36" t="n"/>
      <ns0:c r="D118" s="36" t="n"/>
      <ns0:c r="E118" s="36" t="n"/>
      <ns0:c r="F118" s="36" t="n"/>
      <ns0:c r="G118" s="37" t="n"/>
      <ns0:c r="H118" s="37" t="n"/>
      <ns0:c r="I118" s="38" t="n"/>
      <ns0:c r="J118" s="38" t="n"/>
      <ns0:c r="K118" s="38" t="n"/>
      <ns0:c r="L118" s="39" t="n"/>
      <ns0:c r="M118" s="38" t="n"/>
      <ns0:c r="N118" s="38" t="n"/>
      <ns0:c r="O118" s="38" t="n"/>
      <ns0:c r="P118" s="38" t="n"/>
      <ns0:c r="Q118" s="38" t="n"/>
      <ns0:c r="R118" s="38" t="n"/>
      <ns0:c r="S118" s="38" t="n"/>
      <ns0:c r="T118" s="38" t="n"/>
      <ns0:c r="U118" s="39" t="n"/>
      <ns0:c r="V118" s="40" t="n"/>
      <ns0:c r="W118" s="28" t="n"/>
      <ns0:c r="Y118" s="28" t="n"/>
      <ns0:c r="Z118" s="28" t="n"/>
      <ns0:c r="AA118" s="28" t="n"/>
      <ns0:c r="AB118" s="28" t="n"/>
      <ns0:c r="AC118" s="28" t="n"/>
      <ns0:c r="AD118" s="28" t="n"/>
      <ns0:c r="AE118" s="28" t="n"/>
      <ns0:c r="AF118" s="28" t="n"/>
      <ns0:c r="AG118" s="28" t="n"/>
      <ns0:c r="AH118" s="28" t="n"/>
      <ns0:c r="AI118" s="28" t="n"/>
      <ns0:c r="AJ118" s="28" t="n"/>
      <ns0:c r="AK118" s="28" t="n"/>
      <ns0:c r="AL118" s="28" t="n"/>
      <ns0:c r="AM118" s="28" t="n"/>
      <ns0:c r="AN118" s="28" t="n"/>
      <ns0:c r="AO118" s="28" t="n"/>
      <ns0:c r="AP118" s="28" t="n"/>
    </ns0:row>
    <ns0:row r="119" ht="26.25" customHeight="1">
      <ns0:c r="B119" s="42" t="n"/>
      <ns0:c r="C119" s="36" t="n"/>
      <ns0:c r="D119" s="36" t="n"/>
      <ns0:c r="E119" s="36" t="n"/>
      <ns0:c r="F119" s="36" t="n"/>
      <ns0:c r="G119" s="37" t="n"/>
      <ns0:c r="H119" s="37" t="n"/>
      <ns0:c r="I119" s="38" t="n"/>
      <ns0:c r="J119" s="38" t="n"/>
      <ns0:c r="K119" s="38" t="n"/>
      <ns0:c r="L119" s="39" t="n"/>
      <ns0:c r="M119" s="38" t="n"/>
      <ns0:c r="N119" s="38" t="n"/>
      <ns0:c r="O119" s="38" t="n"/>
      <ns0:c r="P119" s="38" t="n"/>
      <ns0:c r="Q119" s="38" t="n"/>
      <ns0:c r="R119" s="38" t="n"/>
      <ns0:c r="S119" s="38" t="n"/>
      <ns0:c r="T119" s="38" t="n"/>
      <ns0:c r="U119" s="39" t="n"/>
      <ns0:c r="V119" s="40" t="n"/>
      <ns0:c r="W119" s="28" t="n"/>
      <ns0:c r="Y119" s="28" t="n"/>
      <ns0:c r="Z119" s="28" t="n"/>
      <ns0:c r="AA119" s="28" t="n"/>
      <ns0:c r="AB119" s="28" t="n"/>
      <ns0:c r="AC119" s="28" t="n"/>
      <ns0:c r="AD119" s="28" t="n"/>
      <ns0:c r="AE119" s="28" t="n"/>
      <ns0:c r="AF119" s="28" t="n"/>
      <ns0:c r="AG119" s="28" t="n"/>
      <ns0:c r="AH119" s="28" t="n"/>
      <ns0:c r="AI119" s="28" t="n"/>
      <ns0:c r="AJ119" s="28" t="n"/>
      <ns0:c r="AK119" s="28" t="n"/>
      <ns0:c r="AL119" s="28" t="n"/>
      <ns0:c r="AM119" s="28" t="n"/>
      <ns0:c r="AN119" s="28" t="n"/>
      <ns0:c r="AO119" s="28" t="n"/>
      <ns0:c r="AP119" s="28" t="n"/>
    </ns0:row>
    <ns0:row r="120" ht="26.25" customHeight="1">
      <ns0:c r="B120" s="42" t="n"/>
      <ns0:c r="C120" s="36" t="n"/>
      <ns0:c r="D120" s="36" t="n"/>
      <ns0:c r="E120" s="36" t="n"/>
      <ns0:c r="F120" s="36" t="n"/>
      <ns0:c r="G120" s="37" t="n"/>
      <ns0:c r="H120" s="37" t="n"/>
      <ns0:c r="I120" s="38" t="n"/>
      <ns0:c r="J120" s="38" t="n"/>
      <ns0:c r="K120" s="38" t="n"/>
      <ns0:c r="L120" s="39" t="n"/>
      <ns0:c r="M120" s="38" t="n"/>
      <ns0:c r="N120" s="38" t="n"/>
      <ns0:c r="O120" s="38" t="n"/>
      <ns0:c r="P120" s="38" t="n"/>
      <ns0:c r="Q120" s="38" t="n"/>
      <ns0:c r="R120" s="38" t="n"/>
      <ns0:c r="S120" s="38" t="n"/>
      <ns0:c r="T120" s="38" t="n"/>
      <ns0:c r="U120" s="39" t="n"/>
      <ns0:c r="V120" s="40" t="n"/>
      <ns0:c r="W120" s="28" t="n"/>
      <ns0:c r="Y120" s="28" t="n"/>
      <ns0:c r="Z120" s="28" t="n"/>
      <ns0:c r="AA120" s="28" t="n"/>
      <ns0:c r="AB120" s="28" t="n"/>
      <ns0:c r="AC120" s="28" t="n"/>
      <ns0:c r="AD120" s="28" t="n"/>
      <ns0:c r="AE120" s="28" t="n"/>
      <ns0:c r="AF120" s="28" t="n"/>
      <ns0:c r="AG120" s="28" t="n"/>
      <ns0:c r="AH120" s="28" t="n"/>
      <ns0:c r="AI120" s="28" t="n"/>
      <ns0:c r="AJ120" s="28" t="n"/>
      <ns0:c r="AK120" s="28" t="n"/>
      <ns0:c r="AL120" s="28" t="n"/>
      <ns0:c r="AM120" s="28" t="n"/>
      <ns0:c r="AN120" s="28" t="n"/>
      <ns0:c r="AO120" s="28" t="n"/>
      <ns0:c r="AP120" s="28" t="n"/>
    </ns0:row>
    <ns0:row r="121" ht="26.25" customHeight="1">
      <ns0:c r="B121" s="42" t="n"/>
      <ns0:c r="C121" s="36" t="n"/>
      <ns0:c r="D121" s="36" t="n"/>
      <ns0:c r="E121" s="36" t="n"/>
      <ns0:c r="F121" s="36" t="n"/>
      <ns0:c r="G121" s="37" t="n"/>
      <ns0:c r="H121" s="37" t="n"/>
      <ns0:c r="I121" s="38" t="n"/>
      <ns0:c r="J121" s="38" t="n"/>
      <ns0:c r="K121" s="38" t="n"/>
      <ns0:c r="L121" s="39" t="n"/>
      <ns0:c r="M121" s="38" t="n"/>
      <ns0:c r="N121" s="38" t="n"/>
      <ns0:c r="O121" s="38" t="n"/>
      <ns0:c r="P121" s="38" t="n"/>
      <ns0:c r="Q121" s="38" t="n"/>
      <ns0:c r="R121" s="38" t="n"/>
      <ns0:c r="S121" s="38" t="n"/>
      <ns0:c r="T121" s="38" t="n"/>
      <ns0:c r="U121" s="39" t="n"/>
      <ns0:c r="V121" s="40" t="n"/>
      <ns0:c r="W121" s="28" t="n"/>
      <ns0:c r="Y121" s="28" t="n"/>
      <ns0:c r="Z121" s="28" t="n"/>
      <ns0:c r="AA121" s="28" t="n"/>
      <ns0:c r="AB121" s="28" t="n"/>
      <ns0:c r="AC121" s="28" t="n"/>
      <ns0:c r="AD121" s="28" t="n"/>
      <ns0:c r="AE121" s="28" t="n"/>
      <ns0:c r="AF121" s="28" t="n"/>
      <ns0:c r="AG121" s="28" t="n"/>
      <ns0:c r="AH121" s="28" t="n"/>
      <ns0:c r="AI121" s="28" t="n"/>
      <ns0:c r="AJ121" s="28" t="n"/>
      <ns0:c r="AK121" s="28" t="n"/>
      <ns0:c r="AL121" s="28" t="n"/>
      <ns0:c r="AM121" s="28" t="n"/>
      <ns0:c r="AN121" s="28" t="n"/>
      <ns0:c r="AO121" s="28" t="n"/>
      <ns0:c r="AP121" s="28" t="n"/>
    </ns0:row>
    <ns0:row r="122" ht="26.25" customHeight="1">
      <ns0:c r="B122" s="42" t="inlineStr">
        <ns0:is>
          <ns0:t xml:space="preserve">    - Temporary Run From 2024/10/16</ns0:t>
        </ns0:is>
      </ns0:c>
      <ns0:c r="C122" s="36" t="n"/>
      <ns0:c r="D122" s="36" t="n"/>
      <ns0:c r="E122" s="36" t="n"/>
      <ns0:c r="F122" s="36" t="n"/>
      <ns0:c r="G122" s="37" t="n"/>
      <ns0:c r="H122" s="37" t="n"/>
      <ns0:c r="I122" s="38" t="n"/>
      <ns0:c r="J122" s="38" t="n"/>
      <ns0:c r="K122" s="38" t="n"/>
      <ns0:c r="L122" s="39" t="n"/>
      <ns0:c r="M122" s="38" t="n"/>
      <ns0:c r="N122" s="38" t="n"/>
      <ns0:c r="O122" s="38" t="n"/>
      <ns0:c r="P122" s="38" t="n"/>
      <ns0:c r="Q122" s="38" t="n"/>
      <ns0:c r="R122" s="38" t="n"/>
      <ns0:c r="S122" s="38" t="n"/>
      <ns0:c r="T122" s="38" t="n"/>
      <ns0:c r="U122" s="39" t="n"/>
      <ns0:c r="V122" s="40" t="n"/>
      <ns0:c r="W122" s="28" t="n"/>
      <ns0:c r="Y122" s="28" t="n"/>
      <ns0:c r="Z122" s="28" t="n"/>
      <ns0:c r="AA122" s="28" t="n"/>
      <ns0:c r="AB122" s="28" t="n"/>
      <ns0:c r="AC122" s="28" t="n"/>
      <ns0:c r="AD122" s="28" t="n"/>
      <ns0:c r="AE122" s="28" t="n"/>
      <ns0:c r="AF122" s="28" t="n"/>
      <ns0:c r="AG122" s="28" t="n"/>
      <ns0:c r="AH122" s="28" t="n"/>
      <ns0:c r="AI122" s="28" t="n"/>
      <ns0:c r="AJ122" s="28" t="n"/>
      <ns0:c r="AK122" s="28" t="n"/>
      <ns0:c r="AL122" s="28" t="n"/>
      <ns0:c r="AM122" s="28" t="n"/>
      <ns0:c r="AN122" s="28" t="n"/>
      <ns0:c r="AO122" s="28" t="n"/>
      <ns0:c r="AP122" s="28" t="n"/>
    </ns0:row>
    <ns0:row r="123" ht="26.25" customHeight="1">
      <ns0:c r="B123" s="42" t="n"/>
      <ns0:c r="C123" s="36" t="n"/>
      <ns0:c r="D123" s="36" t="n"/>
      <ns0:c r="E123" s="36" t="n"/>
      <ns0:c r="F123" s="36" t="n"/>
      <ns0:c r="G123" s="37" t="n"/>
      <ns0:c r="H123" s="37" t="n"/>
      <ns0:c r="I123" s="38" t="n"/>
      <ns0:c r="J123" s="38" t="n"/>
      <ns0:c r="K123" s="38" t="n"/>
      <ns0:c r="L123" s="39" t="n"/>
      <ns0:c r="M123" s="38" t="n"/>
      <ns0:c r="N123" s="38" t="n"/>
      <ns0:c r="O123" s="38" t="n"/>
      <ns0:c r="P123" s="38" t="n"/>
      <ns0:c r="Q123" s="38" t="n"/>
      <ns0:c r="R123" s="38" t="n"/>
      <ns0:c r="S123" s="38" t="n"/>
      <ns0:c r="T123" s="38" t="n"/>
      <ns0:c r="U123" s="39" t="n"/>
      <ns0:c r="V123" s="40" t="n"/>
      <ns0:c r="W123" s="28" t="n"/>
      <ns0:c r="Y123" s="28" t="n"/>
      <ns0:c r="Z123" s="28" t="n"/>
      <ns0:c r="AA123" s="28" t="n"/>
      <ns0:c r="AB123" s="28" t="n"/>
      <ns0:c r="AC123" s="28" t="n"/>
      <ns0:c r="AD123" s="28" t="n"/>
      <ns0:c r="AE123" s="28" t="n"/>
      <ns0:c r="AF123" s="28" t="n"/>
      <ns0:c r="AG123" s="28" t="n"/>
      <ns0:c r="AH123" s="28" t="n"/>
      <ns0:c r="AI123" s="28" t="n"/>
      <ns0:c r="AJ123" s="28" t="n"/>
      <ns0:c r="AK123" s="28" t="n"/>
      <ns0:c r="AL123" s="28" t="n"/>
      <ns0:c r="AM123" s="28" t="n"/>
      <ns0:c r="AN123" s="28" t="n"/>
      <ns0:c r="AO123" s="28" t="n"/>
      <ns0:c r="AP123" s="28" t="n"/>
    </ns0:row>
    <ns0:row r="124" ht="26.25" customHeight="1">
      <ns0:c r="B124" s="42" t="n"/>
      <ns0:c r="C124" s="36" t="n"/>
      <ns0:c r="D124" s="36" t="n"/>
      <ns0:c r="E124" s="36" t="n"/>
      <ns0:c r="F124" s="36" t="n"/>
      <ns0:c r="G124" s="37" t="n"/>
      <ns0:c r="H124" s="37" t="n"/>
      <ns0:c r="I124" s="38" t="n"/>
      <ns0:c r="J124" s="38" t="n"/>
      <ns0:c r="K124" s="38" t="n"/>
      <ns0:c r="L124" s="39" t="n"/>
      <ns0:c r="M124" s="38" t="n"/>
      <ns0:c r="N124" s="38" t="n"/>
      <ns0:c r="O124" s="38" t="n"/>
      <ns0:c r="P124" s="38" t="n"/>
      <ns0:c r="Q124" s="38" t="n"/>
      <ns0:c r="R124" s="38" t="n"/>
      <ns0:c r="S124" s="38" t="n"/>
      <ns0:c r="T124" s="38" t="n"/>
      <ns0:c r="U124" s="39" t="n"/>
      <ns0:c r="V124" s="40" t="n"/>
      <ns0:c r="W124" s="28" t="n"/>
      <ns0:c r="Y124" s="28" t="n"/>
      <ns0:c r="Z124" s="28" t="n"/>
      <ns0:c r="AA124" s="28" t="n"/>
      <ns0:c r="AB124" s="28" t="n"/>
      <ns0:c r="AC124" s="28" t="n"/>
      <ns0:c r="AD124" s="28" t="n"/>
      <ns0:c r="AE124" s="28" t="n"/>
      <ns0:c r="AF124" s="28" t="n"/>
      <ns0:c r="AG124" s="28" t="n"/>
      <ns0:c r="AH124" s="28" t="n"/>
      <ns0:c r="AI124" s="28" t="n"/>
      <ns0:c r="AJ124" s="28" t="n"/>
      <ns0:c r="AK124" s="28" t="n"/>
      <ns0:c r="AL124" s="28" t="n"/>
      <ns0:c r="AM124" s="28" t="n"/>
      <ns0:c r="AN124" s="28" t="n"/>
      <ns0:c r="AO124" s="28" t="n"/>
      <ns0:c r="AP124" s="28" t="n"/>
    </ns0:row>
    <ns0:row r="125" ht="26.25" customHeight="1">
      <ns0:c r="B125" s="42" t="n"/>
      <ns0:c r="C125" s="36" t="n"/>
      <ns0:c r="D125" s="36" t="n"/>
      <ns0:c r="E125" s="36" t="n"/>
      <ns0:c r="F125" s="36" t="n"/>
      <ns0:c r="G125" s="37" t="n"/>
      <ns0:c r="H125" s="37" t="n"/>
      <ns0:c r="I125" s="38" t="n"/>
      <ns0:c r="J125" s="38" t="n"/>
      <ns0:c r="K125" s="38" t="n"/>
      <ns0:c r="L125" s="39" t="n"/>
      <ns0:c r="M125" s="38" t="n"/>
      <ns0:c r="N125" s="38" t="n"/>
      <ns0:c r="O125" s="38" t="n"/>
      <ns0:c r="P125" s="38" t="n"/>
      <ns0:c r="Q125" s="38" t="n"/>
      <ns0:c r="R125" s="38" t="n"/>
      <ns0:c r="S125" s="38" t="n"/>
      <ns0:c r="T125" s="38" t="n"/>
      <ns0:c r="U125" s="39" t="n"/>
      <ns0:c r="V125" s="40" t="n"/>
      <ns0:c r="W125" s="28" t="n"/>
      <ns0:c r="Y125" s="28" t="n"/>
      <ns0:c r="Z125" s="28" t="n"/>
      <ns0:c r="AA125" s="28" t="n"/>
      <ns0:c r="AB125" s="28" t="n"/>
      <ns0:c r="AC125" s="28" t="n"/>
      <ns0:c r="AD125" s="28" t="n"/>
      <ns0:c r="AE125" s="28" t="n"/>
      <ns0:c r="AF125" s="28" t="n"/>
      <ns0:c r="AG125" s="28" t="n"/>
      <ns0:c r="AH125" s="28" t="n"/>
      <ns0:c r="AI125" s="28" t="n"/>
      <ns0:c r="AJ125" s="28" t="n"/>
      <ns0:c r="AK125" s="28" t="n"/>
      <ns0:c r="AL125" s="28" t="n"/>
      <ns0:c r="AM125" s="28" t="n"/>
      <ns0:c r="AN125" s="28" t="n"/>
      <ns0:c r="AO125" s="28" t="n"/>
      <ns0:c r="AP125" s="28" t="n"/>
    </ns0:row>
    <ns0:row r="126" ht="26.25" customHeight="1">
      <ns0:c r="B126" s="42" t="n"/>
      <ns0:c r="C126" s="36" t="n"/>
      <ns0:c r="D126" s="36" t="n"/>
      <ns0:c r="E126" s="36" t="n"/>
      <ns0:c r="F126" s="36" t="n"/>
      <ns0:c r="G126" s="37" t="n"/>
      <ns0:c r="H126" s="37" t="n"/>
      <ns0:c r="I126" s="38" t="n"/>
      <ns0:c r="J126" s="38" t="n"/>
      <ns0:c r="K126" s="38" t="n"/>
      <ns0:c r="L126" s="39" t="n"/>
      <ns0:c r="M126" s="38" t="n"/>
      <ns0:c r="N126" s="38" t="n"/>
      <ns0:c r="O126" s="38" t="n"/>
      <ns0:c r="P126" s="38" t="n"/>
      <ns0:c r="Q126" s="38" t="n"/>
      <ns0:c r="R126" s="38" t="n"/>
      <ns0:c r="S126" s="38" t="n"/>
      <ns0:c r="T126" s="38" t="n"/>
      <ns0:c r="U126" s="39" t="n"/>
      <ns0:c r="V126" s="40" t="n"/>
      <ns0:c r="W126" s="28" t="n"/>
      <ns0:c r="Y126" s="28" t="n"/>
      <ns0:c r="Z126" s="28" t="n"/>
      <ns0:c r="AA126" s="28" t="n"/>
      <ns0:c r="AB126" s="28" t="n"/>
      <ns0:c r="AC126" s="28" t="n"/>
      <ns0:c r="AD126" s="28" t="n"/>
      <ns0:c r="AE126" s="28" t="n"/>
      <ns0:c r="AF126" s="28" t="n"/>
      <ns0:c r="AG126" s="28" t="n"/>
      <ns0:c r="AH126" s="28" t="n"/>
      <ns0:c r="AI126" s="28" t="n"/>
      <ns0:c r="AJ126" s="28" t="n"/>
      <ns0:c r="AK126" s="28" t="n"/>
      <ns0:c r="AL126" s="28" t="n"/>
      <ns0:c r="AM126" s="28" t="n"/>
      <ns0:c r="AN126" s="28" t="n"/>
      <ns0:c r="AO126" s="28" t="n"/>
      <ns0:c r="AP126" s="28" t="n"/>
    </ns0:row>
    <ns0:row r="127" ht="26.25" customHeight="1">
      <ns0:c r="B127" s="42" t="n"/>
      <ns0:c r="C127" s="36" t="n"/>
      <ns0:c r="D127" s="36" t="n"/>
      <ns0:c r="E127" s="36" t="n"/>
      <ns0:c r="F127" s="36" t="n"/>
      <ns0:c r="G127" s="37" t="n"/>
      <ns0:c r="H127" s="37" t="n"/>
      <ns0:c r="I127" s="38" t="n"/>
      <ns0:c r="J127" s="38" t="n"/>
      <ns0:c r="K127" s="38" t="n"/>
      <ns0:c r="L127" s="39" t="n"/>
      <ns0:c r="M127" s="38" t="n"/>
      <ns0:c r="N127" s="38" t="n"/>
      <ns0:c r="O127" s="38" t="n"/>
      <ns0:c r="P127" s="38" t="n"/>
      <ns0:c r="Q127" s="38" t="n"/>
      <ns0:c r="R127" s="38" t="n"/>
      <ns0:c r="S127" s="38" t="n"/>
      <ns0:c r="T127" s="38" t="n"/>
      <ns0:c r="U127" s="39" t="n"/>
      <ns0:c r="V127" s="40" t="n"/>
      <ns0:c r="W127" s="28" t="n"/>
      <ns0:c r="Y127" s="28" t="n"/>
      <ns0:c r="Z127" s="28" t="n"/>
      <ns0:c r="AA127" s="28" t="n"/>
      <ns0:c r="AB127" s="28" t="n"/>
      <ns0:c r="AC127" s="28" t="n"/>
      <ns0:c r="AD127" s="28" t="n"/>
      <ns0:c r="AE127" s="28" t="n"/>
      <ns0:c r="AF127" s="28" t="n"/>
      <ns0:c r="AG127" s="28" t="n"/>
      <ns0:c r="AH127" s="28" t="n"/>
      <ns0:c r="AI127" s="28" t="n"/>
      <ns0:c r="AJ127" s="28" t="n"/>
      <ns0:c r="AK127" s="28" t="n"/>
      <ns0:c r="AL127" s="28" t="n"/>
      <ns0:c r="AM127" s="28" t="n"/>
      <ns0:c r="AN127" s="28" t="n"/>
      <ns0:c r="AO127" s="28" t="n"/>
      <ns0:c r="AP127" s="28" t="n"/>
    </ns0:row>
    <ns0:row r="128" ht="39.75" customHeight="1">
      <ns0:c r="B128" s="105" t="inlineStr">
        <ns0:is>
          <ns0:t>IV. Decision</ns0:t>
        </ns0:is>
      </ns0:c>
      <ns0:c r="C128" s="106" t="n"/>
      <ns0:c r="D128" s="106" t="n"/>
      <ns0:c r="E128" s="106" t="n"/>
      <ns0:c r="F128" s="106" t="n"/>
      <ns0:c r="G128" s="106" t="n"/>
      <ns0:c r="H128" s="106" t="n"/>
      <ns0:c r="I128" s="106" t="n"/>
      <ns0:c r="J128" s="106" t="n"/>
      <ns0:c r="K128" s="106" t="n"/>
      <ns0:c r="L128" s="106" t="n"/>
      <ns0:c r="M128" s="106" t="n"/>
      <ns0:c r="N128" s="106" t="n"/>
      <ns0:c r="O128" s="106" t="n"/>
      <ns0:c r="P128" s="106" t="n"/>
      <ns0:c r="Q128" s="106" t="n"/>
      <ns0:c r="R128" s="106" t="n"/>
      <ns0:c r="S128" s="106" t="n"/>
      <ns0:c r="T128" s="106" t="n"/>
      <ns0:c r="U128" s="106" t="n"/>
      <ns0:c r="V128" s="107" t="n"/>
      <ns0:c r="W128" s="28" t="n"/>
      <ns0:c r="X128" s="28" t="n"/>
      <ns0:c r="Y128" s="28" t="n"/>
      <ns0:c r="Z128" s="28" t="n"/>
      <ns0:c r="AA128" s="28" t="n"/>
      <ns0:c r="AB128" s="28" t="n"/>
      <ns0:c r="AC128" s="28" t="n"/>
      <ns0:c r="AD128" s="28" t="n"/>
      <ns0:c r="AE128" s="28" t="n"/>
      <ns0:c r="AF128" s="28" t="n"/>
      <ns0:c r="AG128" s="28" t="n"/>
      <ns0:c r="AH128" s="28" t="n"/>
      <ns0:c r="AI128" s="28" t="n"/>
      <ns0:c r="AJ128" s="28" t="n"/>
      <ns0:c r="AK128" s="28" t="n"/>
      <ns0:c r="AL128" s="28" t="n"/>
      <ns0:c r="AM128" s="28" t="n"/>
      <ns0:c r="AN128" s="28" t="n"/>
      <ns0:c r="AO128" s="28" t="n"/>
      <ns0:c r="AP128" s="28" t="n"/>
      <ns0:c r="AQ128" s="28" t="n"/>
      <ns0:c r="AR128" s="28" t="n"/>
      <ns0:c r="AS128" s="28" t="n"/>
    </ns0:row>
    <ns0:row r="129" ht="39.75" customHeight="1">
      <ns0:c r="B129" s="108" t="n"/>
      <ns0:c r="C129" s="109" t="n"/>
      <ns0:c r="D129" s="109" t="n"/>
      <ns0:c r="E129" s="109" t="n"/>
      <ns0:c r="F129" s="109" t="n"/>
      <ns0:c r="G129" s="109" t="n"/>
      <ns0:c r="H129" s="109" t="n"/>
      <ns0:c r="I129" s="109" t="n"/>
      <ns0:c r="J129" s="109" t="n"/>
      <ns0:c r="K129" s="109" t="n"/>
      <ns0:c r="L129" s="109" t="n"/>
      <ns0:c r="M129" s="109" t="n"/>
      <ns0:c r="N129" s="109" t="n"/>
      <ns0:c r="O129" s="109" t="n"/>
      <ns0:c r="P129" s="109" t="n"/>
      <ns0:c r="Q129" s="109" t="n"/>
      <ns0:c r="R129" s="109" t="n"/>
      <ns0:c r="S129" s="109" t="n"/>
      <ns0:c r="T129" s="109" t="n"/>
      <ns0:c r="U129" s="109" t="n"/>
      <ns0:c r="V129" s="110" t="n"/>
      <ns0:c r="W129" s="28" t="n"/>
      <ns0:c r="Y129" s="28" t="n"/>
      <ns0:c r="Z129" s="28" t="n"/>
      <ns0:c r="AA129" s="28" t="n"/>
      <ns0:c r="AB129" s="28" t="n"/>
      <ns0:c r="AC129" s="28" t="n"/>
      <ns0:c r="AD129" s="28" t="n"/>
      <ns0:c r="AE129" s="28" t="n"/>
      <ns0:c r="AF129" s="28" t="n"/>
      <ns0:c r="AG129" s="28" t="n"/>
      <ns0:c r="AH129" s="28" t="n"/>
      <ns0:c r="AI129" s="28" t="n"/>
      <ns0:c r="AJ129" s="28" t="n"/>
      <ns0:c r="AK129" s="28" t="n"/>
      <ns0:c r="AL129" s="28" t="n"/>
      <ns0:c r="AM129" s="28" t="n"/>
      <ns0:c r="AN129" s="28" t="n"/>
      <ns0:c r="AO129" s="28" t="n"/>
      <ns0:c r="AP129" s="28" t="n"/>
      <ns0:c r="AQ129" s="28" t="n"/>
      <ns0:c r="AR129" s="28" t="n"/>
      <ns0:c r="AS129" s="28" t="n"/>
    </ns0:row>
    <ns0:row r="130" ht="40.5" customHeight="1">
      <ns0:c r="B130" s="111" t="n"/>
      <ns0:c r="C130" s="111" t="n"/>
      <ns0:c r="D130" s="111" t="n"/>
      <ns0:c r="E130" s="111" t="n"/>
      <ns0:c r="F130" s="111" t="n"/>
      <ns0:c r="G130" s="111" t="n"/>
      <ns0:c r="H130" s="111" t="n"/>
      <ns0:c r="I130" s="111" t="n"/>
      <ns0:c r="J130" s="111" t="n"/>
      <ns0:c r="K130" s="111" t="n"/>
      <ns0:c r="L130" s="111" t="n"/>
      <ns0:c r="M130" s="111" t="n"/>
      <ns0:c r="N130" s="111" t="n"/>
      <ns0:c r="O130" s="111" t="n"/>
      <ns0:c r="P130" s="111" t="n"/>
      <ns0:c r="Q130" s="111" t="n"/>
      <ns0:c r="R130" s="111" t="n"/>
      <ns0:c r="S130" s="111" t="n"/>
      <ns0:c r="T130" s="111" t="n"/>
      <ns0:c r="U130" s="111" t="n"/>
      <ns0:c r="V130" s="111" t="n"/>
    </ns0:row>
    <ns0:row r="131" ht="26.25" customHeight="1">
      <ns0:c r="U131" s="28" t="n"/>
    </ns0:row>
  </ns0:sheetData>
  <ns0:mergeCells count="151">
    <ns0:mergeCell ref="E94:F95"/>
    <ns0:mergeCell ref="H82:H83"/>
    <ns0:mergeCell ref="P84:P85"/>
    <ns0:mergeCell ref="M88:M89"/>
    <ns0:mergeCell ref="K44:P44"/>
    <ns0:mergeCell ref="I46:J48"/>
    <ns0:mergeCell ref="G82:G83"/>
    <ns0:mergeCell ref="M90:M91"/>
    <ns0:mergeCell ref="T22:T24"/>
    <ns0:mergeCell ref="E80:F81"/>
    <ns0:mergeCell ref="Q64:R64"/>
    <ns0:mergeCell ref="Q22:S24"/>
    <ns0:mergeCell ref="H88:H89"/>
    <ns0:mergeCell ref="G45:H48"/>
    <ns0:mergeCell ref="T25:T30"/>
    <ns0:mergeCell ref="H94:H95"/>
    <ns0:mergeCell ref="K82:K83"/>
    <ns0:mergeCell ref="I37:P37"/>
    <ns0:mergeCell ref="I58:J58"/>
    <ns0:mergeCell ref="K58:L58"/>
    <ns0:mergeCell ref="K38:P38"/>
    <ns0:mergeCell ref="D22:D24"/>
    <ns0:mergeCell ref="E38:F42"/>
    <ns0:mergeCell ref="H90:H91"/>
    <ns0:mergeCell ref="C2:T4"/>
    <ns0:mergeCell ref="C57:E57"/>
    <ns0:mergeCell ref="B15:V15"/>
    <ns0:mergeCell ref="O40:P40"/>
    <ns0:mergeCell ref="M36:N36"/>
    <ns0:mergeCell ref="G27:H30"/>
    <ns0:mergeCell ref="N90:N91"/>
    <ns0:mergeCell ref="Q30:R30"/>
    <ns0:mergeCell ref="T31:T36"/>
    <ns0:mergeCell ref="H92:H93"/>
    <ns0:mergeCell ref="I60:I63"/>
    <ns0:mergeCell ref="O82:O83"/>
    <ns0:mergeCell ref="L80:L81"/>
    <ns0:mergeCell ref="D82:D85"/>
    <ns0:mergeCell ref="K26:P26"/>
    <ns0:mergeCell ref="E26:F30"/>
    <ns0:mergeCell ref="L82:L83"/>
    <ns0:mergeCell ref="C22:C48"/>
    <ns0:mergeCell ref="E84:F85"/>
    <ns0:mergeCell ref="F57:G57"/>
    <ns0:mergeCell ref="K80:K81"/>
    <ns0:mergeCell ref="M33:P33"/>
    <ns0:mergeCell ref="M45:P45"/>
    <ns0:mergeCell ref="T37:T42"/>
    <ns0:mergeCell ref="D25:D36"/>
    <ns0:mergeCell ref="O55:P56"/>
    <ns0:mergeCell ref="I80:J80"/>
    <ns0:mergeCell ref="D90:D95"/>
    <ns0:mergeCell ref="M94:M95"/>
    <ns0:mergeCell ref="K64:L64"/>
    <ns0:mergeCell ref="M64:N64"/>
    <ns0:mergeCell ref="I57:J57"/>
    <ns0:mergeCell ref="N92:N93"/>
    <ns0:mergeCell ref="C61:E61"/>
    <ns0:mergeCell ref="I25:P25"/>
    <ns0:mergeCell ref="O65:P65"/>
    <ns0:mergeCell ref="C62:D63"/>
    <ns0:mergeCell ref="M65:N65"/>
    <ns0:mergeCell ref="H80:H81"/>
    <ns0:mergeCell ref="L84:L85"/>
    <ns0:mergeCell ref="S31:S35"/>
    <ns0:mergeCell ref="C64:D65"/>
    <ns0:mergeCell ref="B5:V5"/>
    <ns0:mergeCell ref="C82:C83"/>
    <ns0:mergeCell ref="Q65:R65"/>
    <ns0:mergeCell ref="G88:G89"/>
    <ns0:mergeCell ref="O58:P58"/>
    <ns0:mergeCell ref="E88:F89"/>
    <ns0:mergeCell ref="F61:G61"/>
    <ns0:mergeCell ref="F55:G56"/>
    <ns0:mergeCell ref="D88:D89"/>
    <ns0:mergeCell ref="G90:G91"/>
    <ns0:mergeCell ref="K41:L42"/>
    <ns0:mergeCell ref="I59:J59"/>
    <ns0:mergeCell ref="M92:M93"/>
    <ns0:mergeCell ref="K35:L36"/>
    <ns0:mergeCell ref="N94:N95"/>
    <ns0:mergeCell ref="I31:P31"/>
    <ns0:mergeCell ref="M27:P27"/>
    <ns0:mergeCell ref="E32:F36"/>
    <ns0:mergeCell ref="I34:J36"/>
    <ns0:mergeCell ref="I88:L88"/>
    <ns0:mergeCell ref="E90:F91"/>
    <ns0:mergeCell ref="O28:P28"/>
    <ns0:mergeCell ref="Q42:R42"/>
    <ns0:mergeCell ref="D80:D81"/>
    <ns0:mergeCell ref="M48:N48"/>
    <ns0:mergeCell ref="B8:V8"/>
    <ns0:mergeCell ref="C84:C85"/>
    <ns0:mergeCell ref="O57:R57"/>
    <ns0:mergeCell ref="C80:C81"/>
    <ns0:mergeCell ref="I55:J56"/>
    <ns0:mergeCell ref="N88:N89"/>
    <ns0:mergeCell ref="G80:G81"/>
    <ns0:mergeCell ref="I22:J24"/>
    <ns0:mergeCell ref="C67:E67"/>
    <ns0:mergeCell ref="K22:L24"/>
    <ns0:mergeCell ref="M22:N24"/>
    <ns0:mergeCell ref="E44:F48"/>
    <ns0:mergeCell ref="M39:P39"/>
    <ns0:mergeCell ref="I43:P43"/>
    <ns0:mergeCell ref="G92:G93"/>
    <ns0:mergeCell ref="K55:L56"/>
    <ns0:mergeCell ref="O22:P24"/>
    <ns0:mergeCell ref="G94:G95"/>
    <ns0:mergeCell ref="B2:B4"/>
    <ns0:mergeCell ref="E92:F93"/>
    <ns0:mergeCell ref="G39:H42"/>
    <ns0:mergeCell ref="I64:J64"/>
    <ns0:mergeCell ref="Q48:R48"/>
    <ns0:mergeCell ref="Q55:R56"/>
    <ns0:mergeCell ref="K65:L65"/>
    <ns0:mergeCell ref="S37:S41"/>
    <ns0:mergeCell ref="M58:N58"/>
    <ns0:mergeCell ref="I40:J42"/>
    <ns0:mergeCell ref="I65:J65"/>
    <ns0:mergeCell ref="K32:P32"/>
    <ns0:mergeCell ref="G33:H36"/>
    <ns0:mergeCell ref="C58:D60"/>
    <ns0:mergeCell ref="C88:C89"/>
    <ns0:mergeCell ref="K57:N57"/>
    <ns0:mergeCell ref="K84:K85"/>
    <ns0:mergeCell ref="O84:O85"/>
    <ns0:mergeCell ref="Q58:R58"/>
    <ns0:mergeCell ref="P80:P81"/>
    <ns0:mergeCell ref="P82:P83"/>
    <ns0:mergeCell ref="C90:C95"/>
    <ns0:mergeCell ref="O80:O81"/>
    <ns0:mergeCell ref="M30:N30"/>
    <ns0:mergeCell ref="C66:E66"/>
    <ns0:mergeCell ref="S25:S29"/>
    <ns0:mergeCell ref="I28:J30"/>
    <ns0:mergeCell ref="S43:S47"/>
    <ns0:mergeCell ref="M42:N42"/>
    <ns0:mergeCell ref="M80:N80"/>
    <ns0:mergeCell ref="K29:L30"/>
    <ns0:mergeCell ref="Q36:R36"/>
    <ns0:mergeCell ref="C55:E56"/>
    <ns0:mergeCell ref="M55:N56"/>
    <ns0:mergeCell ref="O64:P64"/>
    <ns0:mergeCell ref="E82:F83"/>
    <ns0:mergeCell ref="G84:J85"/>
    <ns0:mergeCell ref="T43:T48"/>
    <ns0:mergeCell ref="E22:F24"/>
    <ns0:mergeCell ref="G22:H24"/>
    <ns0:mergeCell ref="D37:D48"/>
    <ns0:mergeCell ref="K47:L4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J11"/>
  <ns0:sheetViews>
    <ns0:sheetView workbookViewId="0">
      <ns0:selection activeCell="A1" sqref="A1"/>
    </ns0:sheetView>
  </ns0:sheetViews>
  <ns0:sheetFormatPr baseColWidth="8" defaultRowHeight="15"/>
  <ns0:cols>
    <ns0:col width="16.28571428571428" customWidth="1" min="2" max="2"/>
    <ns0:col width="16.28571428571428" customWidth="1" min="3" max="3"/>
    <ns0:col width="19.57142857142857" customWidth="1" min="4" max="4"/>
    <ns0:col width="69.85714285714286" customWidth="1" min="5" max="5"/>
    <ns0:col width="15.14285714285714" customWidth="1" min="9" max="9"/>
    <ns0:col width="61.57142857142857" customWidth="1" min="10" max="10"/>
  </ns0:cols>
  <ns0:sheetData>
    <ns0:row r="2" ht="35.25" customHeight="1">
      <ns0:c r="B2" s="112" t="inlineStr">
        <ns0:is>
          <ns0:t>TEST REPAIR NG HEARING SAMPLE 201506 / 161016</ns0:t>
        </ns0:is>
      </ns0:c>
    </ns0:row>
    <ns0:row r="3" ht="36" customHeight="1">
      <ns0:c r="B3" s="43" t="inlineStr">
        <ns0:is>
          <ns0:t>No</ns0:t>
        </ns0:is>
      </ns0:c>
      <ns0:c r="C3" s="43" t="inlineStr">
        <ns0:is>
          <ns0:t>Model</ns0:t>
        </ns0:is>
      </ns0:c>
      <ns0:c r="D3" s="43" t="inlineStr">
        <ns0:is>
          <ns0:t>Type</ns0:t>
        </ns0:is>
      </ns0:c>
      <ns0:c r="E3" s="43" t="inlineStr">
        <ns0:is>
          <ns0:t>Content</ns0:t>
        </ns0:is>
      </ns0:c>
      <ns0:c r="F3" s="43" t="inlineStr">
        <ns0:is>
          <ns0:t>Q'ty</ns0:t>
        </ns0:is>
      </ns0:c>
      <ns0:c r="G3" s="43" t="inlineStr">
        <ns0:is>
          <ns0:t>Start</ns0:t>
        </ns0:is>
      </ns0:c>
      <ns0:c r="H3" s="43" t="inlineStr">
        <ns0:is>
          <ns0:t>Finish</ns0:t>
        </ns0:is>
      </ns0:c>
      <ns0:c r="I3" s="43" t="inlineStr">
        <ns0:is>
          <ns0:t>P.I.C</ns0:t>
        </ns0:is>
      </ns0:c>
      <ns0:c r="J3" s="43" t="inlineStr">
        <ns0:is>
          <ns0:t>Note</ns0:t>
        </ns0:is>
      </ns0:c>
    </ns0:row>
    <ns0:row r="4" ht="36" customHeight="1">
      <ns0:c r="B4" s="43" t="n">
        <ns0:v>1</ns0:v>
      </ns0:c>
      <ns0:c r="C4" s="43" t="inlineStr">
        <ns0:is>
          <ns0:t>161016 C2 / E2</ns0:t>
        </ns0:is>
      </ns0:c>
      <ns0:c r="D4" s="43" t="inlineStr">
        <ns0:is>
          <ns0:t>NG Hearing</ns0:t>
        </ns0:is>
      </ns0:c>
      <ns0:c r="E4" s="113" t="inlineStr">
        <ns0:is>
          <ns0:t>SPK: separate Yoke =&gt; remove particle =&gt; rotation Yoke =&gt; Bonding and assy again Yoke =&gt; Check function</ns0:t>
        </ns0:is>
      </ns0:c>
      <ns0:c r="F4" s="43" t="n">
        <ns0:v>700</ns0:v>
      </ns0:c>
      <ns0:c r="G4" s="114" t="n">
        <ns0:v>45576</ns0:v>
      </ns0:c>
      <ns0:c r="H4" s="114" t="n">
        <ns0:v>45583</ns0:v>
      </ns0:c>
      <ns0:c r="I4" s="43" t="inlineStr">
        <ns0:is>
          <ns0:t>ME/SX/PQC</ns0:t>
        </ns0:is>
      </ns0:c>
      <ns0:c r="J4" s="115" t="inlineStr">
        <ns0:is>
          <ns0:t xml:space="preserve"> Step 1: test 100pcs =&gt; Move Module (if Ok make more)</ns0:t>
        </ns0:is>
      </ns0:c>
    </ns0:row>
    <ns0:row r="5" ht="36" customHeight="1">
      <ns0:c r="B5" s="43" t="n">
        <ns0:v>2</ns0:v>
      </ns0:c>
      <ns0:c r="C5" s="116" t="inlineStr">
        <ns0:is>
          <ns0:t>161016 C2 / E2</ns0:t>
        </ns0:is>
      </ns0:c>
      <ns0:c r="D5" s="116" t="inlineStr">
        <ns0:is>
          <ns0:t>NG Hearing</ns0:t>
        </ns0:is>
      </ns0:c>
      <ns0:c r="E5" s="113" t="inlineStr">
        <ns0:is>
          <ns0:t>Working manual tempolary</ns0:t>
        </ns0:is>
      </ns0:c>
      <ns0:c r="F5" s="43" t="n"/>
      <ns0:c r="G5" s="114" t="n">
        <ns0:v>45575</ns0:v>
      </ns0:c>
      <ns0:c r="H5" s="114" t="n">
        <ns0:v>45575</ns0:v>
      </ns0:c>
      <ns0:c r="I5" s="43" t="inlineStr">
        <ns0:is>
          <ns0:t>ME</ns0:t>
        </ns0:is>
      </ns0:c>
      <ns0:c r="J5" s="115" t="n"/>
    </ns0:row>
    <ns0:row r="6" ht="36" customHeight="1">
      <ns0:c r="B6" s="117" t="n">
        <ns0:v>3</ns0:v>
      </ns0:c>
      <ns0:c r="C6" s="118" t="inlineStr">
        <ns0:is>
          <ns0:t>161016 C2 / E2</ns0:t>
        </ns0:is>
      </ns0:c>
      <ns0:c r="D6" s="118" t="inlineStr">
        <ns0:is>
          <ns0:t>NG Hearing</ns0:t>
        </ns0:is>
      </ns0:c>
      <ns0:c r="E6" s="119" t="inlineStr">
        <ns0:is>
          <ns0:t>Reliability test</ns0:t>
        </ns0:is>
      </ns0:c>
      <ns0:c r="F6" s="117" t="n"/>
      <ns0:c r="G6" s="120" t="n"/>
      <ns0:c r="H6" s="120" t="n"/>
      <ns0:c r="I6" s="117" t="inlineStr">
        <ns0:is>
          <ns0:t>QM</ns0:t>
        </ns0:is>
      </ns0:c>
      <ns0:c r="J6" s="121" t="inlineStr">
        <ns0:is>
          <ns0:t>Mr Minh support check again.</ns0:t>
        </ns0:is>
      </ns0:c>
    </ns0:row>
    <ns0:row r="7" ht="36" customHeight="1">
      <ns0:c r="B7" s="61" t="n">
        <ns0:v>4</ns0:v>
      </ns0:c>
      <ns0:c r="C7" s="61" t="n">
        <ns0:v>201506</ns0:v>
      </ns0:c>
      <ns0:c r="D7" s="61" t="inlineStr">
        <ns0:is>
          <ns0:t>NG Hearing</ns0:t>
        </ns0:is>
      </ns0:c>
      <ns0:c r="E7" s="122" t="inlineStr">
        <ns0:is>
          <ns0:t>SPK: separate Yoke =&gt; remove particle =&gt; rotation Yoke =&gt; Bonding and assy again Yoke =&gt; Check function</ns0:t>
        </ns0:is>
      </ns0:c>
      <ns0:c r="F7" s="61" t="n"/>
      <ns0:c r="G7" s="61" t="n"/>
      <ns0:c r="H7" s="61" t="n"/>
      <ns0:c r="I7" s="61" t="n"/>
      <ns0:c r="J7" s="115" t="inlineStr">
        <ns0:is>
          <ns0:t xml:space="preserve"> Step 1: test 100pcs =&gt; Move Module (if Ok make more)</ns0:t>
        </ns0:is>
      </ns0:c>
    </ns0:row>
    <ns0:row r="8" ht="36" customHeight="1">
      <ns0:c r="B8" s="43" t="n">
        <ns0:v>5</ns0:v>
      </ns0:c>
      <ns0:c r="C8" s="116" t="n">
        <ns0:v>201506</ns0:v>
      </ns0:c>
      <ns0:c r="D8" s="116" t="inlineStr">
        <ns0:is>
          <ns0:t>NG Hearing</ns0:t>
        </ns0:is>
      </ns0:c>
      <ns0:c r="E8" s="113" t="inlineStr">
        <ns0:is>
          <ns0:t>Working manual tempolary</ns0:t>
        </ns0:is>
      </ns0:c>
      <ns0:c r="F8" s="43" t="n">
        <ns0:v>700</ns0:v>
      </ns0:c>
      <ns0:c r="G8" s="114" t="n">
        <ns0:v>45575</ns0:v>
      </ns0:c>
      <ns0:c r="H8" s="114" t="n">
        <ns0:v>45575</ns0:v>
      </ns0:c>
      <ns0:c r="I8" s="43" t="inlineStr">
        <ns0:is>
          <ns0:t>ME</ns0:t>
        </ns0:is>
      </ns0:c>
      <ns0:c r="J8" s="115" t="n"/>
    </ns0:row>
    <ns0:row r="9" ht="36" customHeight="1">
      <ns0:c r="B9" s="117" t="n">
        <ns0:v>6</ns0:v>
      </ns0:c>
      <ns0:c r="C9" s="118" t="n">
        <ns0:v>201506</ns0:v>
      </ns0:c>
      <ns0:c r="D9" s="118" t="inlineStr">
        <ns0:is>
          <ns0:t>NG Hearing</ns0:t>
        </ns0:is>
      </ns0:c>
      <ns0:c r="E9" s="119" t="inlineStr">
        <ns0:is>
          <ns0:t>Reliability test</ns0:t>
        </ns0:is>
      </ns0:c>
      <ns0:c r="F9" s="117" t="n"/>
      <ns0:c r="G9" s="120" t="n"/>
      <ns0:c r="H9" s="120" t="n"/>
      <ns0:c r="I9" s="117" t="inlineStr">
        <ns0:is>
          <ns0:t>QM</ns0:t>
        </ns0:is>
      </ns0:c>
      <ns0:c r="J9" s="121" t="inlineStr">
        <ns0:is>
          <ns0:t>Mr Minh support check again.</ns0:t>
        </ns0:is>
      </ns0:c>
    </ns0:row>
    <ns0:row r="10" ht="36" customHeight="1">
      <ns0:c r="B10" s="123" t="n">
        <ns0:v>7</ns0:v>
      </ns0:c>
      <ns0:c r="C10" s="123" t="inlineStr">
        <ns0:is>
          <ns0:t>S711</ns0:t>
        </ns0:is>
      </ns0:c>
      <ns0:c r="D10" s="123" t="inlineStr">
        <ns0:is>
          <ns0:t>SPK OK function</ns0:t>
        </ns0:is>
      </ns0:c>
      <ns0:c r="E10" s="124" t="inlineStr">
        <ns0:is>
          <ns0:t>Make final sample =&gt; Check function</ns0:t>
        </ns0:is>
      </ns0:c>
      <ns0:c r="F10" s="123" t="inlineStr">
        <ns0:is>
          <ns0:t>?</ns0:t>
        </ns0:is>
      </ns0:c>
      <ns0:c r="G10" s="125" t="n">
        <ns0:v>45579</ns0:v>
      </ns0:c>
      <ns0:c r="H10" s="125" t="n">
        <ns0:v>45587</ns0:v>
      </ns0:c>
      <ns0:c r="I10" s="123" t="inlineStr">
        <ns0:is>
          <ns0:t>ME/SX/PQC</ns0:t>
        </ns0:is>
      </ns0:c>
      <ns0:c r="J10" s="124" t="n"/>
    </ns0:row>
    <ns0:row r="11" ht="36" customHeight="1">
      <ns0:c r="B11" s="61" t="n">
        <ns0:v>8</ns0:v>
      </ns0:c>
      <ns0:c r="C11" s="61" t="n">
        <ns0:v>516</ns0:v>
      </ns0:c>
      <ns0:c r="D11" s="126" t="inlineStr">
        <ns0:is>
          <ns0:t>SPK OK function</ns0:t>
        </ns0:is>
      </ns0:c>
      <ns0:c r="E11" s="127" t="inlineStr">
        <ns0:is>
          <ns0:t>Make final sample =&gt; Check function</ns0:t>
        </ns0:is>
      </ns0:c>
      <ns0:c r="F11" s="126" t="inlineStr">
        <ns0:is>
          <ns0:t>?</ns0:t>
        </ns0:is>
      </ns0:c>
      <ns0:c r="G11" s="128" t="n">
        <ns0:v>45579</ns0:v>
      </ns0:c>
      <ns0:c r="H11" s="128" t="n">
        <ns0:v>45587</ns0:v>
      </ns0:c>
      <ns0:c r="I11" s="126" t="inlineStr">
        <ns0:is>
          <ns0:t>ME/SX/PQC</ns0:t>
        </ns0:is>
      </ns0:c>
      <ns0:c r="J11" s="127" t="n"/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9:AL59"/>
  <ns0:sheetViews>
    <ns0:sheetView workbookViewId="0">
      <ns0:selection activeCell="A1" sqref="A1"/>
    </ns0:sheetView>
  </ns0:sheetViews>
  <ns0:sheetFormatPr baseColWidth="8" defaultRowHeight="15"/>
  <ns0:cols>
    <ns0:col width="10.38" customWidth="1" min="2" max="2"/>
    <ns0:col width="11.75" customWidth="1" min="3" max="3"/>
    <ns0:col width="11.75" customWidth="1" min="4" max="4"/>
    <ns0:col width="8.380000000000001" customWidth="1" min="5" max="5"/>
    <ns0:col width="8.380000000000001" customWidth="1" min="6" max="6"/>
    <ns0:col width="10.75" customWidth="1" min="7" max="7"/>
    <ns0:col width="10.75" customWidth="1" min="8" max="8"/>
    <ns0:col width="10.75" customWidth="1" min="9" max="9"/>
    <ns0:col width="10.75" customWidth="1" min="10" max="10"/>
    <ns0:col width="10.75" customWidth="1" min="11" max="11"/>
    <ns0:col width="10.75" customWidth="1" min="12" max="12"/>
    <ns0:col width="10.75" customWidth="1" min="13" max="13"/>
    <ns0:col width="10.75" customWidth="1" min="14" max="14"/>
    <ns0:col width="10.75" customWidth="1" min="15" max="15"/>
    <ns0:col width="10.75" customWidth="1" min="16" max="16"/>
    <ns0:col width="8.380000000000001" customWidth="1" min="17" max="17"/>
    <ns0:col width="8.380000000000001" customWidth="1" min="18" max="18"/>
    <ns0:col width="8.380000000000001" customWidth="1" min="19" max="19"/>
    <ns0:col width="8.380000000000001" customWidth="1" min="20" max="20"/>
    <ns0:col width="8.380000000000001" customWidth="1" min="21" max="21"/>
    <ns0:col width="8.380000000000001" customWidth="1" min="22" max="22"/>
    <ns0:col width="10.38" customWidth="1" min="23" max="23"/>
    <ns0:col width="8.380000000000001" customWidth="1" min="24" max="24"/>
    <ns0:col width="8.380000000000001" customWidth="1" min="25" max="25"/>
    <ns0:col width="10.5" customWidth="1" min="26" max="26"/>
    <ns0:col width="12.13" customWidth="1" min="27" max="27"/>
    <ns0:col width="12.5" customWidth="1" min="28" max="28"/>
    <ns0:col width="11.13" customWidth="1" min="29" max="29"/>
    <ns0:col width="8.380000000000001" customWidth="1" min="30" max="30"/>
    <ns0:col width="8.380000000000001" customWidth="1" min="31" max="31"/>
    <ns0:col width="8.380000000000001" customWidth="1" min="32" max="32"/>
    <ns0:col width="8.380000000000001" customWidth="1" min="33" max="33"/>
    <ns0:col width="8.380000000000001" customWidth="1" min="34" max="34"/>
    <ns0:col width="8.380000000000001" customWidth="1" min="35" max="35"/>
    <ns0:col width="8.380000000000001" customWidth="1" min="36" max="36"/>
    <ns0:col width="8.380000000000001" customWidth="1" min="37" max="37"/>
    <ns0:col width="8.380000000000001" customWidth="1" min="38" max="38"/>
  </ns0:cols>
  <ns0:sheetData>
    <ns0:row r="7" ht="16.5" customHeight="1"/>
    <ns0:row r="8" ht="16.5" customHeight="1"/>
    <ns0:row r="9" ht="15" customHeight="1">
      <ns0:c r="C9" s="129" t="inlineStr">
        <ns0:is>
          <ns0:t>Model</ns0:t>
        </ns0:is>
      </ns0:c>
      <ns0:c r="D9" s="129" t="inlineStr">
        <ns0:is>
          <ns0:t>Date</ns0:t>
        </ns0:is>
      </ns0:c>
      <ns0:c r="E9" s="129" t="inlineStr">
        <ns0:is>
          <ns0:t>NG</ns0:t>
        </ns0:is>
      </ns0:c>
      <ns0:c r="G9" s="129" t="inlineStr">
        <ns0:is>
          <ns0:t>Repair 
1st
(YK Same Direction)</ns0:t>
        </ns0:is>
      </ns0:c>
      <ns0:c r="I9" s="129" t="inlineStr">
        <ns0:is>
          <ns0:t>Repair 
2nd 
(YK Same Direction)</ns0:t>
        </ns0:is>
      </ns0:c>
      <ns0:c r="K9" s="129" t="inlineStr">
        <ns0:is>
          <ns0:t>Repair 
3rd 
(YK Rotation)</ns0:t>
        </ns0:is>
      </ns0:c>
      <ns0:c r="M9" s="129" t="inlineStr">
        <ns0:is>
          <ns0:t>Repair 
4th
(YK Rotation)</ns0:t>
        </ns0:is>
      </ns0:c>
      <ns0:c r="O9" s="129" t="inlineStr">
        <ns0:is>
          <ns0:t>Repair 
5th
(YK Rotation)</ns0:t>
        </ns0:is>
      </ns0:c>
      <ns0:c r="Q9" s="129" t="inlineStr">
        <ns0:is>
          <ns0:t>Total OK</ns0:t>
        </ns0:is>
      </ns0:c>
      <ns0:c r="T9" s="129" t="inlineStr">
        <ns0:is>
          <ns0:t>OK Rate</ns0:t>
        </ns0:is>
      </ns0:c>
      <ns0:c r="V9" s="129" t="inlineStr">
        <ns0:is>
          <ns0:t>Model</ns0:t>
        </ns0:is>
      </ns0:c>
      <ns0:c r="W9" s="129" t="inlineStr">
        <ns0:is>
          <ns0:t>Date</ns0:t>
        </ns0:is>
      </ns0:c>
      <ns0:c r="X9" s="129" t="inlineStr">
        <ns0:is>
          <ns0:t>NG Type</ns0:t>
        </ns0:is>
      </ns0:c>
      <ns0:c r="Z9" s="129" t="inlineStr">
        <ns0:is>
          <ns0:t>Input</ns0:t>
        </ns0:is>
      </ns0:c>
      <ns0:c r="AA9" s="129" t="inlineStr">
        <ns0:is>
          <ns0:t>Sub 4</ns0:t>
        </ns0:is>
      </ns0:c>
      <ns0:c r="AD9" s="129" t="inlineStr">
        <ns0:is>
          <ns0:t>Input</ns0:t>
        </ns0:is>
      </ns0:c>
      <ns0:c r="AE9" s="129" t="inlineStr">
        <ns0:is>
          <ns0:t>Sigma</ns0:t>
        </ns0:is>
      </ns0:c>
      <ns0:c r="AG9" s="129" t="inlineStr">
        <ns0:is>
          <ns0:t>Hearing</ns0:t>
        </ns0:is>
      </ns0:c>
      <ns0:c r="AI9" s="129" t="inlineStr">
        <ns0:is>
          <ns0:t>Total NG</ns0:t>
        </ns0:is>
      </ns0:c>
      <ns0:c r="AJ9" s="129" t="inlineStr">
        <ns0:is>
          <ns0:t>NG rate</ns0:t>
        </ns0:is>
      </ns0:c>
      <ns0:c r="AK9" s="129" t="inlineStr">
        <ns0:is>
          <ns0:t>Total OK</ns0:t>
        </ns0:is>
      </ns0:c>
      <ns0:c r="AL9" s="129" t="inlineStr">
        <ns0:is>
          <ns0:t>OK rate</ns0:t>
        </ns0:is>
      </ns0:c>
    </ns0:row>
    <ns0:row r="10" ht="15" customHeight="1"/>
    <ns0:row r="11" ht="33" customHeight="1">
      <ns0:c r="AA11" s="129" t="inlineStr">
        <ns0:is>
          <ns0:t>Air leak</ns0:t>
        </ns0:is>
      </ns0:c>
      <ns0:c r="AB11" s="129" t="inlineStr">
        <ns0:is>
          <ns0:t>Long VP separate</ns0:t>
        </ns0:is>
      </ns0:c>
      <ns0:c r="AC11" s="129" t="inlineStr">
        <ns0:is>
          <ns0:t>Over glue FS</ns0:t>
        </ns0:is>
      </ns0:c>
      <ns0:c r="AE11" s="129" t="inlineStr">
        <ns0:is>
          <ns0:t>OK</ns0:t>
        </ns0:is>
      </ns0:c>
      <ns0:c r="AF11" s="129" t="inlineStr">
        <ns0:is>
          <ns0:t>NG</ns0:t>
        </ns0:is>
      </ns0:c>
      <ns0:c r="AG11" s="129" t="inlineStr">
        <ns0:is>
          <ns0:t>OK</ns0:t>
        </ns0:is>
      </ns0:c>
      <ns0:c r="AH11" s="129" t="inlineStr">
        <ns0:is>
          <ns0:t>NG</ns0:t>
        </ns0:is>
      </ns0:c>
    </ns0:row>
    <ns0:row r="12" ht="16.5" customHeight="1">
      <ns0:c r="B12" s="129" t="inlineStr">
        <ns0:is>
          <ns0:t>Hearing NG</ns0:t>
        </ns0:is>
      </ns0:c>
      <ns0:c r="C12" s="129" t="n">
        <ns0:v>161016</ns0:v>
      </ns0:c>
      <ns0:c r="D12" s="129" t="inlineStr">
        <ns0:is>
          <ns0:t>Total</ns0:t>
        </ns0:is>
      </ns0:c>
      <ns0:c r="E12" s="129" t="inlineStr">
        <ns0:is>
          <ns0:t>Touch</ns0:t>
        </ns0:is>
      </ns0:c>
      <ns0:c r="F12" s="129">
        <ns0:f>SUM(F24,F36)</ns0:f>
        <ns0:v/>
      </ns0:c>
      <ns0:c r="G12" s="129" t="inlineStr">
        <ns0:is>
          <ns0:t>OK</ns0:t>
        </ns0:is>
      </ns0:c>
      <ns0:c r="H12" s="129">
        <ns0:f>SUM(H24,H36)</ns0:f>
        <ns0:v/>
      </ns0:c>
      <ns0:c r="Q12" s="129">
        <ns0:f>H12</ns0:f>
        <ns0:v/>
      </ns0:c>
      <ns0:c r="R12" s="129">
        <ns0:f>Q12/F12</ns0:f>
        <ns0:v/>
      </ns0:c>
      <ns0:c r="S12" s="129">
        <ns0:f>SUM(Q12:Q16)</ns0:f>
        <ns0:v/>
      </ns0:c>
      <ns0:c r="T12" s="129">
        <ns0:f>S12/F12</ns0:f>
        <ns0:v/>
      </ns0:c>
      <ns0:c r="V12" s="129" t="n">
        <ns0:v>161016</ns0:v>
      </ns0:c>
      <ns0:c r="W12" s="130" t="n">
        <ns0:v>45569</ns0:v>
      </ns0:c>
      <ns0:c r="X12" s="129" t="inlineStr">
        <ns0:is>
          <ns0:t>Touch</ns0:t>
        </ns0:is>
      </ns0:c>
      <ns0:c r="Z12" s="129" t="n">
        <ns0:v>28</ns0:v>
      </ns0:c>
      <ns0:c r="AA12" s="129" t="n">
        <ns0:v>0</ns0:v>
      </ns0:c>
      <ns0:c r="AB12" s="129" t="n">
        <ns0:v>2</ns0:v>
      </ns0:c>
      <ns0:c r="AC12" s="129" t="n">
        <ns0:v>2</ns0:v>
      </ns0:c>
      <ns0:c r="AD12" s="129" t="n">
        <ns0:v>24</ns0:v>
      </ns0:c>
      <ns0:c r="AE12" s="129" t="n">
        <ns0:v>24</ns0:v>
      </ns0:c>
      <ns0:c r="AF12" s="129" t="n">
        <ns0:v>0</ns0:v>
      </ns0:c>
      <ns0:c r="AG12" s="129" t="n">
        <ns0:v>19</ns0:v>
      </ns0:c>
      <ns0:c r="AH12" s="129" t="n">
        <ns0:v>5</ns0:v>
      </ns0:c>
      <ns0:c r="AI12" s="129">
        <ns0:f>SUM(AA12,AB12,AC12,AF12,AH12)</ns0:f>
        <ns0:v/>
      </ns0:c>
      <ns0:c r="AJ12" s="129">
        <ns0:f>AI12/Z12</ns0:f>
        <ns0:v/>
      </ns0:c>
      <ns0:c r="AK12" s="129">
        <ns0:f>AG12</ns0:f>
        <ns0:v/>
      </ns0:c>
      <ns0:c r="AL12" s="129">
        <ns0:f>AK12/Z12</ns0:f>
        <ns0:v/>
      </ns0:c>
    </ns0:row>
    <ns0:row r="13" ht="16.5" customHeight="1">
      <ns0:c r="G13" s="129" t="inlineStr">
        <ns0:is>
          <ns0:t>NG</ns0:t>
        </ns0:is>
      </ns0:c>
      <ns0:c r="H13" s="129">
        <ns0:f>SUM(H25,H37)</ns0:f>
        <ns0:v/>
      </ns0:c>
      <ns0:c r="I13" s="129" t="inlineStr">
        <ns0:is>
          <ns0:t>OK</ns0:t>
        </ns0:is>
      </ns0:c>
      <ns0:c r="J13" s="129">
        <ns0:f>SUM(J25,J37)</ns0:f>
        <ns0:v/>
      </ns0:c>
      <ns0:c r="Q13" s="129">
        <ns0:f>J13</ns0:f>
        <ns0:v/>
      </ns0:c>
      <ns0:c r="R13" s="129">
        <ns0:f>SUM(Q12:Q13)/F12</ns0:f>
        <ns0:v/>
      </ns0:c>
      <ns0:c r="X13" s="129" t="inlineStr">
        <ns0:is>
          <ns0:t>Noise</ns0:t>
        </ns0:is>
      </ns0:c>
      <ns0:c r="Z13" s="129" t="n">
        <ns0:v>26</ns0:v>
      </ns0:c>
      <ns0:c r="AA13" s="129" t="n">
        <ns0:v>1</ns0:v>
      </ns0:c>
      <ns0:c r="AB13" s="129" t="n">
        <ns0:v>4</ns0:v>
      </ns0:c>
      <ns0:c r="AC13" s="129" t="n">
        <ns0:v>0</ns0:v>
      </ns0:c>
      <ns0:c r="AD13" s="129" t="n">
        <ns0:v>21</ns0:v>
      </ns0:c>
      <ns0:c r="AE13" s="129" t="n">
        <ns0:v>21</ns0:v>
      </ns0:c>
      <ns0:c r="AF13" s="129" t="n">
        <ns0:v>0</ns0:v>
      </ns0:c>
      <ns0:c r="AG13" s="129" t="n">
        <ns0:v>18</ns0:v>
      </ns0:c>
      <ns0:c r="AH13" s="129" t="n">
        <ns0:v>3</ns0:v>
      </ns0:c>
      <ns0:c r="AI13" s="129">
        <ns0:f>SUM(AA13,AB13,AC13,AF13,AH13)</ns0:f>
        <ns0:v/>
      </ns0:c>
      <ns0:c r="AJ13" s="129">
        <ns0:f>AI13/Z13</ns0:f>
        <ns0:v/>
      </ns0:c>
      <ns0:c r="AK13" s="129">
        <ns0:f>AG13</ns0:f>
        <ns0:v/>
      </ns0:c>
      <ns0:c r="AL13" s="129">
        <ns0:f>AK13/Z13</ns0:f>
        <ns0:v/>
      </ns0:c>
    </ns0:row>
    <ns0:row r="14" ht="16.5" customHeight="1">
      <ns0:c r="I14" s="129" t="inlineStr">
        <ns0:is>
          <ns0:t>NG</ns0:t>
        </ns0:is>
      </ns0:c>
      <ns0:c r="J14" s="129">
        <ns0:f>SUM(J26,J38)</ns0:f>
        <ns0:v/>
      </ns0:c>
      <ns0:c r="K14" s="129" t="inlineStr">
        <ns0:is>
          <ns0:t>OK</ns0:t>
        </ns0:is>
      </ns0:c>
      <ns0:c r="L14" s="129">
        <ns0:f>SUM(L26,L38)</ns0:f>
        <ns0:v/>
      </ns0:c>
      <ns0:c r="Q14" s="129">
        <ns0:f>L14</ns0:f>
        <ns0:v/>
      </ns0:c>
      <ns0:c r="R14" s="129">
        <ns0:f>SUM(Q12:Q14)/F12</ns0:f>
        <ns0:v/>
      </ns0:c>
    </ns0:row>
    <ns0:row r="15" ht="16.5" customHeight="1">
      <ns0:c r="K15" s="129" t="inlineStr">
        <ns0:is>
          <ns0:t>NG</ns0:t>
        </ns0:is>
      </ns0:c>
      <ns0:c r="L15" s="129">
        <ns0:f>SUM(L27,L39)</ns0:f>
        <ns0:v/>
      </ns0:c>
      <ns0:c r="M15" s="129" t="inlineStr">
        <ns0:is>
          <ns0:t>OK</ns0:t>
        </ns0:is>
      </ns0:c>
      <ns0:c r="N15" s="129">
        <ns0:f>SUM(N27,N39)</ns0:f>
        <ns0:v/>
      </ns0:c>
      <ns0:c r="Q15" s="129">
        <ns0:f>N15</ns0:f>
        <ns0:v/>
      </ns0:c>
      <ns0:c r="R15" s="129">
        <ns0:f>SUM(Q12:Q15)/F12</ns0:f>
        <ns0:v/>
      </ns0:c>
    </ns0:row>
    <ns0:row r="16" ht="16.5" customHeight="1">
      <ns0:c r="M16" s="129" t="inlineStr">
        <ns0:is>
          <ns0:t>NG</ns0:t>
        </ns0:is>
      </ns0:c>
      <ns0:c r="N16" s="129">
        <ns0:f>SUM(N28,N40)</ns0:f>
        <ns0:v/>
      </ns0:c>
      <ns0:c r="O16" s="129" t="inlineStr">
        <ns0:is>
          <ns0:t>OK</ns0:t>
        </ns0:is>
      </ns0:c>
      <ns0:c r="P16" s="129">
        <ns0:f>SUM(P28,P40)</ns0:f>
        <ns0:v/>
      </ns0:c>
      <ns0:c r="Q16" s="129">
        <ns0:f>P16</ns0:f>
        <ns0:v/>
      </ns0:c>
      <ns0:c r="R16" s="129">
        <ns0:f>SUM(Q12:Q16)/F12</ns0:f>
        <ns0:v/>
      </ns0:c>
    </ns0:row>
    <ns0:row r="17" ht="16.5" customHeight="1">
      <ns0:c r="O17" s="129" t="inlineStr">
        <ns0:is>
          <ns0:t>NG</ns0:t>
        </ns0:is>
      </ns0:c>
      <ns0:c r="P17" s="129">
        <ns0:f>SUM(P29,P41)</ns0:f>
        <ns0:v/>
      </ns0:c>
      <ns0:c r="S17" s="129">
        <ns0:f>P17</ns0:f>
        <ns0:v/>
      </ns0:c>
    </ns0:row>
    <ns0:row r="18" ht="16.5" customHeight="1">
      <ns0:c r="E18" s="129" t="inlineStr">
        <ns0:is>
          <ns0:t>Noise</ns0:t>
        </ns0:is>
      </ns0:c>
      <ns0:c r="F18" s="129">
        <ns0:f>SUM(F30,F42)</ns0:f>
        <ns0:v/>
      </ns0:c>
      <ns0:c r="G18" s="129" t="inlineStr">
        <ns0:is>
          <ns0:t>OK</ns0:t>
        </ns0:is>
      </ns0:c>
      <ns0:c r="H18" s="129">
        <ns0:f>SUM(H30,H42)</ns0:f>
        <ns0:v/>
      </ns0:c>
      <ns0:c r="Q18" s="129">
        <ns0:f>H18</ns0:f>
        <ns0:v/>
      </ns0:c>
      <ns0:c r="R18" s="129">
        <ns0:f>Q18/F18</ns0:f>
        <ns0:v/>
      </ns0:c>
      <ns0:c r="S18" s="129">
        <ns0:f>SUM(Q18:Q22)</ns0:f>
        <ns0:v/>
      </ns0:c>
      <ns0:c r="T18" s="129">
        <ns0:f>S18/F18</ns0:f>
        <ns0:v/>
      </ns0:c>
    </ns0:row>
    <ns0:row r="19" ht="16.5" customHeight="1">
      <ns0:c r="G19" s="129" t="inlineStr">
        <ns0:is>
          <ns0:t>NG</ns0:t>
        </ns0:is>
      </ns0:c>
      <ns0:c r="H19" s="129">
        <ns0:f>SUM(H31,H43)</ns0:f>
        <ns0:v/>
      </ns0:c>
      <ns0:c r="I19" s="129" t="inlineStr">
        <ns0:is>
          <ns0:t>OK</ns0:t>
        </ns0:is>
      </ns0:c>
      <ns0:c r="J19" s="129">
        <ns0:f>SUM(J31,J43)</ns0:f>
        <ns0:v/>
      </ns0:c>
      <ns0:c r="Q19" s="129">
        <ns0:f>J19</ns0:f>
        <ns0:v/>
      </ns0:c>
      <ns0:c r="R19" s="129">
        <ns0:f>SUM(Q18:Q19)/F18</ns0:f>
        <ns0:v/>
      </ns0:c>
    </ns0:row>
    <ns0:row r="20" ht="16.5" customHeight="1">
      <ns0:c r="I20" s="129" t="inlineStr">
        <ns0:is>
          <ns0:t>NG</ns0:t>
        </ns0:is>
      </ns0:c>
      <ns0:c r="J20" s="129">
        <ns0:f>SUM(J32,J44)</ns0:f>
        <ns0:v/>
      </ns0:c>
      <ns0:c r="K20" s="129" t="inlineStr">
        <ns0:is>
          <ns0:t>OK</ns0:t>
        </ns0:is>
      </ns0:c>
      <ns0:c r="L20" s="129">
        <ns0:f>SUM(L32,L44)</ns0:f>
        <ns0:v/>
      </ns0:c>
      <ns0:c r="Q20" s="129">
        <ns0:f>L20</ns0:f>
        <ns0:v/>
      </ns0:c>
      <ns0:c r="R20" s="129">
        <ns0:f>SUM(Q18:Q20)/F18</ns0:f>
        <ns0:v/>
      </ns0:c>
    </ns0:row>
    <ns0:row r="21" ht="16.5" customHeight="1">
      <ns0:c r="K21" s="129" t="inlineStr">
        <ns0:is>
          <ns0:t>NG</ns0:t>
        </ns0:is>
      </ns0:c>
      <ns0:c r="L21" s="129">
        <ns0:f>SUM(L33,L45)</ns0:f>
        <ns0:v/>
      </ns0:c>
      <ns0:c r="M21" s="129" t="inlineStr">
        <ns0:is>
          <ns0:t>OK</ns0:t>
        </ns0:is>
      </ns0:c>
      <ns0:c r="N21" s="129">
        <ns0:f>SUM(N33,N45)</ns0:f>
        <ns0:v/>
      </ns0:c>
      <ns0:c r="Q21" s="129">
        <ns0:f>N21</ns0:f>
        <ns0:v/>
      </ns0:c>
      <ns0:c r="R21" s="129">
        <ns0:f>SUM(Q18:Q21)/F18</ns0:f>
        <ns0:v/>
      </ns0:c>
    </ns0:row>
    <ns0:row r="22" ht="16.5" customHeight="1">
      <ns0:c r="M22" s="129" t="inlineStr">
        <ns0:is>
          <ns0:t>NG</ns0:t>
        </ns0:is>
      </ns0:c>
      <ns0:c r="N22" s="129">
        <ns0:f>SUM(N34,N46)</ns0:f>
        <ns0:v/>
      </ns0:c>
      <ns0:c r="O22" s="129" t="inlineStr">
        <ns0:is>
          <ns0:t>OK</ns0:t>
        </ns0:is>
      </ns0:c>
      <ns0:c r="P22" s="129">
        <ns0:f>SUM(P34,P46)</ns0:f>
        <ns0:v/>
      </ns0:c>
      <ns0:c r="Q22" s="129">
        <ns0:f>P22</ns0:f>
        <ns0:v/>
      </ns0:c>
      <ns0:c r="R22" s="129">
        <ns0:f>SUM(Q18:Q22)/F18</ns0:f>
        <ns0:v/>
      </ns0:c>
    </ns0:row>
    <ns0:row r="23" ht="16.5" customHeight="1">
      <ns0:c r="O23" s="129" t="inlineStr">
        <ns0:is>
          <ns0:t>NG</ns0:t>
        </ns0:is>
      </ns0:c>
      <ns0:c r="P23" s="129">
        <ns0:f>SUM(P35,P47)</ns0:f>
        <ns0:v/>
      </ns0:c>
      <ns0:c r="S23" s="129">
        <ns0:f>P23</ns0:f>
        <ns0:v/>
      </ns0:c>
    </ns0:row>
    <ns0:row r="24" ht="16.5" customHeight="1">
      <ns0:c r="D24" s="130" t="n">
        <ns0:v>45567</ns0:v>
      </ns0:c>
      <ns0:c r="E24" s="129" t="inlineStr">
        <ns0:is>
          <ns0:t>Touch</ns0:t>
        </ns0:is>
      </ns0:c>
      <ns0:c r="F24" s="129" t="n">
        <ns0:v>50</ns0:v>
      </ns0:c>
      <ns0:c r="G24" s="129" t="inlineStr">
        <ns0:is>
          <ns0:t>OK</ns0:t>
        </ns0:is>
      </ns0:c>
      <ns0:c r="H24" s="129" t="n">
        <ns0:v>10</ns0:v>
      </ns0:c>
      <ns0:c r="Q24" s="129">
        <ns0:f>H24</ns0:f>
        <ns0:v/>
      </ns0:c>
      <ns0:c r="R24" s="129">
        <ns0:f>Q24/F24</ns0:f>
        <ns0:v/>
      </ns0:c>
      <ns0:c r="S24" s="129">
        <ns0:f>SUM(Q24:Q28)</ns0:f>
        <ns0:v/>
      </ns0:c>
      <ns0:c r="T24" s="129">
        <ns0:f>S24/F24</ns0:f>
        <ns0:v/>
      </ns0:c>
    </ns0:row>
    <ns0:row r="25" ht="16.5" customHeight="1">
      <ns0:c r="G25" s="129" t="inlineStr">
        <ns0:is>
          <ns0:t>NG</ns0:t>
        </ns0:is>
      </ns0:c>
      <ns0:c r="H25" s="129" t="n">
        <ns0:v>40</ns0:v>
      </ns0:c>
      <ns0:c r="I25" s="129" t="inlineStr">
        <ns0:is>
          <ns0:t>OK</ns0:t>
        </ns0:is>
      </ns0:c>
      <ns0:c r="J25" s="129" t="n">
        <ns0:v>9</ns0:v>
      </ns0:c>
      <ns0:c r="Q25" s="129">
        <ns0:f>J25</ns0:f>
        <ns0:v/>
      </ns0:c>
      <ns0:c r="R25" s="129">
        <ns0:f>SUM(Q24:Q25)/F24</ns0:f>
        <ns0:v/>
      </ns0:c>
    </ns0:row>
    <ns0:row r="26" ht="16.5" customHeight="1">
      <ns0:c r="I26" s="129" t="inlineStr">
        <ns0:is>
          <ns0:t>NG</ns0:t>
        </ns0:is>
      </ns0:c>
      <ns0:c r="J26" s="129" t="n">
        <ns0:v>31</ns0:v>
      </ns0:c>
      <ns0:c r="K26" s="129" t="inlineStr">
        <ns0:is>
          <ns0:t>OK</ns0:t>
        </ns0:is>
      </ns0:c>
      <ns0:c r="L26" s="129" t="n">
        <ns0:v>14</ns0:v>
      </ns0:c>
      <ns0:c r="Q26" s="129">
        <ns0:f>L26</ns0:f>
        <ns0:v/>
      </ns0:c>
      <ns0:c r="R26" s="129">
        <ns0:f>SUM(Q24:Q26)/F24</ns0:f>
        <ns0:v/>
      </ns0:c>
    </ns0:row>
    <ns0:row r="27" ht="16.5" customHeight="1">
      <ns0:c r="K27" s="129" t="inlineStr">
        <ns0:is>
          <ns0:t>NG</ns0:t>
        </ns0:is>
      </ns0:c>
      <ns0:c r="L27" s="129" t="n">
        <ns0:v>17</ns0:v>
      </ns0:c>
      <ns0:c r="M27" s="129" t="inlineStr">
        <ns0:is>
          <ns0:t>OK</ns0:t>
        </ns0:is>
      </ns0:c>
      <ns0:c r="N27" s="129" t="n">
        <ns0:v>4</ns0:v>
      </ns0:c>
      <ns0:c r="Q27" s="129">
        <ns0:f>N27</ns0:f>
        <ns0:v/>
      </ns0:c>
      <ns0:c r="R27" s="129">
        <ns0:f>SUM(Q24:Q27)/F24</ns0:f>
        <ns0:v/>
      </ns0:c>
    </ns0:row>
    <ns0:row r="28" ht="16.5" customHeight="1">
      <ns0:c r="M28" s="129" t="inlineStr">
        <ns0:is>
          <ns0:t>NG</ns0:t>
        </ns0:is>
      </ns0:c>
      <ns0:c r="N28" s="129" t="n">
        <ns0:v>13</ns0:v>
      </ns0:c>
      <ns0:c r="O28" s="129" t="inlineStr">
        <ns0:is>
          <ns0:t>OK</ns0:t>
        </ns0:is>
      </ns0:c>
      <ns0:c r="P28" s="129" t="n">
        <ns0:v>5</ns0:v>
      </ns0:c>
      <ns0:c r="Q28" s="129">
        <ns0:f>P28</ns0:f>
        <ns0:v/>
      </ns0:c>
      <ns0:c r="R28" s="129">
        <ns0:f>SUM(Q24:Q28)/F24</ns0:f>
        <ns0:v/>
      </ns0:c>
    </ns0:row>
    <ns0:row r="29" ht="16.5" customHeight="1">
      <ns0:c r="O29" s="129" t="inlineStr">
        <ns0:is>
          <ns0:t>NG</ns0:t>
        </ns0:is>
      </ns0:c>
      <ns0:c r="P29" s="129" t="n">
        <ns0:v>8</ns0:v>
      </ns0:c>
      <ns0:c r="S29" s="129">
        <ns0:f>P29</ns0:f>
        <ns0:v/>
      </ns0:c>
    </ns0:row>
    <ns0:row r="30" ht="16.5" customHeight="1">
      <ns0:c r="E30" s="129" t="inlineStr">
        <ns0:is>
          <ns0:t>Noise</ns0:t>
        </ns0:is>
      </ns0:c>
      <ns0:c r="F30" s="129" t="n">
        <ns0:v>50</ns0:v>
      </ns0:c>
      <ns0:c r="G30" s="129" t="inlineStr">
        <ns0:is>
          <ns0:t>OK</ns0:t>
        </ns0:is>
      </ns0:c>
      <ns0:c r="H30" s="129" t="n">
        <ns0:v>26</ns0:v>
      </ns0:c>
      <ns0:c r="Q30" s="129">
        <ns0:f>H30</ns0:f>
        <ns0:v/>
      </ns0:c>
      <ns0:c r="R30" s="129">
        <ns0:f>Q30/F30</ns0:f>
        <ns0:v/>
      </ns0:c>
      <ns0:c r="S30" s="129">
        <ns0:f>SUM(Q30:Q34)</ns0:f>
        <ns0:v/>
      </ns0:c>
      <ns0:c r="T30" s="129">
        <ns0:f>S30/F30</ns0:f>
        <ns0:v/>
      </ns0:c>
    </ns0:row>
    <ns0:row r="31" ht="16.5" customHeight="1">
      <ns0:c r="G31" s="129" t="inlineStr">
        <ns0:is>
          <ns0:t>NG</ns0:t>
        </ns0:is>
      </ns0:c>
      <ns0:c r="H31" s="129" t="n">
        <ns0:v>24</ns0:v>
      </ns0:c>
      <ns0:c r="I31" s="129" t="inlineStr">
        <ns0:is>
          <ns0:t>OK</ns0:t>
        </ns0:is>
      </ns0:c>
      <ns0:c r="J31" s="129" t="n">
        <ns0:v>6</ns0:v>
      </ns0:c>
      <ns0:c r="Q31" s="129">
        <ns0:f>J31</ns0:f>
        <ns0:v/>
      </ns0:c>
      <ns0:c r="R31" s="129">
        <ns0:f>SUM(Q30:Q31)/F30</ns0:f>
        <ns0:v/>
      </ns0:c>
    </ns0:row>
    <ns0:row r="32" ht="16.5" customHeight="1">
      <ns0:c r="I32" s="129" t="inlineStr">
        <ns0:is>
          <ns0:t>NG</ns0:t>
        </ns0:is>
      </ns0:c>
      <ns0:c r="J32" s="129" t="n">
        <ns0:v>18</ns0:v>
      </ns0:c>
      <ns0:c r="K32" s="129" t="inlineStr">
        <ns0:is>
          <ns0:t>OK</ns0:t>
        </ns0:is>
      </ns0:c>
      <ns0:c r="L32" s="129" t="n">
        <ns0:v>14</ns0:v>
      </ns0:c>
      <ns0:c r="Q32" s="129">
        <ns0:f>L32</ns0:f>
        <ns0:v/>
      </ns0:c>
      <ns0:c r="R32" s="129">
        <ns0:f>SUM(Q30:Q32)/F30</ns0:f>
        <ns0:v/>
      </ns0:c>
    </ns0:row>
    <ns0:row r="33" ht="16.5" customHeight="1">
      <ns0:c r="K33" s="129" t="inlineStr">
        <ns0:is>
          <ns0:t>NG</ns0:t>
        </ns0:is>
      </ns0:c>
      <ns0:c r="L33" s="129" t="n">
        <ns0:v>4</ns0:v>
      </ns0:c>
      <ns0:c r="M33" s="129" t="inlineStr">
        <ns0:is>
          <ns0:t>OK</ns0:t>
        </ns0:is>
      </ns0:c>
      <ns0:c r="N33" s="129" t="n">
        <ns0:v>0</ns0:v>
      </ns0:c>
      <ns0:c r="Q33" s="129">
        <ns0:f>N33</ns0:f>
        <ns0:v/>
      </ns0:c>
      <ns0:c r="R33" s="129">
        <ns0:f>SUM(Q30:Q33)/F30</ns0:f>
        <ns0:v/>
      </ns0:c>
    </ns0:row>
    <ns0:row r="34" ht="16.5" customHeight="1">
      <ns0:c r="M34" s="129" t="inlineStr">
        <ns0:is>
          <ns0:t>NG</ns0:t>
        </ns0:is>
      </ns0:c>
      <ns0:c r="N34" s="129" t="n">
        <ns0:v>4</ns0:v>
      </ns0:c>
      <ns0:c r="O34" s="129" t="inlineStr">
        <ns0:is>
          <ns0:t>OK</ns0:t>
        </ns0:is>
      </ns0:c>
      <ns0:c r="P34" s="129" t="n">
        <ns0:v>1</ns0:v>
      </ns0:c>
      <ns0:c r="Q34" s="129">
        <ns0:f>P34</ns0:f>
        <ns0:v/>
      </ns0:c>
      <ns0:c r="R34" s="129">
        <ns0:f>SUM(Q30:Q34)/F30</ns0:f>
        <ns0:v/>
      </ns0:c>
    </ns0:row>
    <ns0:row r="35" ht="16.5" customHeight="1">
      <ns0:c r="O35" s="129" t="inlineStr">
        <ns0:is>
          <ns0:t>NG</ns0:t>
        </ns0:is>
      </ns0:c>
      <ns0:c r="P35" s="129" t="n">
        <ns0:v>3</ns0:v>
      </ns0:c>
      <ns0:c r="S35" s="129">
        <ns0:f>P35</ns0:f>
        <ns0:v/>
      </ns0:c>
    </ns0:row>
    <ns0:row r="36" ht="16.5" customHeight="1">
      <ns0:c r="D36" s="130" t="n">
        <ns0:v>45568</ns0:v>
      </ns0:c>
      <ns0:c r="E36" s="129" t="inlineStr">
        <ns0:is>
          <ns0:t>Touch</ns0:t>
        </ns0:is>
      </ns0:c>
      <ns0:c r="F36" s="129" t="n">
        <ns0:v>30</ns0:v>
      </ns0:c>
      <ns0:c r="G36" s="129" t="inlineStr">
        <ns0:is>
          <ns0:t>OK</ns0:t>
        </ns0:is>
      </ns0:c>
      <ns0:c r="H36" s="129" t="n">
        <ns0:v>7</ns0:v>
      </ns0:c>
      <ns0:c r="Q36" s="129">
        <ns0:f>H36</ns0:f>
        <ns0:v/>
      </ns0:c>
      <ns0:c r="R36" s="129">
        <ns0:f>Q36/F36</ns0:f>
        <ns0:v/>
      </ns0:c>
      <ns0:c r="S36" s="129">
        <ns0:f>SUM(Q36:Q40)</ns0:f>
        <ns0:v/>
      </ns0:c>
      <ns0:c r="T36" s="129">
        <ns0:f>S36/F36</ns0:f>
        <ns0:v/>
      </ns0:c>
    </ns0:row>
    <ns0:row r="37" ht="16.5" customHeight="1">
      <ns0:c r="G37" s="129" t="inlineStr">
        <ns0:is>
          <ns0:t>NG</ns0:t>
        </ns0:is>
      </ns0:c>
      <ns0:c r="H37" s="129" t="n">
        <ns0:v>23</ns0:v>
      </ns0:c>
      <ns0:c r="I37" s="129" t="inlineStr">
        <ns0:is>
          <ns0:t>OK</ns0:t>
        </ns0:is>
      </ns0:c>
      <ns0:c r="J37" s="129" t="n">
        <ns0:v>1</ns0:v>
      </ns0:c>
      <ns0:c r="Q37" s="129">
        <ns0:f>J37</ns0:f>
        <ns0:v/>
      </ns0:c>
      <ns0:c r="R37" s="129">
        <ns0:f>SUM(Q36:Q37)/F36</ns0:f>
        <ns0:v/>
      </ns0:c>
    </ns0:row>
    <ns0:row r="38" ht="16.5" customHeight="1">
      <ns0:c r="I38" s="129" t="inlineStr">
        <ns0:is>
          <ns0:t>NG</ns0:t>
        </ns0:is>
      </ns0:c>
      <ns0:c r="J38" s="129" t="n">
        <ns0:v>22</ns0:v>
      </ns0:c>
      <ns0:c r="K38" s="129" t="inlineStr">
        <ns0:is>
          <ns0:t>OK</ns0:t>
        </ns0:is>
      </ns0:c>
      <ns0:c r="L38" s="129" t="n">
        <ns0:v>16</ns0:v>
      </ns0:c>
      <ns0:c r="Q38" s="129">
        <ns0:f>L38</ns0:f>
        <ns0:v/>
      </ns0:c>
      <ns0:c r="R38" s="129">
        <ns0:f>SUM(Q36:Q38)/F36</ns0:f>
        <ns0:v/>
      </ns0:c>
    </ns0:row>
    <ns0:row r="39" ht="16.5" customHeight="1">
      <ns0:c r="K39" s="129" t="inlineStr">
        <ns0:is>
          <ns0:t>NG</ns0:t>
        </ns0:is>
      </ns0:c>
      <ns0:c r="L39" s="129" t="n">
        <ns0:v>6</ns0:v>
      </ns0:c>
      <ns0:c r="M39" s="129" t="inlineStr">
        <ns0:is>
          <ns0:t>OK</ns0:t>
        </ns0:is>
      </ns0:c>
      <ns0:c r="N39" s="129" t="n">
        <ns0:v>4</ns0:v>
      </ns0:c>
      <ns0:c r="Q39" s="129">
        <ns0:f>N39</ns0:f>
        <ns0:v/>
      </ns0:c>
      <ns0:c r="R39" s="129">
        <ns0:f>SUM(Q36:Q39)/F36</ns0:f>
        <ns0:v/>
      </ns0:c>
    </ns0:row>
    <ns0:row r="40" ht="16.5" customHeight="1">
      <ns0:c r="M40" s="129" t="inlineStr">
        <ns0:is>
          <ns0:t>NG</ns0:t>
        </ns0:is>
      </ns0:c>
      <ns0:c r="N40" s="129" t="n">
        <ns0:v>2</ns0:v>
      </ns0:c>
      <ns0:c r="O40" s="129" t="inlineStr">
        <ns0:is>
          <ns0:t>OK</ns0:t>
        </ns0:is>
      </ns0:c>
      <ns0:c r="P40" s="129" t="n">
        <ns0:v>0</ns0:v>
      </ns0:c>
      <ns0:c r="Q40" s="129">
        <ns0:f>P40</ns0:f>
        <ns0:v/>
      </ns0:c>
      <ns0:c r="R40" s="129">
        <ns0:f>SUM(Q36:Q40)/F36</ns0:f>
        <ns0:v/>
      </ns0:c>
    </ns0:row>
    <ns0:row r="41" ht="16.5" customHeight="1">
      <ns0:c r="O41" s="129" t="inlineStr">
        <ns0:is>
          <ns0:t>NG</ns0:t>
        </ns0:is>
      </ns0:c>
      <ns0:c r="P41" s="129" t="n">
        <ns0:v>2</ns0:v>
      </ns0:c>
      <ns0:c r="S41" s="129">
        <ns0:f>P41</ns0:f>
        <ns0:v/>
      </ns0:c>
    </ns0:row>
    <ns0:row r="42" ht="16.5" customHeight="1">
      <ns0:c r="E42" s="129" t="inlineStr">
        <ns0:is>
          <ns0:t>Noise</ns0:t>
        </ns0:is>
      </ns0:c>
      <ns0:c r="F42" s="129" t="n">
        <ns0:v>30</ns0:v>
      </ns0:c>
      <ns0:c r="G42" s="129" t="inlineStr">
        <ns0:is>
          <ns0:t>OK</ns0:t>
        </ns0:is>
      </ns0:c>
      <ns0:c r="H42" s="129" t="n">
        <ns0:v>11</ns0:v>
      </ns0:c>
      <ns0:c r="Q42" s="129">
        <ns0:f>H42</ns0:f>
        <ns0:v/>
      </ns0:c>
      <ns0:c r="R42" s="129">
        <ns0:f>Q42/F42</ns0:f>
        <ns0:v/>
      </ns0:c>
      <ns0:c r="S42" s="129">
        <ns0:f>SUM(Q42:Q46)</ns0:f>
        <ns0:v/>
      </ns0:c>
      <ns0:c r="T42" s="129">
        <ns0:f>S42/F42</ns0:f>
        <ns0:v/>
      </ns0:c>
    </ns0:row>
    <ns0:row r="43" ht="16.5" customHeight="1">
      <ns0:c r="G43" s="129" t="inlineStr">
        <ns0:is>
          <ns0:t>NG</ns0:t>
        </ns0:is>
      </ns0:c>
      <ns0:c r="H43" s="129" t="n">
        <ns0:v>19</ns0:v>
      </ns0:c>
      <ns0:c r="I43" s="129" t="inlineStr">
        <ns0:is>
          <ns0:t>OK</ns0:t>
        </ns0:is>
      </ns0:c>
      <ns0:c r="J43" s="129" t="n">
        <ns0:v>3</ns0:v>
      </ns0:c>
      <ns0:c r="Q43" s="129">
        <ns0:f>J43</ns0:f>
        <ns0:v/>
      </ns0:c>
      <ns0:c r="R43" s="129">
        <ns0:f>SUM(Q42:Q43)/F42</ns0:f>
        <ns0:v/>
      </ns0:c>
    </ns0:row>
    <ns0:row r="44" ht="16.5" customHeight="1">
      <ns0:c r="I44" s="129" t="inlineStr">
        <ns0:is>
          <ns0:t>NG</ns0:t>
        </ns0:is>
      </ns0:c>
      <ns0:c r="J44" s="129" t="n">
        <ns0:v>16</ns0:v>
      </ns0:c>
      <ns0:c r="K44" s="129" t="inlineStr">
        <ns0:is>
          <ns0:t>OK</ns0:t>
        </ns0:is>
      </ns0:c>
      <ns0:c r="L44" s="129" t="n">
        <ns0:v>9</ns0:v>
      </ns0:c>
      <ns0:c r="Q44" s="129">
        <ns0:f>L44</ns0:f>
        <ns0:v/>
      </ns0:c>
      <ns0:c r="R44" s="129">
        <ns0:f>SUM(Q42:Q44)/F42</ns0:f>
        <ns0:v/>
      </ns0:c>
    </ns0:row>
    <ns0:row r="45" ht="16.5" customHeight="1">
      <ns0:c r="K45" s="129" t="inlineStr">
        <ns0:is>
          <ns0:t>NG</ns0:t>
        </ns0:is>
      </ns0:c>
      <ns0:c r="L45" s="129" t="n">
        <ns0:v>7</ns0:v>
      </ns0:c>
      <ns0:c r="M45" s="129" t="inlineStr">
        <ns0:is>
          <ns0:t>OK</ns0:t>
        </ns0:is>
      </ns0:c>
      <ns0:c r="N45" s="129" t="n">
        <ns0:v>1</ns0:v>
      </ns0:c>
      <ns0:c r="Q45" s="129">
        <ns0:f>N45</ns0:f>
        <ns0:v/>
      </ns0:c>
      <ns0:c r="R45" s="129">
        <ns0:f>SUM(Q42:Q45)/F42</ns0:f>
        <ns0:v/>
      </ns0:c>
    </ns0:row>
    <ns0:row r="46" ht="16.5" customHeight="1">
      <ns0:c r="M46" s="129" t="inlineStr">
        <ns0:is>
          <ns0:t>NG</ns0:t>
        </ns0:is>
      </ns0:c>
      <ns0:c r="N46" s="129" t="n">
        <ns0:v>6</ns0:v>
      </ns0:c>
      <ns0:c r="O46" s="129" t="inlineStr">
        <ns0:is>
          <ns0:t>OK</ns0:t>
        </ns0:is>
      </ns0:c>
      <ns0:c r="P46" s="129" t="n">
        <ns0:v>2</ns0:v>
      </ns0:c>
      <ns0:c r="Q46" s="129">
        <ns0:f>P46</ns0:f>
        <ns0:v/>
      </ns0:c>
      <ns0:c r="R46" s="129">
        <ns0:f>SUM(Q42:Q46)/F42</ns0:f>
        <ns0:v/>
      </ns0:c>
    </ns0:row>
    <ns0:row r="47" ht="16.5" customHeight="1">
      <ns0:c r="O47" s="129" t="inlineStr">
        <ns0:is>
          <ns0:t>NG</ns0:t>
        </ns0:is>
      </ns0:c>
      <ns0:c r="P47" s="129" t="n">
        <ns0:v>4</ns0:v>
      </ns0:c>
      <ns0:c r="S47" s="129">
        <ns0:f>P47</ns0:f>
        <ns0:v/>
      </ns0:c>
    </ns0:row>
    <ns0:row r="48" ht="16.5" customHeight="1">
      <ns0:c r="C48" s="129" t="n">
        <ns0:v>201506</ns0:v>
      </ns0:c>
      <ns0:c r="D48" s="130" t="n">
        <ns0:v>45567</ns0:v>
      </ns0:c>
      <ns0:c r="E48" s="129" t="inlineStr">
        <ns0:is>
          <ns0:t>Touch</ns0:t>
        </ns0:is>
      </ns0:c>
      <ns0:c r="F48" s="129" t="n">
        <ns0:v>50</ns0:v>
      </ns0:c>
      <ns0:c r="G48" s="129" t="inlineStr">
        <ns0:is>
          <ns0:t>OK</ns0:t>
        </ns0:is>
      </ns0:c>
      <ns0:c r="H48" s="129" t="n">
        <ns0:v>31</ns0:v>
      </ns0:c>
      <ns0:c r="Q48" s="129">
        <ns0:f>H48</ns0:f>
        <ns0:v/>
      </ns0:c>
      <ns0:c r="R48" s="129">
        <ns0:f>Q48/F48</ns0:f>
        <ns0:v/>
      </ns0:c>
      <ns0:c r="S48" s="129">
        <ns0:f>SUM(Q48:Q52)</ns0:f>
        <ns0:v/>
      </ns0:c>
      <ns0:c r="T48" s="129">
        <ns0:f>S48/F48</ns0:f>
        <ns0:v/>
      </ns0:c>
    </ns0:row>
    <ns0:row r="49" ht="16.5" customHeight="1">
      <ns0:c r="G49" s="129" t="inlineStr">
        <ns0:is>
          <ns0:t>NG</ns0:t>
        </ns0:is>
      </ns0:c>
      <ns0:c r="H49" s="129" t="n">
        <ns0:v>19</ns0:v>
      </ns0:c>
      <ns0:c r="I49" s="129" t="inlineStr">
        <ns0:is>
          <ns0:t>OK</ns0:t>
        </ns0:is>
      </ns0:c>
      <ns0:c r="J49" s="129" t="n">
        <ns0:v>6</ns0:v>
      </ns0:c>
      <ns0:c r="Q49" s="129">
        <ns0:f>J49</ns0:f>
        <ns0:v/>
      </ns0:c>
      <ns0:c r="R49" s="129">
        <ns0:f>SUM(Q48:Q49)/F48</ns0:f>
        <ns0:v/>
      </ns0:c>
    </ns0:row>
    <ns0:row r="50" ht="16.5" customHeight="1">
      <ns0:c r="I50" s="129" t="inlineStr">
        <ns0:is>
          <ns0:t>NG</ns0:t>
        </ns0:is>
      </ns0:c>
      <ns0:c r="J50" s="129" t="n">
        <ns0:v>13</ns0:v>
      </ns0:c>
      <ns0:c r="K50" s="129" t="inlineStr">
        <ns0:is>
          <ns0:t>OK</ns0:t>
        </ns0:is>
      </ns0:c>
      <ns0:c r="L50" s="129" t="n">
        <ns0:v>1</ns0:v>
      </ns0:c>
      <ns0:c r="Q50" s="129">
        <ns0:f>L50</ns0:f>
        <ns0:v/>
      </ns0:c>
      <ns0:c r="R50" s="129">
        <ns0:f>SUM(Q48:Q50)/F48</ns0:f>
        <ns0:v/>
      </ns0:c>
    </ns0:row>
    <ns0:row r="51" ht="16.5" customHeight="1">
      <ns0:c r="K51" s="129" t="inlineStr">
        <ns0:is>
          <ns0:t>NG</ns0:t>
        </ns0:is>
      </ns0:c>
      <ns0:c r="L51" s="129" t="n">
        <ns0:v>12</ns0:v>
      </ns0:c>
      <ns0:c r="M51" s="129" t="inlineStr">
        <ns0:is>
          <ns0:t>OK</ns0:t>
        </ns0:is>
      </ns0:c>
      <ns0:c r="N51" s="129" t="n">
        <ns0:v>1</ns0:v>
      </ns0:c>
      <ns0:c r="Q51" s="129">
        <ns0:f>N51</ns0:f>
        <ns0:v/>
      </ns0:c>
      <ns0:c r="R51" s="129">
        <ns0:f>SUM(Q48:Q51)/F48</ns0:f>
        <ns0:v/>
      </ns0:c>
    </ns0:row>
    <ns0:row r="52" ht="16.5" customHeight="1">
      <ns0:c r="M52" s="129" t="inlineStr">
        <ns0:is>
          <ns0:t>NG</ns0:t>
        </ns0:is>
      </ns0:c>
      <ns0:c r="N52" s="129" t="n">
        <ns0:v>11</ns0:v>
      </ns0:c>
      <ns0:c r="O52" s="129" t="inlineStr">
        <ns0:is>
          <ns0:t>OK</ns0:t>
        </ns0:is>
      </ns0:c>
      <ns0:c r="P52" s="129" t="n">
        <ns0:v>0</ns0:v>
      </ns0:c>
      <ns0:c r="Q52" s="129">
        <ns0:f>P52</ns0:f>
        <ns0:v/>
      </ns0:c>
      <ns0:c r="R52" s="129">
        <ns0:f>SUM(Q48:Q52)/F48</ns0:f>
        <ns0:v/>
      </ns0:c>
    </ns0:row>
    <ns0:row r="53" ht="16.5" customHeight="1">
      <ns0:c r="O53" s="129" t="inlineStr">
        <ns0:is>
          <ns0:t>NG</ns0:t>
        </ns0:is>
      </ns0:c>
      <ns0:c r="P53" s="129" t="n">
        <ns0:v>11</ns0:v>
      </ns0:c>
      <ns0:c r="S53" s="129">
        <ns0:f>P53</ns0:f>
        <ns0:v/>
      </ns0:c>
    </ns0:row>
    <ns0:row r="54" ht="16.5" customHeight="1">
      <ns0:c r="E54" s="129" t="inlineStr">
        <ns0:is>
          <ns0:t>Noise</ns0:t>
        </ns0:is>
      </ns0:c>
      <ns0:c r="F54" s="129" t="n">
        <ns0:v>50</ns0:v>
      </ns0:c>
      <ns0:c r="G54" s="129" t="inlineStr">
        <ns0:is>
          <ns0:t>OK</ns0:t>
        </ns0:is>
      </ns0:c>
      <ns0:c r="H54" s="129" t="n">
        <ns0:v>22</ns0:v>
      </ns0:c>
      <ns0:c r="Q54" s="129">
        <ns0:f>H54</ns0:f>
        <ns0:v/>
      </ns0:c>
      <ns0:c r="R54" s="129">
        <ns0:f>Q54/F54</ns0:f>
        <ns0:v/>
      </ns0:c>
      <ns0:c r="S54" s="129">
        <ns0:f>SUM(Q54:Q58)</ns0:f>
        <ns0:v/>
      </ns0:c>
      <ns0:c r="T54" s="129">
        <ns0:f>S54/F54</ns0:f>
        <ns0:v/>
      </ns0:c>
    </ns0:row>
    <ns0:row r="55" ht="16.5" customHeight="1">
      <ns0:c r="G55" s="129" t="inlineStr">
        <ns0:is>
          <ns0:t>NG</ns0:t>
        </ns0:is>
      </ns0:c>
      <ns0:c r="H55" s="129" t="n">
        <ns0:v>28</ns0:v>
      </ns0:c>
      <ns0:c r="I55" s="129" t="inlineStr">
        <ns0:is>
          <ns0:t>OK</ns0:t>
        </ns0:is>
      </ns0:c>
      <ns0:c r="J55" s="129" t="n">
        <ns0:v>1</ns0:v>
      </ns0:c>
      <ns0:c r="Q55" s="129">
        <ns0:f>J55</ns0:f>
        <ns0:v/>
      </ns0:c>
      <ns0:c r="R55" s="129">
        <ns0:f>SUM(Q54:Q55)/F54</ns0:f>
        <ns0:v/>
      </ns0:c>
    </ns0:row>
    <ns0:row r="56" ht="16.5" customHeight="1">
      <ns0:c r="I56" s="129" t="inlineStr">
        <ns0:is>
          <ns0:t>NG</ns0:t>
        </ns0:is>
      </ns0:c>
      <ns0:c r="J56" s="129" t="n">
        <ns0:v>27</ns0:v>
      </ns0:c>
      <ns0:c r="K56" s="129" t="inlineStr">
        <ns0:is>
          <ns0:t>OK</ns0:t>
        </ns0:is>
      </ns0:c>
      <ns0:c r="L56" s="129" t="n">
        <ns0:v>2</ns0:v>
      </ns0:c>
      <ns0:c r="Q56" s="129">
        <ns0:f>L56</ns0:f>
        <ns0:v/>
      </ns0:c>
      <ns0:c r="R56" s="129">
        <ns0:f>SUM(Q54:Q56)/F54</ns0:f>
        <ns0:v/>
      </ns0:c>
    </ns0:row>
    <ns0:row r="57" ht="16.5" customHeight="1">
      <ns0:c r="K57" s="129" t="inlineStr">
        <ns0:is>
          <ns0:t>NG</ns0:t>
        </ns0:is>
      </ns0:c>
      <ns0:c r="L57" s="129" t="n">
        <ns0:v>25</ns0:v>
      </ns0:c>
      <ns0:c r="M57" s="129" t="inlineStr">
        <ns0:is>
          <ns0:t>OK</ns0:t>
        </ns0:is>
      </ns0:c>
      <ns0:c r="N57" s="129" t="n">
        <ns0:v>0</ns0:v>
      </ns0:c>
      <ns0:c r="Q57" s="129">
        <ns0:f>N57</ns0:f>
        <ns0:v/>
      </ns0:c>
      <ns0:c r="R57" s="129">
        <ns0:f>SUM(Q54:Q57)/F54</ns0:f>
        <ns0:v/>
      </ns0:c>
    </ns0:row>
    <ns0:row r="58" ht="16.5" customHeight="1">
      <ns0:c r="M58" s="129" t="inlineStr">
        <ns0:is>
          <ns0:t>NG</ns0:t>
        </ns0:is>
      </ns0:c>
      <ns0:c r="N58" s="129" t="n">
        <ns0:v>25</ns0:v>
      </ns0:c>
      <ns0:c r="O58" s="129" t="inlineStr">
        <ns0:is>
          <ns0:t>OK</ns0:t>
        </ns0:is>
      </ns0:c>
      <ns0:c r="P58" s="129" t="n">
        <ns0:v>1</ns0:v>
      </ns0:c>
      <ns0:c r="Q58" s="129">
        <ns0:f>P58</ns0:f>
        <ns0:v/>
      </ns0:c>
      <ns0:c r="R58" s="129">
        <ns0:f>SUM(Q54:Q58)/F54</ns0:f>
        <ns0:v/>
      </ns0:c>
    </ns0:row>
    <ns0:row r="59" ht="16.5" customHeight="1">
      <ns0:c r="O59" s="129" t="inlineStr">
        <ns0:is>
          <ns0:t>NG</ns0:t>
        </ns0:is>
      </ns0:c>
      <ns0:c r="P59" s="129" t="n">
        <ns0:v>24</ns0:v>
      </ns0:c>
      <ns0:c r="S59" s="129">
        <ns0:f>P59</ns0:f>
        <ns0:v/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AW86"/>
  <ns0:sheetViews>
    <ns0:sheetView workbookViewId="0">
      <ns0:selection activeCell="A1" sqref="A1"/>
    </ns0:sheetView>
  </ns0:sheetViews>
  <ns0:sheetFormatPr baseColWidth="8" defaultRowHeight="15"/>
  <ns0:cols>
    <ns0:col width="25.42857142857143" customWidth="1" min="2" max="2"/>
    <ns0:col width="25.42857142857143" customWidth="1" min="3" max="3"/>
    <ns0:col width="25.42857142857143" customWidth="1" min="4" max="4"/>
    <ns0:col width="25.42857142857143" customWidth="1" min="5" max="5"/>
    <ns0:col width="25.42857142857143" customWidth="1" min="6" max="6"/>
    <ns0:col width="25.42857142857143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</ns0:cols>
  <ns0:sheetData>
    <ns0:row r="1" ht="3" customHeight="1"/>
    <ns0:row r="2" ht="39.75" customHeight="1">
      <ns0:c r="B2" s="131" t="inlineStr">
        <ns0:is>
          <ns0:t>TITLE</ns0:t>
        </ns0:is>
      </ns0:c>
      <ns0:c r="C2" s="132" t="inlineStr">
        <ns0:is>
          <ns0:t xml:space="preserve">MSM-S921B REPORT TEST SPK REPAIR NG HEARING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133" t="inlineStr">
        <ns0:is>
          <ns0:t>Dept</ns0:t>
        </ns0:is>
      </ns0:c>
      <ns0:c r="O2" s="134" t="inlineStr">
        <ns0:is>
          <ns0:t>ME</ns0:t>
        </ns0:is>
      </ns0:c>
    </ns0:row>
    <ns0:row r="3" ht="39.75" customHeight="1">
      <ns0:c r="B3" s="7" t="n"/>
      <ns0:c r="C3" s="8" t="n"/>
      <ns0:c r="M3" s="9" t="n"/>
      <ns0:c r="N3" s="135" t="inlineStr">
        <ns0:is>
          <ns0:t>Date</ns0:t>
        </ns0:is>
      </ns0:c>
      <ns0:c r="O3" s="136" t="n">
        <ns0:v>45582</ns0:v>
      </ns0:c>
    </ns0:row>
    <ns0:row r="4" ht="39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35" t="inlineStr">
        <ns0:is>
          <ns0:t>Marker</ns0:t>
        </ns0:is>
      </ns0:c>
      <ns0:c r="O4" s="137" t="inlineStr">
        <ns0:is>
          <ns0:t>My</ns0:t>
        </ns0:is>
      </ns0:c>
    </ns0:row>
    <ns0:row r="5" ht="39.75" customHeight="1">
      <ns0:c r="B5" s="138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39.75" customHeight="1">
      <ns0:c r="B6" s="139" t="n"/>
      <ns0:c r="C6" s="140" t="inlineStr">
        <ns0:is>
          <ns0:t>Check function 921 ok or not?</ns0:t>
        </ns0:is>
      </ns0:c>
      <ns0:c r="D6" s="140" t="n"/>
      <ns0:c r="E6" s="140" t="n"/>
      <ns0:c r="F6" s="141" t="n"/>
      <ns0:c r="G6" s="141" t="n"/>
      <ns0:c r="H6" s="141" t="n"/>
      <ns0:c r="I6" s="141" t="n"/>
      <ns0:c r="J6" s="141" t="n"/>
      <ns0:c r="K6" s="141" t="n"/>
      <ns0:c r="L6" s="141" t="n"/>
      <ns0:c r="M6" s="141" t="n"/>
      <ns0:c r="N6" s="141" t="n"/>
      <ns0:c r="O6" s="142" t="n"/>
    </ns0:row>
    <ns0:row r="7" ht="39.75" customHeight="1">
      <ns0:c r="B7" s="138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8" t="n"/>
      <ns0:c r="T7" s="28" t="n"/>
      <ns0:c r="U7" s="28" t="n"/>
      <ns0:c r="V7" s="28" t="n"/>
      <ns0:c r="W7" s="28" t="n"/>
      <ns0:c r="X7" s="28" t="n"/>
      <ns0:c r="Y7" s="28" t="n"/>
      <ns0:c r="Z7" s="28" t="n"/>
      <ns0:c r="AA7" s="28" t="n"/>
      <ns0:c r="AB7" s="28" t="n"/>
      <ns0:c r="AC7" s="28" t="n"/>
      <ns0:c r="AD7" s="28" t="n"/>
      <ns0:c r="AE7" s="28" t="n"/>
      <ns0:c r="AF7" s="28" t="n"/>
      <ns0:c r="AG7" s="28" t="n"/>
      <ns0:c r="AH7" s="28" t="n"/>
      <ns0:c r="AI7" s="28" t="n"/>
      <ns0:c r="AJ7" s="28" t="n"/>
      <ns0:c r="AK7" s="28" t="n"/>
      <ns0:c r="AL7" s="28" t="n"/>
      <ns0:c r="AM7" s="28" t="n"/>
      <ns0:c r="AN7" s="28" t="n"/>
      <ns0:c r="AO7" s="28" t="n"/>
      <ns0:c r="AP7" s="28" t="n"/>
      <ns0:c r="AQ7" s="28" t="n"/>
      <ns0:c r="AR7" s="28" t="n"/>
      <ns0:c r="AS7" s="28" t="n"/>
      <ns0:c r="AT7" s="28" t="n"/>
      <ns0:c r="AU7" s="28" t="n"/>
      <ns0:c r="AV7" s="28" t="n"/>
      <ns0:c r="AW7" s="28" t="n"/>
    </ns0:row>
    <ns0:row r="8" ht="39.75" customHeight="1">
      <ns0:c r="B8" s="143" t="n"/>
      <ns0:c r="C8" s="144" t="inlineStr">
        <ns0:is>
          <ns0:t>Spk line repair NG hearing, separate lot move to module line check function</ns0:t>
        </ns0:is>
      </ns0:c>
      <ns0:c r="D8" s="144" t="n"/>
      <ns0:c r="E8" s="144" t="n"/>
      <ns0:c r="F8" s="144" t="n"/>
      <ns0:c r="G8" s="144" t="n"/>
      <ns0:c r="H8" s="145" t="n"/>
      <ns0:c r="I8" s="145" t="n"/>
      <ns0:c r="J8" s="145" t="n"/>
      <ns0:c r="K8" s="145" t="n"/>
      <ns0:c r="L8" s="145" t="n"/>
      <ns0:c r="M8" s="145" t="n"/>
      <ns0:c r="N8" s="145" t="n"/>
      <ns0:c r="O8" s="146" t="n"/>
      <ns0:c r="S8" s="28" t="n"/>
      <ns0:c r="T8" s="28" t="n"/>
      <ns0:c r="U8" s="28" t="n"/>
      <ns0:c r="V8" s="28" t="n"/>
      <ns0:c r="W8" s="28" t="n"/>
      <ns0:c r="X8" s="28" t="n"/>
      <ns0:c r="Y8" s="28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</ns0:row>
    <ns0:row r="9" ht="39.75" customHeight="1">
      <ns0:c r="B9" s="143" t="n"/>
      <ns0:c r="C9" s="147" t="inlineStr">
        <ns0:is>
          <ns0:t>1. Lot SPK repair NG hearing + voltage normal of C2 &amp; E2</ns0:t>
        </ns0:is>
      </ns0:c>
      <ns0:c r="D9" s="144" t="n"/>
      <ns0:c r="E9" s="144" t="n"/>
      <ns0:c r="F9" s="144" t="n"/>
      <ns0:c r="G9" s="144" t="n"/>
      <ns0:c r="H9" s="145" t="n"/>
      <ns0:c r="I9" s="145" t="n"/>
      <ns0:c r="J9" s="145" t="n"/>
      <ns0:c r="K9" s="145" t="n"/>
      <ns0:c r="L9" s="145" t="n"/>
      <ns0:c r="M9" s="145" t="n"/>
      <ns0:c r="N9" s="145" t="n"/>
      <ns0:c r="O9" s="146" t="n"/>
      <ns0:c r="S9" s="28" t="n"/>
      <ns0:c r="T9" s="28" t="n"/>
      <ns0:c r="U9" s="28" t="n"/>
      <ns0:c r="V9" s="28" t="n"/>
      <ns0:c r="W9" s="28" t="n"/>
      <ns0:c r="X9" s="28" t="n"/>
      <ns0:c r="Y9" s="28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</ns0:row>
    <ns0:row r="10" ht="39.75" customHeight="1">
      <ns0:c r="B10" s="143" t="n"/>
      <ns0:c r="C10" s="147" t="inlineStr">
        <ns0:is>
          <ns0:t>2. Lot SPK repair NG hearing + voltage increase 10% of C2 &amp; E2</ns0:t>
        </ns0:is>
      </ns0:c>
      <ns0:c r="D10" s="144" t="n"/>
      <ns0:c r="E10" s="144" t="n"/>
      <ns0:c r="F10" s="144" t="n"/>
      <ns0:c r="G10" s="144" t="n"/>
      <ns0:c r="H10" s="145" t="n"/>
      <ns0:c r="I10" s="145" t="n"/>
      <ns0:c r="J10" s="145" t="n"/>
      <ns0:c r="K10" s="145" t="n"/>
      <ns0:c r="L10" s="145" t="n"/>
      <ns0:c r="M10" s="145" t="n"/>
      <ns0:c r="N10" s="145" t="n"/>
      <ns0:c r="O10" s="146" t="n"/>
      <ns0:c r="S10" s="28" t="n"/>
      <ns0:c r="T10" s="28" t="n"/>
      <ns0:c r="U10" s="28" t="n"/>
      <ns0:c r="V10" s="28" t="n"/>
      <ns0:c r="W10" s="28" t="n"/>
      <ns0:c r="X10" s="28" t="n"/>
      <ns0:c r="Y10" s="28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</ns0:row>
    <ns0:row r="11" ht="39.75" customHeight="1">
      <ns0:c r="B11" s="143" t="n"/>
      <ns0:c r="C11" s="147" t="inlineStr">
        <ns0:is>
          <ns0:t>Compare result of lot test with normal line.</ns0:t>
        </ns0:is>
      </ns0:c>
      <ns0:c r="D11" s="144" t="n"/>
      <ns0:c r="E11" s="144" t="n"/>
      <ns0:c r="F11" s="144" t="n"/>
      <ns0:c r="G11" s="144" t="n"/>
      <ns0:c r="H11" s="145" t="n"/>
      <ns0:c r="I11" s="145" t="n"/>
      <ns0:c r="J11" s="145" t="n"/>
      <ns0:c r="K11" s="145" t="n"/>
      <ns0:c r="L11" s="145" t="n"/>
      <ns0:c r="M11" s="145" t="n"/>
      <ns0:c r="N11" s="145" t="n"/>
      <ns0:c r="O11" s="146" t="n"/>
      <ns0:c r="S11" s="28" t="n"/>
      <ns0:c r="T11" s="28" t="n"/>
      <ns0:c r="U11" s="28" t="n"/>
      <ns0:c r="V11" s="28" t="n"/>
      <ns0:c r="W11" s="28" t="n"/>
      <ns0:c r="X11" s="28" t="n"/>
      <ns0:c r="Y11" s="28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</ns0:row>
    <ns0:row r="12" ht="39.75" customHeight="1">
      <ns0:c r="B12" s="138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9" t="n"/>
      <ns0:c r="P12" s="28" t="n"/>
      <ns0:c r="Q12" s="28" t="n"/>
      <ns0:c r="R12" s="28" t="n"/>
      <ns0:c r="S12" s="28" t="n"/>
      <ns0:c r="T12" s="28" t="n"/>
      <ns0:c r="U12" s="28" t="n"/>
      <ns0:c r="V12" s="28" t="n"/>
      <ns0:c r="W12" s="28" t="n"/>
      <ns0:c r="X12" s="28" t="n"/>
      <ns0:c r="Y12" s="28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</ns0:row>
    <ns0:row r="13" ht="39.75" customHeight="1">
      <ns0:c r="B13" s="148" t="n"/>
      <ns0:c r="C13" s="149" t="inlineStr">
        <ns0:is>
          <ns0:t>1. RESULT CHECK FUNCTION S921</ns0:t>
        </ns0:is>
      </ns0:c>
      <ns0:c r="D13" s="150" t="n"/>
      <ns0:c r="E13" s="150" t="n"/>
      <ns0:c r="F13" s="151" t="n"/>
      <ns0:c r="G13" s="151" t="n"/>
      <ns0:c r="H13" s="152" t="n"/>
      <ns0:c r="I13" s="153" t="n"/>
      <ns0:c r="J13" s="153" t="n"/>
      <ns0:c r="K13" s="153" t="n"/>
      <ns0:c r="L13" s="153" t="n"/>
      <ns0:c r="M13" s="153" t="n"/>
      <ns0:c r="N13" s="152" t="n"/>
      <ns0:c r="O13" s="154" t="n"/>
      <ns0:c r="P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</ns0:row>
    <ns0:row r="14" ht="39.75" customHeight="1">
      <ns0:c r="B14" s="148" t="n"/>
      <ns0:c r="C14" s="155" t="inlineStr">
        <ns0:is>
          <ns0:t>Date</ns0:t>
        </ns0:is>
      </ns0:c>
      <ns0:c r="D14" s="155" t="inlineStr">
        <ns0:is>
          <ns0:t>Line</ns0:t>
        </ns0:is>
      </ns0:c>
      <ns0:c r="E14" s="155" t="inlineStr">
        <ns0:is>
          <ns0:t>Item</ns0:t>
        </ns0:is>
      </ns0:c>
      <ns0:c r="F14" s="45" t="n"/>
      <ns0:c r="G14" s="155" t="inlineStr">
        <ns0:is>
          <ns0:t>Input</ns0:t>
        </ns0:is>
      </ns0:c>
      <ns0:c r="H14" s="155" t="inlineStr">
        <ns0:is>
          <ns0:t>OK</ns0:t>
        </ns0:is>
      </ns0:c>
      <ns0:c r="I14" s="156" t="inlineStr">
        <ns0:is>
          <ns0:t>NG</ns0:t>
        </ns0:is>
      </ns0:c>
      <ns0:c r="J14" s="18" t="n"/>
      <ns0:c r="K14" s="18" t="n"/>
      <ns0:c r="L14" s="60" t="n"/>
      <ns0:c r="M14" s="155" t="inlineStr">
        <ns0:is>
          <ns0:t>Total NG</ns0:t>
        </ns0:is>
      </ns0:c>
      <ns0:c r="N14" s="155" t="inlineStr">
        <ns0:is>
          <ns0:t>NG rate</ns0:t>
        </ns0:is>
      </ns0:c>
      <ns0:c r="O14" s="154" t="n"/>
      <ns0:c r="P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</ns0:row>
    <ns0:row r="15" ht="39.75" customHeight="1">
      <ns0:c r="B15" s="148" t="n"/>
      <ns0:c r="C15" s="49" t="n"/>
      <ns0:c r="D15" s="49" t="n"/>
      <ns0:c r="E15" s="13" t="n"/>
      <ns0:c r="F15" s="15" t="n"/>
      <ns0:c r="G15" s="49" t="n"/>
      <ns0:c r="H15" s="49" t="n"/>
      <ns0:c r="I15" s="155" t="inlineStr">
        <ns0:is>
          <ns0:t>Bako</ns0:t>
        </ns0:is>
      </ns0:c>
      <ns0:c r="J15" s="155" t="inlineStr">
        <ns0:is>
          <ns0:t>Hearing 1</ns0:t>
        </ns0:is>
      </ns0:c>
      <ns0:c r="K15" s="155" t="inlineStr">
        <ns0:is>
          <ns0:t>Hearing 2</ns0:t>
        </ns0:is>
      </ns0:c>
      <ns0:c r="L15" s="155" t="inlineStr">
        <ns0:is>
          <ns0:t>Air leak</ns0:t>
        </ns0:is>
      </ns0:c>
      <ns0:c r="M15" s="49" t="n"/>
      <ns0:c r="N15" s="49" t="n"/>
      <ns0:c r="O15" s="154" t="n"/>
      <ns0:c r="P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</ns0:row>
    <ns0:row r="16" ht="39.75" customHeight="1">
      <ns0:c r="B16" s="148" t="n"/>
      <ns0:c r="C16" s="157" t="n">
        <ns0:v>45572</ns0:v>
      </ns0:c>
      <ns0:c r="D16" s="158" t="inlineStr">
        <ns0:is>
          <ns0:t>S921</ns0:t>
        </ns0:is>
      </ns0:c>
      <ns0:c r="E16" s="159" t="inlineStr">
        <ns0:is>
          <ns0:t>SPK repair NG hearing + voltage normal E2</ns0:t>
        </ns0:is>
      </ns0:c>
      <ns0:c r="F16" s="9" t="n"/>
      <ns0:c r="G16" s="160" t="n">
        <ns0:v>36</ns0:v>
      </ns0:c>
      <ns0:c r="H16" s="160" t="n">
        <ns0:v>36</ns0:v>
      </ns0:c>
      <ns0:c r="I16" s="160" t="n">
        <ns0:v>0</ns0:v>
      </ns0:c>
      <ns0:c r="J16" s="160" t="n">
        <ns0:v>0</ns0:v>
      </ns0:c>
      <ns0:c r="K16" s="160" t="n">
        <ns0:v>0</ns0:v>
      </ns0:c>
      <ns0:c r="L16" s="160" t="n">
        <ns0:v>0</ns0:v>
      </ns0:c>
      <ns0:c r="M16" s="160" t="n">
        <ns0:v>0</ns0:v>
      </ns0:c>
      <ns0:c r="N16" s="161" t="n">
        <ns0:v>0</ns0:v>
      </ns0:c>
      <ns0:c r="O16" s="154" t="n"/>
      <ns0:c r="P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</ns0:row>
    <ns0:row r="17" ht="39.75" customHeight="1">
      <ns0:c r="B17" s="148" t="n"/>
      <ns0:c r="C17" s="48" t="n"/>
      <ns0:c r="D17" s="48" t="n"/>
      <ns0:c r="E17" s="13" t="n"/>
      <ns0:c r="F17" s="15" t="n"/>
      <ns0:c r="G17" s="49" t="n"/>
      <ns0:c r="H17" s="49" t="n"/>
      <ns0:c r="I17" s="162" t="n">
        <ns0:v>0</ns0:v>
      </ns0:c>
      <ns0:c r="J17" s="162" t="n">
        <ns0:v>0</ns0:v>
      </ns0:c>
      <ns0:c r="K17" s="162" t="n">
        <ns0:v>0</ns0:v>
      </ns0:c>
      <ns0:c r="L17" s="162" t="n">
        <ns0:v>0</ns0:v>
      </ns0:c>
      <ns0:c r="M17" s="49" t="n"/>
      <ns0:c r="N17" s="49" t="n"/>
      <ns0:c r="O17" s="154" t="n"/>
      <ns0:c r="P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</ns0:row>
    <ns0:row r="18" ht="39.75" customHeight="1">
      <ns0:c r="B18" s="148" t="n"/>
      <ns0:c r="C18" s="48" t="n"/>
      <ns0:c r="D18" s="48" t="n"/>
      <ns0:c r="E18" s="163" t="inlineStr">
        <ns0:is>
          <ns0:t xml:space="preserve">Normal </ns0:t>
        </ns0:is>
      </ns0:c>
      <ns0:c r="F18" s="9" t="n"/>
      <ns0:c r="G18" s="158" t="n">
        <ns0:v>50</ns0:v>
      </ns0:c>
      <ns0:c r="H18" s="158" t="n">
        <ns0:v>50</ns0:v>
      </ns0:c>
      <ns0:c r="I18" s="158" t="n">
        <ns0:v>0</ns0:v>
      </ns0:c>
      <ns0:c r="J18" s="158" t="n">
        <ns0:v>0</ns0:v>
      </ns0:c>
      <ns0:c r="K18" s="158" t="n">
        <ns0:v>0</ns0:v>
      </ns0:c>
      <ns0:c r="L18" s="158" t="n">
        <ns0:v>0</ns0:v>
      </ns0:c>
      <ns0:c r="M18" s="158" t="n">
        <ns0:v>0</ns0:v>
      </ns0:c>
      <ns0:c r="N18" s="164" t="n">
        <ns0:v>0</ns0:v>
      </ns0:c>
      <ns0:c r="O18" s="154" t="n"/>
      <ns0:c r="P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</ns0:row>
    <ns0:row r="19" ht="39.75" customHeight="1">
      <ns0:c r="B19" s="148" t="n"/>
      <ns0:c r="C19" s="49" t="n"/>
      <ns0:c r="D19" s="48" t="n"/>
      <ns0:c r="E19" s="13" t="n"/>
      <ns0:c r="F19" s="15" t="n"/>
      <ns0:c r="G19" s="49" t="n"/>
      <ns0:c r="H19" s="49" t="n"/>
      <ns0:c r="I19" s="165" t="n">
        <ns0:v>0</ns0:v>
      </ns0:c>
      <ns0:c r="J19" s="165" t="n">
        <ns0:v>0</ns0:v>
      </ns0:c>
      <ns0:c r="K19" s="165" t="n">
        <ns0:v>0</ns0:v>
      </ns0:c>
      <ns0:c r="L19" s="165" t="n">
        <ns0:v>0</ns0:v>
      </ns0:c>
      <ns0:c r="M19" s="49" t="n"/>
      <ns0:c r="N19" s="49" t="n"/>
      <ns0:c r="O19" s="154" t="n"/>
      <ns0:c r="P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</ns0:row>
    <ns0:row r="20" ht="39.75" customHeight="1">
      <ns0:c r="B20" s="148" t="n"/>
      <ns0:c r="C20" s="157" t="n">
        <ns0:v>45579</ns0:v>
      </ns0:c>
      <ns0:c r="D20" s="48" t="n"/>
      <ns0:c r="E20" s="166" t="inlineStr">
        <ns0:is>
          <ns0:t>SPK repair NG hearing + voltage normal C2</ns0:t>
        </ns0:is>
      </ns0:c>
      <ns0:c r="F20" s="45" t="n"/>
      <ns0:c r="G20" s="160" t="n">
        <ns0:v>34</ns0:v>
      </ns0:c>
      <ns0:c r="H20" s="160" t="n">
        <ns0:v>30</ns0:v>
      </ns0:c>
      <ns0:c r="I20" s="160" t="n">
        <ns0:v>3</ns0:v>
      </ns0:c>
      <ns0:c r="J20" s="160" t="n">
        <ns0:v>1</ns0:v>
      </ns0:c>
      <ns0:c r="K20" s="160" t="n">
        <ns0:v>0</ns0:v>
      </ns0:c>
      <ns0:c r="L20" s="160" t="n">
        <ns0:v>0</ns0:v>
      </ns0:c>
      <ns0:c r="M20" s="160" t="n">
        <ns0:v>4</ns0:v>
      </ns0:c>
      <ns0:c r="N20" s="161" t="n">
        <ns0:v>0.1176470588235294</ns0:v>
      </ns0:c>
      <ns0:c r="O20" s="154" t="n"/>
      <ns0:c r="P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</ns0:row>
    <ns0:row r="21" ht="39.75" customHeight="1">
      <ns0:c r="B21" s="148" t="n"/>
      <ns0:c r="C21" s="48" t="n"/>
      <ns0:c r="D21" s="48" t="n"/>
      <ns0:c r="E21" s="8" t="n"/>
      <ns0:c r="F21" s="9" t="n"/>
      <ns0:c r="G21" s="49" t="n"/>
      <ns0:c r="H21" s="49" t="n"/>
      <ns0:c r="I21" s="162" t="n">
        <ns0:v>0.08823529411764706</ns0:v>
      </ns0:c>
      <ns0:c r="J21" s="162" t="n">
        <ns0:v>0.02941176470588235</ns0:v>
      </ns0:c>
      <ns0:c r="K21" s="162" t="n">
        <ns0:v>0</ns0:v>
      </ns0:c>
      <ns0:c r="L21" s="162" t="n">
        <ns0:v>0</ns0:v>
      </ns0:c>
      <ns0:c r="M21" s="49" t="n"/>
      <ns0:c r="N21" s="49" t="n"/>
      <ns0:c r="O21" s="154" t="n"/>
      <ns0:c r="P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</ns0:row>
    <ns0:row r="22" ht="39.75" customHeight="1">
      <ns0:c r="B22" s="148" t="n"/>
      <ns0:c r="C22" s="48" t="n"/>
      <ns0:c r="D22" s="48" t="n"/>
      <ns0:c r="E22" s="167" t="inlineStr">
        <ns0:is>
          <ns0:t>SPK repair NG hearing + voltage increase 10% C2</ns0:t>
        </ns0:is>
      </ns0:c>
      <ns0:c r="F22" s="45" t="n"/>
      <ns0:c r="G22" s="168" t="n">
        <ns0:v>117</ns0:v>
      </ns0:c>
      <ns0:c r="H22" s="168" t="n">
        <ns0:v>116</ns0:v>
      </ns0:c>
      <ns0:c r="I22" s="168" t="n">
        <ns0:v>1</ns0:v>
      </ns0:c>
      <ns0:c r="J22" s="168" t="n">
        <ns0:v>0</ns0:v>
      </ns0:c>
      <ns0:c r="K22" s="168" t="n">
        <ns0:v>0</ns0:v>
      </ns0:c>
      <ns0:c r="L22" s="168" t="n">
        <ns0:v>0</ns0:v>
      </ns0:c>
      <ns0:c r="M22" s="168" t="n">
        <ns0:v>1</ns0:v>
      </ns0:c>
      <ns0:c r="N22" s="169" t="n">
        <ns0:v>0.008547008547008548</ns0:v>
      </ns0:c>
      <ns0:c r="O22" s="154" t="n"/>
      <ns0:c r="P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</ns0:row>
    <ns0:row r="23" ht="39.75" customHeight="1">
      <ns0:c r="B23" s="148" t="n"/>
      <ns0:c r="C23" s="48" t="n"/>
      <ns0:c r="D23" s="48" t="n"/>
      <ns0:c r="E23" s="8" t="n"/>
      <ns0:c r="F23" s="9" t="n"/>
      <ns0:c r="G23" s="49" t="n"/>
      <ns0:c r="H23" s="49" t="n"/>
      <ns0:c r="I23" s="170" t="n">
        <ns0:v>0.008547008547008548</ns0:v>
      </ns0:c>
      <ns0:c r="J23" s="170" t="n">
        <ns0:v>0</ns0:v>
      </ns0:c>
      <ns0:c r="K23" s="170" t="n">
        <ns0:v>0</ns0:v>
      </ns0:c>
      <ns0:c r="L23" s="170" t="n">
        <ns0:v>0</ns0:v>
      </ns0:c>
      <ns0:c r="M23" s="49" t="n"/>
      <ns0:c r="N23" s="49" t="n"/>
      <ns0:c r="O23" s="154" t="n"/>
      <ns0:c r="P23" s="28" t="n"/>
      <ns0:c r="Z23" s="28" t="n"/>
      <ns0:c r="AA23" s="28" t="n"/>
      <ns0:c r="AB23" s="28" t="n"/>
      <ns0:c r="AC23" s="28" t="n"/>
      <ns0:c r="AD23" s="28" t="n"/>
      <ns0:c r="AE23" s="28" t="n"/>
      <ns0:c r="AF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</ns0:row>
    <ns0:row r="24" ht="39.75" customHeight="1">
      <ns0:c r="B24" s="148" t="n"/>
      <ns0:c r="C24" s="48" t="n"/>
      <ns0:c r="D24" s="48" t="n"/>
      <ns0:c r="E24" s="171" t="inlineStr">
        <ns0:is>
          <ns0:t xml:space="preserve">Normal </ns0:t>
        </ns0:is>
      </ns0:c>
      <ns0:c r="F24" s="45" t="n"/>
      <ns0:c r="G24" s="158" t="n">
        <ns0:v>217</ns0:v>
      </ns0:c>
      <ns0:c r="H24" s="158" t="n">
        <ns0:v>215</ns0:v>
      </ns0:c>
      <ns0:c r="I24" s="158" t="n">
        <ns0:v>1</ns0:v>
      </ns0:c>
      <ns0:c r="J24" s="158" t="n">
        <ns0:v>1</ns0:v>
      </ns0:c>
      <ns0:c r="K24" s="158" t="n">
        <ns0:v>0</ns0:v>
      </ns0:c>
      <ns0:c r="L24" s="158" t="n">
        <ns0:v>0</ns0:v>
      </ns0:c>
      <ns0:c r="M24" s="158" t="n">
        <ns0:v>2</ns0:v>
      </ns0:c>
      <ns0:c r="N24" s="164" t="n">
        <ns0:v>0.009216589861751152</ns0:v>
      </ns0:c>
      <ns0:c r="O24" s="154" t="n"/>
      <ns0:c r="P24" s="28" t="n"/>
      <ns0:c r="Z24" s="28" t="n"/>
      <ns0:c r="AA24" s="28" t="n"/>
      <ns0:c r="AB24" s="28" t="n"/>
      <ns0:c r="AC24" s="28" t="n"/>
      <ns0:c r="AD24" s="28" t="n"/>
      <ns0:c r="AE24" s="28" t="n"/>
      <ns0:c r="AF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</ns0:row>
    <ns0:row r="25" ht="39.75" customHeight="1">
      <ns0:c r="B25" s="148" t="n"/>
      <ns0:c r="C25" s="49" t="n"/>
      <ns0:c r="D25" s="48" t="n"/>
      <ns0:c r="E25" s="13" t="n"/>
      <ns0:c r="F25" s="15" t="n"/>
      <ns0:c r="G25" s="49" t="n"/>
      <ns0:c r="H25" s="49" t="n"/>
      <ns0:c r="I25" s="165" t="n">
        <ns0:v>0.004608294930875576</ns0:v>
      </ns0:c>
      <ns0:c r="J25" s="165" t="n">
        <ns0:v>0.004608294930875576</ns0:v>
      </ns0:c>
      <ns0:c r="K25" s="165" t="n">
        <ns0:v>0</ns0:v>
      </ns0:c>
      <ns0:c r="L25" s="165" t="n">
        <ns0:v>0</ns0:v>
      </ns0:c>
      <ns0:c r="M25" s="49" t="n"/>
      <ns0:c r="N25" s="49" t="n"/>
      <ns0:c r="O25" s="154" t="n"/>
      <ns0:c r="P25" s="28" t="n"/>
      <ns0:c r="Z25" s="28" t="n"/>
      <ns0:c r="AA25" s="28" t="n"/>
      <ns0:c r="AB25" s="28" t="n"/>
      <ns0:c r="AC25" s="28" t="n"/>
      <ns0:c r="AD25" s="28" t="n"/>
      <ns0:c r="AE25" s="28" t="n"/>
      <ns0:c r="AF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</ns0:row>
    <ns0:row r="26" ht="39.75" customHeight="1">
      <ns0:c r="B26" s="148" t="n"/>
      <ns0:c r="C26" s="157" t="n">
        <ns0:v>45580</ns0:v>
      </ns0:c>
      <ns0:c r="D26" s="48" t="n"/>
      <ns0:c r="E26" s="166" t="inlineStr">
        <ns0:is>
          <ns0:t>SPK repair NG hearing + voltage normal E2</ns0:t>
        </ns0:is>
      </ns0:c>
      <ns0:c r="F26" s="45" t="n"/>
      <ns0:c r="G26" s="160" t="n">
        <ns0:v>21</ns0:v>
      </ns0:c>
      <ns0:c r="H26" s="160" t="n">
        <ns0:v>21</ns0:v>
      </ns0:c>
      <ns0:c r="I26" s="160" t="n">
        <ns0:v>0</ns0:v>
      </ns0:c>
      <ns0:c r="J26" s="160" t="n">
        <ns0:v>0</ns0:v>
      </ns0:c>
      <ns0:c r="K26" s="160" t="n">
        <ns0:v>0</ns0:v>
      </ns0:c>
      <ns0:c r="L26" s="160" t="n">
        <ns0:v>0</ns0:v>
      </ns0:c>
      <ns0:c r="M26" s="160" t="n">
        <ns0:v>0</ns0:v>
      </ns0:c>
      <ns0:c r="N26" s="161" t="n">
        <ns0:v>0</ns0:v>
      </ns0:c>
      <ns0:c r="O26" s="154" t="n"/>
      <ns0:c r="P26" s="28" t="n"/>
      <ns0:c r="Z26" s="28" t="n"/>
      <ns0:c r="AA26" s="28" t="n"/>
      <ns0:c r="AB26" s="28" t="n"/>
      <ns0:c r="AC26" s="28" t="n"/>
      <ns0:c r="AD26" s="28" t="n"/>
      <ns0:c r="AE26" s="28" t="n"/>
      <ns0:c r="AF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</ns0:row>
    <ns0:row r="27" ht="39.75" customHeight="1">
      <ns0:c r="B27" s="148" t="n"/>
      <ns0:c r="C27" s="48" t="n"/>
      <ns0:c r="D27" s="48" t="n"/>
      <ns0:c r="E27" s="8" t="n"/>
      <ns0:c r="F27" s="9" t="n"/>
      <ns0:c r="G27" s="49" t="n"/>
      <ns0:c r="H27" s="49" t="n"/>
      <ns0:c r="I27" s="162" t="n">
        <ns0:v>0</ns0:v>
      </ns0:c>
      <ns0:c r="J27" s="162" t="n">
        <ns0:v>0</ns0:v>
      </ns0:c>
      <ns0:c r="K27" s="162" t="n">
        <ns0:v>0</ns0:v>
      </ns0:c>
      <ns0:c r="L27" s="162" t="n">
        <ns0:v>0</ns0:v>
      </ns0:c>
      <ns0:c r="M27" s="49" t="n"/>
      <ns0:c r="N27" s="49" t="n"/>
      <ns0:c r="O27" s="154" t="n"/>
      <ns0:c r="P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</ns0:row>
    <ns0:row r="28" ht="39.75" customHeight="1">
      <ns0:c r="B28" s="148" t="n"/>
      <ns0:c r="C28" s="48" t="n"/>
      <ns0:c r="D28" s="48" t="n"/>
      <ns0:c r="E28" s="167" t="inlineStr">
        <ns0:is>
          <ns0:t>SPK repair NG hearing + voltage increase 10% E2</ns0:t>
        </ns0:is>
      </ns0:c>
      <ns0:c r="F28" s="45" t="n"/>
      <ns0:c r="G28" s="168" t="n">
        <ns0:v>153</ns0:v>
      </ns0:c>
      <ns0:c r="H28" s="168" t="n">
        <ns0:v>146</ns0:v>
      </ns0:c>
      <ns0:c r="I28" s="168" t="n">
        <ns0:v>2</ns0:v>
      </ns0:c>
      <ns0:c r="J28" s="168" t="n">
        <ns0:v>2</ns0:v>
      </ns0:c>
      <ns0:c r="K28" s="168" t="n">
        <ns0:v>3</ns0:v>
      </ns0:c>
      <ns0:c r="L28" s="168" t="n">
        <ns0:v>0</ns0:v>
      </ns0:c>
      <ns0:c r="M28" s="168" t="n">
        <ns0:v>7</ns0:v>
      </ns0:c>
      <ns0:c r="N28" s="169" t="n">
        <ns0:v>0.0457516339869281</ns0:v>
      </ns0:c>
      <ns0:c r="O28" s="154" t="n"/>
      <ns0:c r="P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</ns0:row>
    <ns0:row r="29" ht="39.75" customHeight="1">
      <ns0:c r="B29" s="148" t="n"/>
      <ns0:c r="C29" s="48" t="n"/>
      <ns0:c r="D29" s="48" t="n"/>
      <ns0:c r="E29" s="8" t="n"/>
      <ns0:c r="F29" s="9" t="n"/>
      <ns0:c r="G29" s="49" t="n"/>
      <ns0:c r="H29" s="49" t="n"/>
      <ns0:c r="I29" s="170" t="n">
        <ns0:v>0.0130718954248366</ns0:v>
      </ns0:c>
      <ns0:c r="J29" s="170" t="n">
        <ns0:v>0.0130718954248366</ns0:v>
      </ns0:c>
      <ns0:c r="K29" s="170" t="n">
        <ns0:v>0.0196078431372549</ns0:v>
      </ns0:c>
      <ns0:c r="L29" s="170" t="n">
        <ns0:v>0</ns0:v>
      </ns0:c>
      <ns0:c r="M29" s="49" t="n"/>
      <ns0:c r="N29" s="49" t="n"/>
      <ns0:c r="O29" s="154" t="n"/>
      <ns0:c r="P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</ns0:row>
    <ns0:row r="30" ht="39.75" customHeight="1">
      <ns0:c r="B30" s="148" t="n"/>
      <ns0:c r="C30" s="48" t="n"/>
      <ns0:c r="D30" s="48" t="n"/>
      <ns0:c r="E30" s="171" t="inlineStr">
        <ns0:is>
          <ns0:t xml:space="preserve">Normal </ns0:t>
        </ns0:is>
      </ns0:c>
      <ns0:c r="F30" s="45" t="n"/>
      <ns0:c r="G30" s="158" t="n">
        <ns0:v>205</ns0:v>
      </ns0:c>
      <ns0:c r="H30" s="158" t="n">
        <ns0:v>203</ns0:v>
      </ns0:c>
      <ns0:c r="I30" s="158" t="n">
        <ns0:v>1</ns0:v>
      </ns0:c>
      <ns0:c r="J30" s="158" t="n">
        <ns0:v>1</ns0:v>
      </ns0:c>
      <ns0:c r="K30" s="158" t="n">
        <ns0:v>0</ns0:v>
      </ns0:c>
      <ns0:c r="L30" s="158" t="n">
        <ns0:v>0</ns0:v>
      </ns0:c>
      <ns0:c r="M30" s="158" t="n">
        <ns0:v>2</ns0:v>
      </ns0:c>
      <ns0:c r="N30" s="164" t="n">
        <ns0:v>0.00975609756097561</ns0:v>
      </ns0:c>
      <ns0:c r="O30" s="154" t="n"/>
      <ns0:c r="P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</ns0:row>
    <ns0:row r="31" ht="39.75" customHeight="1">
      <ns0:c r="B31" s="148" t="n"/>
      <ns0:c r="C31" s="49" t="n"/>
      <ns0:c r="D31" s="48" t="n"/>
      <ns0:c r="E31" s="13" t="n"/>
      <ns0:c r="F31" s="15" t="n"/>
      <ns0:c r="G31" s="49" t="n"/>
      <ns0:c r="H31" s="49" t="n"/>
      <ns0:c r="I31" s="165" t="n">
        <ns0:v>0.004878048780487805</ns0:v>
      </ns0:c>
      <ns0:c r="J31" s="165" t="n">
        <ns0:v>0.004878048780487805</ns0:v>
      </ns0:c>
      <ns0:c r="K31" s="165" t="n">
        <ns0:v>0</ns0:v>
      </ns0:c>
      <ns0:c r="L31" s="165" t="n">
        <ns0:v>0</ns0:v>
      </ns0:c>
      <ns0:c r="M31" s="49" t="n"/>
      <ns0:c r="N31" s="49" t="n"/>
      <ns0:c r="O31" s="154" t="n"/>
      <ns0:c r="P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</ns0:row>
    <ns0:row r="32" ht="31.5" customHeight="1">
      <ns0:c r="B32" s="148" t="n"/>
      <ns0:c r="C32" s="157" t="n">
        <ns0:v>45582</ns0:v>
      </ns0:c>
      <ns0:c r="D32" s="48" t="n"/>
      <ns0:c r="E32" s="166" t="inlineStr">
        <ns0:is>
          <ns0:t>SPK repair NG hearing + voltage normal E2</ns0:t>
        </ns0:is>
      </ns0:c>
      <ns0:c r="F32" s="45" t="n"/>
      <ns0:c r="G32" s="160" t="n">
        <ns0:v>17</ns0:v>
      </ns0:c>
      <ns0:c r="H32" s="160" t="n">
        <ns0:v>9</ns0:v>
      </ns0:c>
      <ns0:c r="I32" s="160" t="n">
        <ns0:v>8</ns0:v>
      </ns0:c>
      <ns0:c r="J32" s="160" t="n">
        <ns0:v>0</ns0:v>
      </ns0:c>
      <ns0:c r="K32" s="160" t="n">
        <ns0:v>0</ns0:v>
      </ns0:c>
      <ns0:c r="L32" s="160" t="n">
        <ns0:v>0</ns0:v>
      </ns0:c>
      <ns0:c r="M32" s="160" t="n">
        <ns0:v>8</ns0:v>
      </ns0:c>
      <ns0:c r="N32" s="161" t="n">
        <ns0:v>0.4705882352941176</ns0:v>
      </ns0:c>
      <ns0:c r="O32" s="154" t="n"/>
      <ns0:c r="P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</ns0:row>
    <ns0:row r="33" ht="31.5" customHeight="1">
      <ns0:c r="B33" s="148" t="n"/>
      <ns0:c r="C33" s="48" t="n"/>
      <ns0:c r="D33" s="48" t="n"/>
      <ns0:c r="E33" s="8" t="n"/>
      <ns0:c r="F33" s="9" t="n"/>
      <ns0:c r="G33" s="49" t="n"/>
      <ns0:c r="H33" s="49" t="n"/>
      <ns0:c r="I33" s="162" t="n">
        <ns0:v>0.4705882352941176</ns0:v>
      </ns0:c>
      <ns0:c r="J33" s="162" t="n">
        <ns0:v>0</ns0:v>
      </ns0:c>
      <ns0:c r="K33" s="162" t="n">
        <ns0:v>0</ns0:v>
      </ns0:c>
      <ns0:c r="L33" s="162" t="n">
        <ns0:v>0</ns0:v>
      </ns0:c>
      <ns0:c r="M33" s="49" t="n"/>
      <ns0:c r="N33" s="49" t="n"/>
      <ns0:c r="O33" s="154" t="n"/>
      <ns0:c r="P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</ns0:row>
    <ns0:row r="34" ht="31.5" customHeight="1">
      <ns0:c r="B34" s="148" t="n"/>
      <ns0:c r="C34" s="48" t="n"/>
      <ns0:c r="D34" s="48" t="n"/>
      <ns0:c r="E34" s="172" t="inlineStr">
        <ns0:is>
          <ns0:t>SPK repair NG hearing + voltage increase 5% E2</ns0:t>
        </ns0:is>
      </ns0:c>
      <ns0:c r="F34" s="45" t="n"/>
      <ns0:c r="G34" s="173" t="n">
        <ns0:v>17</ns0:v>
      </ns0:c>
      <ns0:c r="H34" s="173" t="n">
        <ns0:v>12</ns0:v>
      </ns0:c>
      <ns0:c r="I34" s="173" t="n">
        <ns0:v>5</ns0:v>
      </ns0:c>
      <ns0:c r="J34" s="173" t="n">
        <ns0:v>0</ns0:v>
      </ns0:c>
      <ns0:c r="K34" s="173" t="n">
        <ns0:v>0</ns0:v>
      </ns0:c>
      <ns0:c r="L34" s="173" t="n">
        <ns0:v>0</ns0:v>
      </ns0:c>
      <ns0:c r="M34" s="173" t="n">
        <ns0:v>5</ns0:v>
      </ns0:c>
      <ns0:c r="N34" s="174" t="n">
        <ns0:v>0.2941176470588235</ns0:v>
      </ns0:c>
      <ns0:c r="O34" s="154" t="n"/>
      <ns0:c r="P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</ns0:row>
    <ns0:row r="35" ht="31.5" customHeight="1">
      <ns0:c r="B35" s="148" t="n"/>
      <ns0:c r="C35" s="48" t="n"/>
      <ns0:c r="D35" s="48" t="n"/>
      <ns0:c r="E35" s="8" t="n"/>
      <ns0:c r="F35" s="9" t="n"/>
      <ns0:c r="G35" s="49" t="n"/>
      <ns0:c r="H35" s="49" t="n"/>
      <ns0:c r="I35" s="175" t="n">
        <ns0:v>0.2941176470588235</ns0:v>
      </ns0:c>
      <ns0:c r="J35" s="175" t="n">
        <ns0:v>0</ns0:v>
      </ns0:c>
      <ns0:c r="K35" s="175" t="n">
        <ns0:v>0</ns0:v>
      </ns0:c>
      <ns0:c r="L35" s="175" t="n">
        <ns0:v>0</ns0:v>
      </ns0:c>
      <ns0:c r="M35" s="49" t="n"/>
      <ns0:c r="N35" s="49" t="n"/>
      <ns0:c r="O35" s="154" t="n"/>
      <ns0:c r="P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</ns0:row>
    <ns0:row r="36" ht="31.5" customHeight="1">
      <ns0:c r="B36" s="148" t="n"/>
      <ns0:c r="C36" s="48" t="n"/>
      <ns0:c r="D36" s="48" t="n"/>
      <ns0:c r="E36" s="167" t="inlineStr">
        <ns0:is>
          <ns0:t>SPK repair NG hearing + voltage increase 10% E2</ns0:t>
        </ns0:is>
      </ns0:c>
      <ns0:c r="F36" s="45" t="n"/>
      <ns0:c r="G36" s="168" t="n">
        <ns0:v>114</ns0:v>
      </ns0:c>
      <ns0:c r="H36" s="168" t="n">
        <ns0:v>114</ns0:v>
      </ns0:c>
      <ns0:c r="I36" s="168" t="n">
        <ns0:v>0</ns0:v>
      </ns0:c>
      <ns0:c r="J36" s="168" t="n">
        <ns0:v>0</ns0:v>
      </ns0:c>
      <ns0:c r="K36" s="168" t="n">
        <ns0:v>0</ns0:v>
      </ns0:c>
      <ns0:c r="L36" s="168" t="n">
        <ns0:v>0</ns0:v>
      </ns0:c>
      <ns0:c r="M36" s="168" t="n">
        <ns0:v>0</ns0:v>
      </ns0:c>
      <ns0:c r="N36" s="169" t="n">
        <ns0:v>0</ns0:v>
      </ns0:c>
      <ns0:c r="O36" s="154" t="n"/>
      <ns0:c r="P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</ns0:row>
    <ns0:row r="37" ht="31.5" customHeight="1">
      <ns0:c r="B37" s="148" t="n"/>
      <ns0:c r="C37" s="48" t="n"/>
      <ns0:c r="D37" s="48" t="n"/>
      <ns0:c r="E37" s="8" t="n"/>
      <ns0:c r="F37" s="9" t="n"/>
      <ns0:c r="G37" s="49" t="n"/>
      <ns0:c r="H37" s="49" t="n"/>
      <ns0:c r="I37" s="170" t="n">
        <ns0:v>0</ns0:v>
      </ns0:c>
      <ns0:c r="J37" s="170" t="n">
        <ns0:v>0</ns0:v>
      </ns0:c>
      <ns0:c r="K37" s="170" t="n">
        <ns0:v>0</ns0:v>
      </ns0:c>
      <ns0:c r="L37" s="170" t="n">
        <ns0:v>0</ns0:v>
      </ns0:c>
      <ns0:c r="M37" s="49" t="n"/>
      <ns0:c r="N37" s="49" t="n"/>
      <ns0:c r="O37" s="154" t="n"/>
      <ns0:c r="P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</ns0:row>
    <ns0:row r="38" ht="31.5" customHeight="1">
      <ns0:c r="B38" s="148" t="n"/>
      <ns0:c r="C38" s="48" t="n"/>
      <ns0:c r="D38" s="48" t="n"/>
      <ns0:c r="E38" s="171" t="inlineStr">
        <ns0:is>
          <ns0:t xml:space="preserve">Normal </ns0:t>
        </ns0:is>
      </ns0:c>
      <ns0:c r="F38" s="45" t="n"/>
      <ns0:c r="G38" s="158" t="n">
        <ns0:v>320</ns0:v>
      </ns0:c>
      <ns0:c r="H38" s="158" t="n">
        <ns0:v>317</ns0:v>
      </ns0:c>
      <ns0:c r="I38" s="158" t="n">
        <ns0:v>1</ns0:v>
      </ns0:c>
      <ns0:c r="J38" s="158" t="n">
        <ns0:v>2</ns0:v>
      </ns0:c>
      <ns0:c r="K38" s="158" t="n">
        <ns0:v>0</ns0:v>
      </ns0:c>
      <ns0:c r="L38" s="158" t="n">
        <ns0:v>0</ns0:v>
      </ns0:c>
      <ns0:c r="M38" s="158" t="n">
        <ns0:v>3</ns0:v>
      </ns0:c>
      <ns0:c r="N38" s="164" t="n">
        <ns0:v>0.009375</ns0:v>
      </ns0:c>
      <ns0:c r="O38" s="154" t="n"/>
      <ns0:c r="P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</ns0:row>
    <ns0:row r="39" ht="31.5" customHeight="1">
      <ns0:c r="B39" s="148" t="n"/>
      <ns0:c r="C39" s="49" t="n"/>
      <ns0:c r="D39" s="48" t="n"/>
      <ns0:c r="E39" s="13" t="n"/>
      <ns0:c r="F39" s="15" t="n"/>
      <ns0:c r="G39" s="49" t="n"/>
      <ns0:c r="H39" s="49" t="n"/>
      <ns0:c r="I39" s="165" t="n">
        <ns0:v>0.003125</ns0:v>
      </ns0:c>
      <ns0:c r="J39" s="165" t="n">
        <ns0:v>0.00625</ns0:v>
      </ns0:c>
      <ns0:c r="K39" s="165" t="n">
        <ns0:v>0</ns0:v>
      </ns0:c>
      <ns0:c r="L39" s="165" t="n">
        <ns0:v>0</ns0:v>
      </ns0:c>
      <ns0:c r="M39" s="49" t="n"/>
      <ns0:c r="N39" s="49" t="n"/>
      <ns0:c r="O39" s="154" t="n"/>
      <ns0:c r="P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</ns0:row>
    <ns0:row r="40" ht="31.5" customHeight="1">
      <ns0:c r="B40" s="148" t="n"/>
      <ns0:c r="C40" s="157" t="n">
        <ns0:v>45583</ns0:v>
      </ns0:c>
      <ns0:c r="D40" s="48" t="n"/>
      <ns0:c r="E40" s="166" t="inlineStr">
        <ns0:is>
          <ns0:t>SPK repair NG hearing + voltage normal C2</ns0:t>
        </ns0:is>
      </ns0:c>
      <ns0:c r="F40" s="45" t="n"/>
      <ns0:c r="G40" s="160" t="n">
        <ns0:v>4</ns0:v>
      </ns0:c>
      <ns0:c r="H40" s="160" t="n">
        <ns0:v>4</ns0:v>
      </ns0:c>
      <ns0:c r="I40" s="160" t="n">
        <ns0:v>0</ns0:v>
      </ns0:c>
      <ns0:c r="J40" s="160" t="n">
        <ns0:v>0</ns0:v>
      </ns0:c>
      <ns0:c r="K40" s="160" t="n">
        <ns0:v>0</ns0:v>
      </ns0:c>
      <ns0:c r="L40" s="160" t="n">
        <ns0:v>0</ns0:v>
      </ns0:c>
      <ns0:c r="M40" s="160" t="n">
        <ns0:v>0</ns0:v>
      </ns0:c>
      <ns0:c r="N40" s="161" t="n">
        <ns0:v>0</ns0:v>
      </ns0:c>
      <ns0:c r="O40" s="154" t="n"/>
      <ns0:c r="P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</ns0:row>
    <ns0:row r="41" ht="31.5" customHeight="1">
      <ns0:c r="B41" s="148" t="n"/>
      <ns0:c r="C41" s="48" t="n"/>
      <ns0:c r="D41" s="48" t="n"/>
      <ns0:c r="E41" s="8" t="n"/>
      <ns0:c r="F41" s="9" t="n"/>
      <ns0:c r="G41" s="49" t="n"/>
      <ns0:c r="H41" s="49" t="n"/>
      <ns0:c r="I41" s="162" t="n">
        <ns0:v>0</ns0:v>
      </ns0:c>
      <ns0:c r="J41" s="162" t="n">
        <ns0:v>0</ns0:v>
      </ns0:c>
      <ns0:c r="K41" s="162" t="n">
        <ns0:v>0</ns0:v>
      </ns0:c>
      <ns0:c r="L41" s="162" t="n">
        <ns0:v>0</ns0:v>
      </ns0:c>
      <ns0:c r="M41" s="49" t="n"/>
      <ns0:c r="N41" s="49" t="n"/>
      <ns0:c r="O41" s="154" t="n"/>
      <ns0:c r="P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</ns0:row>
    <ns0:row r="42" ht="31.5" customHeight="1">
      <ns0:c r="B42" s="148" t="n"/>
      <ns0:c r="C42" s="48" t="n"/>
      <ns0:c r="D42" s="48" t="n"/>
      <ns0:c r="E42" s="172" t="inlineStr">
        <ns0:is>
          <ns0:t>SPK repair NG hearing + voltage increase 5% C2</ns0:t>
        </ns0:is>
      </ns0:c>
      <ns0:c r="F42" s="45" t="n"/>
      <ns0:c r="G42" s="173" t="n">
        <ns0:v>4</ns0:v>
      </ns0:c>
      <ns0:c r="H42" s="173" t="n">
        <ns0:v>4</ns0:v>
      </ns0:c>
      <ns0:c r="I42" s="173" t="n">
        <ns0:v>0</ns0:v>
      </ns0:c>
      <ns0:c r="J42" s="173" t="n">
        <ns0:v>0</ns0:v>
      </ns0:c>
      <ns0:c r="K42" s="173" t="n">
        <ns0:v>0</ns0:v>
      </ns0:c>
      <ns0:c r="L42" s="173" t="n">
        <ns0:v>0</ns0:v>
      </ns0:c>
      <ns0:c r="M42" s="173" t="n">
        <ns0:v>0</ns0:v>
      </ns0:c>
      <ns0:c r="N42" s="174" t="n">
        <ns0:v>0</ns0:v>
      </ns0:c>
      <ns0:c r="O42" s="154" t="n"/>
      <ns0:c r="P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</ns0:row>
    <ns0:row r="43" ht="31.5" customHeight="1">
      <ns0:c r="B43" s="148" t="n"/>
      <ns0:c r="C43" s="48" t="n"/>
      <ns0:c r="D43" s="48" t="n"/>
      <ns0:c r="E43" s="8" t="n"/>
      <ns0:c r="F43" s="9" t="n"/>
      <ns0:c r="G43" s="49" t="n"/>
      <ns0:c r="H43" s="49" t="n"/>
      <ns0:c r="I43" s="175" t="n">
        <ns0:v>0</ns0:v>
      </ns0:c>
      <ns0:c r="J43" s="175" t="n">
        <ns0:v>0</ns0:v>
      </ns0:c>
      <ns0:c r="K43" s="175" t="n">
        <ns0:v>0</ns0:v>
      </ns0:c>
      <ns0:c r="L43" s="175" t="n">
        <ns0:v>0</ns0:v>
      </ns0:c>
      <ns0:c r="M43" s="49" t="n"/>
      <ns0:c r="N43" s="49" t="n"/>
      <ns0:c r="O43" s="154" t="n"/>
      <ns0:c r="P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</ns0:row>
    <ns0:row r="44" ht="31.5" customHeight="1">
      <ns0:c r="B44" s="148" t="n"/>
      <ns0:c r="C44" s="48" t="n"/>
      <ns0:c r="D44" s="48" t="n"/>
      <ns0:c r="E44" s="167" t="inlineStr">
        <ns0:is>
          <ns0:t>SPK repair NG hearing + voltage increase 10% C2</ns0:t>
        </ns0:is>
      </ns0:c>
      <ns0:c r="F44" s="45" t="n"/>
      <ns0:c r="G44" s="168" t="n">
        <ns0:v>110</ns0:v>
      </ns0:c>
      <ns0:c r="H44" s="168" t="n">
        <ns0:v>108</ns0:v>
      </ns0:c>
      <ns0:c r="I44" s="168" t="n">
        <ns0:v>1</ns0:v>
      </ns0:c>
      <ns0:c r="J44" s="168" t="n">
        <ns0:v>1</ns0:v>
      </ns0:c>
      <ns0:c r="K44" s="168" t="n">
        <ns0:v>0</ns0:v>
      </ns0:c>
      <ns0:c r="L44" s="168" t="n">
        <ns0:v>0</ns0:v>
      </ns0:c>
      <ns0:c r="M44" s="168" t="n">
        <ns0:v>2</ns0:v>
      </ns0:c>
      <ns0:c r="N44" s="169" t="n">
        <ns0:v>0.01818181818181818</ns0:v>
      </ns0:c>
      <ns0:c r="O44" s="154" t="n"/>
      <ns0:c r="P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</ns0:row>
    <ns0:row r="45" ht="31.5" customHeight="1">
      <ns0:c r="B45" s="148" t="n"/>
      <ns0:c r="C45" s="48" t="n"/>
      <ns0:c r="D45" s="48" t="n"/>
      <ns0:c r="E45" s="8" t="n"/>
      <ns0:c r="F45" s="9" t="n"/>
      <ns0:c r="G45" s="49" t="n"/>
      <ns0:c r="H45" s="49" t="n"/>
      <ns0:c r="I45" s="170" t="n">
        <ns0:v>0.00909090909090909</ns0:v>
      </ns0:c>
      <ns0:c r="J45" s="170" t="n">
        <ns0:v>0.00909090909090909</ns0:v>
      </ns0:c>
      <ns0:c r="K45" s="170" t="n">
        <ns0:v>0</ns0:v>
      </ns0:c>
      <ns0:c r="L45" s="170" t="n">
        <ns0:v>0</ns0:v>
      </ns0:c>
      <ns0:c r="M45" s="49" t="n"/>
      <ns0:c r="N45" s="49" t="n"/>
      <ns0:c r="O45" s="154" t="n"/>
      <ns0:c r="P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</ns0:row>
    <ns0:row r="46" ht="31.5" customHeight="1">
      <ns0:c r="B46" s="148" t="n"/>
      <ns0:c r="C46" s="48" t="n"/>
      <ns0:c r="D46" s="48" t="n"/>
      <ns0:c r="E46" s="167" t="inlineStr">
        <ns0:is>
          <ns0:t>SPK repair NG hearing + voltage increase 10% E2</ns0:t>
        </ns0:is>
      </ns0:c>
      <ns0:c r="F46" s="45" t="n"/>
      <ns0:c r="G46" s="176" t="n">
        <ns0:v>62</ns0:v>
      </ns0:c>
      <ns0:c r="H46" s="176" t="n">
        <ns0:v>61</ns0:v>
      </ns0:c>
      <ns0:c r="I46" s="176" t="n">
        <ns0:v>1</ns0:v>
      </ns0:c>
      <ns0:c r="J46" s="176" t="n">
        <ns0:v>0</ns0:v>
      </ns0:c>
      <ns0:c r="K46" s="176" t="n">
        <ns0:v>0</ns0:v>
      </ns0:c>
      <ns0:c r="L46" s="176" t="n">
        <ns0:v>0</ns0:v>
      </ns0:c>
      <ns0:c r="M46" s="176" t="n">
        <ns0:v>1</ns0:v>
      </ns0:c>
      <ns0:c r="N46" s="177" t="n">
        <ns0:v>0.01612903225806452</ns0:v>
      </ns0:c>
      <ns0:c r="O46" s="154" t="n"/>
      <ns0:c r="P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</ns0:row>
    <ns0:row r="47" ht="31.5" customHeight="1">
      <ns0:c r="B47" s="148" t="n"/>
      <ns0:c r="C47" s="48" t="n"/>
      <ns0:c r="D47" s="48" t="n"/>
      <ns0:c r="E47" s="8" t="n"/>
      <ns0:c r="F47" s="9" t="n"/>
      <ns0:c r="G47" s="49" t="n"/>
      <ns0:c r="H47" s="49" t="n"/>
      <ns0:c r="I47" s="178" t="n">
        <ns0:v>0.01612903225806452</ns0:v>
      </ns0:c>
      <ns0:c r="J47" s="178" t="n">
        <ns0:v>0</ns0:v>
      </ns0:c>
      <ns0:c r="K47" s="178" t="n">
        <ns0:v>0</ns0:v>
      </ns0:c>
      <ns0:c r="L47" s="178" t="n">
        <ns0:v>0</ns0:v>
      </ns0:c>
      <ns0:c r="M47" s="49" t="n"/>
      <ns0:c r="N47" s="49" t="n"/>
      <ns0:c r="O47" s="154" t="n"/>
      <ns0:c r="P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</ns0:row>
    <ns0:row r="48" ht="31.5" customHeight="1">
      <ns0:c r="B48" s="148" t="n"/>
      <ns0:c r="C48" s="48" t="n"/>
      <ns0:c r="D48" s="48" t="n"/>
      <ns0:c r="E48" s="171" t="inlineStr">
        <ns0:is>
          <ns0:t xml:space="preserve">Normal </ns0:t>
        </ns0:is>
      </ns0:c>
      <ns0:c r="F48" s="45" t="n"/>
      <ns0:c r="G48" s="158" t="n">
        <ns0:v>180</ns0:v>
      </ns0:c>
      <ns0:c r="H48" s="158" t="n">
        <ns0:v>178</ns0:v>
      </ns0:c>
      <ns0:c r="I48" s="158" t="n">
        <ns0:v>1</ns0:v>
      </ns0:c>
      <ns0:c r="J48" s="158" t="n">
        <ns0:v>1</ns0:v>
      </ns0:c>
      <ns0:c r="K48" s="158" t="n">
        <ns0:v>0</ns0:v>
      </ns0:c>
      <ns0:c r="L48" s="158" t="n">
        <ns0:v>0</ns0:v>
      </ns0:c>
      <ns0:c r="M48" s="158" t="n">
        <ns0:v>2</ns0:v>
      </ns0:c>
      <ns0:c r="N48" s="164" t="n">
        <ns0:v>0.01111111111111111</ns0:v>
      </ns0:c>
      <ns0:c r="O48" s="154" t="n"/>
      <ns0:c r="P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</ns0:row>
    <ns0:row r="49" ht="31.5" customHeight="1">
      <ns0:c r="B49" s="148" t="n"/>
      <ns0:c r="C49" s="49" t="n"/>
      <ns0:c r="D49" s="48" t="n"/>
      <ns0:c r="E49" s="13" t="n"/>
      <ns0:c r="F49" s="15" t="n"/>
      <ns0:c r="G49" s="49" t="n"/>
      <ns0:c r="H49" s="49" t="n"/>
      <ns0:c r="I49" s="165" t="n">
        <ns0:v>0.005555555555555556</ns0:v>
      </ns0:c>
      <ns0:c r="J49" s="165" t="n">
        <ns0:v>0.005555555555555556</ns0:v>
      </ns0:c>
      <ns0:c r="K49" s="165" t="n">
        <ns0:v>0</ns0:v>
      </ns0:c>
      <ns0:c r="L49" s="165" t="n">
        <ns0:v>0</ns0:v>
      </ns0:c>
      <ns0:c r="M49" s="49" t="n"/>
      <ns0:c r="N49" s="49" t="n"/>
      <ns0:c r="O49" s="154" t="n"/>
      <ns0:c r="P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</ns0:row>
    <ns0:row r="50" ht="31.5" customHeight="1">
      <ns0:c r="B50" s="148" t="n"/>
      <ns0:c r="C50" s="157" t="n">
        <ns0:v>45584</ns0:v>
      </ns0:c>
      <ns0:c r="D50" s="48" t="n"/>
      <ns0:c r="E50" s="167" t="inlineStr">
        <ns0:is>
          <ns0:t>SPK repair NG hearing + voltage increase 10% C2</ns0:t>
        </ns0:is>
      </ns0:c>
      <ns0:c r="F50" s="45" t="n"/>
      <ns0:c r="G50" s="176" t="n">
        <ns0:v>113</ns0:v>
      </ns0:c>
      <ns0:c r="H50" s="176" t="n">
        <ns0:v>112</ns0:v>
      </ns0:c>
      <ns0:c r="I50" s="176" t="n">
        <ns0:v>1</ns0:v>
      </ns0:c>
      <ns0:c r="J50" s="176" t="n">
        <ns0:v>0</ns0:v>
      </ns0:c>
      <ns0:c r="K50" s="176" t="n">
        <ns0:v>0</ns0:v>
      </ns0:c>
      <ns0:c r="L50" s="176" t="n">
        <ns0:v>0</ns0:v>
      </ns0:c>
      <ns0:c r="M50" s="176" t="n">
        <ns0:v>1</ns0:v>
      </ns0:c>
      <ns0:c r="N50" s="177" t="n">
        <ns0:v>0.008849557522123894</ns0:v>
      </ns0:c>
      <ns0:c r="O50" s="154" t="n"/>
      <ns0:c r="P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</ns0:row>
    <ns0:row r="51" ht="31.5" customHeight="1">
      <ns0:c r="B51" s="148" t="n"/>
      <ns0:c r="C51" s="48" t="n"/>
      <ns0:c r="D51" s="48" t="n"/>
      <ns0:c r="E51" s="8" t="n"/>
      <ns0:c r="F51" s="9" t="n"/>
      <ns0:c r="G51" s="49" t="n"/>
      <ns0:c r="H51" s="49" t="n"/>
      <ns0:c r="I51" s="178" t="n">
        <ns0:v>0.008849557522123894</ns0:v>
      </ns0:c>
      <ns0:c r="J51" s="178" t="n">
        <ns0:v>0</ns0:v>
      </ns0:c>
      <ns0:c r="K51" s="178" t="n">
        <ns0:v>0</ns0:v>
      </ns0:c>
      <ns0:c r="L51" s="178" t="n">
        <ns0:v>0</ns0:v>
      </ns0:c>
      <ns0:c r="M51" s="49" t="n"/>
      <ns0:c r="N51" s="49" t="n"/>
      <ns0:c r="O51" s="154" t="n"/>
      <ns0:c r="P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</ns0:row>
    <ns0:row r="52" ht="31.5" customHeight="1">
      <ns0:c r="B52" s="148" t="n"/>
      <ns0:c r="C52" s="48" t="n"/>
      <ns0:c r="D52" s="48" t="n"/>
      <ns0:c r="E52" s="171" t="inlineStr">
        <ns0:is>
          <ns0:t xml:space="preserve">Normal </ns0:t>
        </ns0:is>
      </ns0:c>
      <ns0:c r="F52" s="45" t="n"/>
      <ns0:c r="G52" s="158" t="n">
        <ns0:v>180</ns0:v>
      </ns0:c>
      <ns0:c r="H52" s="158" t="n">
        <ns0:v>179</ns0:v>
      </ns0:c>
      <ns0:c r="I52" s="158" t="n">
        <ns0:v>0</ns0:v>
      </ns0:c>
      <ns0:c r="J52" s="158" t="n">
        <ns0:v>1</ns0:v>
      </ns0:c>
      <ns0:c r="K52" s="158" t="n">
        <ns0:v>0</ns0:v>
      </ns0:c>
      <ns0:c r="L52" s="158" t="n">
        <ns0:v>0</ns0:v>
      </ns0:c>
      <ns0:c r="M52" s="158" t="n">
        <ns0:v>1</ns0:v>
      </ns0:c>
      <ns0:c r="N52" s="164" t="n">
        <ns0:v>0.005555555555555556</ns0:v>
      </ns0:c>
      <ns0:c r="O52" s="154" t="n"/>
      <ns0:c r="P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</ns0:row>
    <ns0:row r="53" ht="31.5" customHeight="1">
      <ns0:c r="B53" s="148" t="n"/>
      <ns0:c r="C53" s="49" t="n"/>
      <ns0:c r="D53" s="48" t="n"/>
      <ns0:c r="E53" s="13" t="n"/>
      <ns0:c r="F53" s="15" t="n"/>
      <ns0:c r="G53" s="49" t="n"/>
      <ns0:c r="H53" s="49" t="n"/>
      <ns0:c r="I53" s="165" t="n">
        <ns0:v>0</ns0:v>
      </ns0:c>
      <ns0:c r="J53" s="165" t="n">
        <ns0:v>0.005555555555555556</ns0:v>
      </ns0:c>
      <ns0:c r="K53" s="165" t="n">
        <ns0:v>0</ns0:v>
      </ns0:c>
      <ns0:c r="L53" s="165" t="n">
        <ns0:v>0</ns0:v>
      </ns0:c>
      <ns0:c r="M53" s="49" t="n"/>
      <ns0:c r="N53" s="49" t="n"/>
      <ns0:c r="O53" s="154" t="n"/>
      <ns0:c r="P53" s="28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</ns0:row>
    <ns0:row r="54" ht="31.5" customHeight="1">
      <ns0:c r="B54" s="148" t="n"/>
      <ns0:c r="C54" s="157" t="n">
        <ns0:v>45586</ns0:v>
      </ns0:c>
      <ns0:c r="D54" s="48" t="n"/>
      <ns0:c r="E54" s="167" t="inlineStr">
        <ns0:is>
          <ns0:t>SPK repair NG hearing + voltage increase 10% C2</ns0:t>
        </ns0:is>
      </ns0:c>
      <ns0:c r="F54" s="45" t="n"/>
      <ns0:c r="G54" s="176" t="n">
        <ns0:v>15</ns0:v>
      </ns0:c>
      <ns0:c r="H54" s="176" t="n">
        <ns0:v>15</ns0:v>
      </ns0:c>
      <ns0:c r="I54" s="176" t="n">
        <ns0:v>0</ns0:v>
      </ns0:c>
      <ns0:c r="J54" s="176" t="n">
        <ns0:v>0</ns0:v>
      </ns0:c>
      <ns0:c r="K54" s="176" t="n">
        <ns0:v>0</ns0:v>
      </ns0:c>
      <ns0:c r="L54" s="176" t="n">
        <ns0:v>0</ns0:v>
      </ns0:c>
      <ns0:c r="M54" s="176" t="n">
        <ns0:v>0</ns0:v>
      </ns0:c>
      <ns0:c r="N54" s="177" t="n">
        <ns0:v>0</ns0:v>
      </ns0:c>
      <ns0:c r="O54" s="154" t="n"/>
      <ns0:c r="P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</ns0:row>
    <ns0:row r="55" ht="31.5" customHeight="1">
      <ns0:c r="B55" s="148" t="n"/>
      <ns0:c r="C55" s="48" t="n"/>
      <ns0:c r="D55" s="48" t="n"/>
      <ns0:c r="E55" s="8" t="n"/>
      <ns0:c r="F55" s="9" t="n"/>
      <ns0:c r="G55" s="49" t="n"/>
      <ns0:c r="H55" s="49" t="n"/>
      <ns0:c r="I55" s="178" t="n">
        <ns0:v>0</ns0:v>
      </ns0:c>
      <ns0:c r="J55" s="178" t="n">
        <ns0:v>0</ns0:v>
      </ns0:c>
      <ns0:c r="K55" s="178" t="n">
        <ns0:v>0</ns0:v>
      </ns0:c>
      <ns0:c r="L55" s="178" t="n">
        <ns0:v>0</ns0:v>
      </ns0:c>
      <ns0:c r="M55" s="49" t="n"/>
      <ns0:c r="N55" s="49" t="n"/>
      <ns0:c r="O55" s="154" t="n"/>
      <ns0:c r="P55" s="28" t="n"/>
      <ns0:c r="Z55" s="28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</ns0:row>
    <ns0:row r="56" ht="31.5" customHeight="1">
      <ns0:c r="B56" s="148" t="n"/>
      <ns0:c r="C56" s="48" t="n"/>
      <ns0:c r="D56" s="48" t="n"/>
      <ns0:c r="E56" s="179" t="inlineStr">
        <ns0:is>
          <ns0:t>SPK repair NG hearing + voltage increase 15% C2</ns0:t>
        </ns0:is>
      </ns0:c>
      <ns0:c r="F56" s="45" t="n"/>
      <ns0:c r="G56" s="180" t="n">
        <ns0:v>231</ns0:v>
      </ns0:c>
      <ns0:c r="H56" s="180" t="n">
        <ns0:v>226</ns0:v>
      </ns0:c>
      <ns0:c r="I56" s="180" t="n">
        <ns0:v>2</ns0:v>
      </ns0:c>
      <ns0:c r="J56" s="180" t="n">
        <ns0:v>2</ns0:v>
      </ns0:c>
      <ns0:c r="K56" s="180" t="n">
        <ns0:v>1</ns0:v>
      </ns0:c>
      <ns0:c r="L56" s="180" t="n">
        <ns0:v>0</ns0:v>
      </ns0:c>
      <ns0:c r="M56" s="180" t="n">
        <ns0:v>5</ns0:v>
      </ns0:c>
      <ns0:c r="N56" s="181" t="n">
        <ns0:v>0.02164502164502164</ns0:v>
      </ns0:c>
      <ns0:c r="O56" s="154" t="n"/>
      <ns0:c r="P56" s="28" t="n"/>
      <ns0:c r="Z56" s="28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</ns0:row>
    <ns0:row r="57" ht="31.5" customHeight="1">
      <ns0:c r="B57" s="148" t="n"/>
      <ns0:c r="C57" s="48" t="n"/>
      <ns0:c r="D57" s="48" t="n"/>
      <ns0:c r="E57" s="8" t="n"/>
      <ns0:c r="F57" s="9" t="n"/>
      <ns0:c r="G57" s="49" t="n"/>
      <ns0:c r="H57" s="49" t="n"/>
      <ns0:c r="I57" s="182" t="n">
        <ns0:v>0.008658008658008658</ns0:v>
      </ns0:c>
      <ns0:c r="J57" s="182" t="n">
        <ns0:v>0.008658008658008658</ns0:v>
      </ns0:c>
      <ns0:c r="K57" s="182" t="n">
        <ns0:v>0.004329004329004329</ns0:v>
      </ns0:c>
      <ns0:c r="L57" s="182" t="n">
        <ns0:v>0</ns0:v>
      </ns0:c>
      <ns0:c r="M57" s="49" t="n"/>
      <ns0:c r="N57" s="49" t="n"/>
      <ns0:c r="O57" s="154" t="n"/>
      <ns0:c r="P57" s="28" t="n"/>
      <ns0:c r="Z57" s="28" t="n"/>
      <ns0:c r="AA57" s="28" t="n"/>
      <ns0:c r="AB57" s="28" t="n"/>
      <ns0:c r="AC57" s="28" t="n"/>
      <ns0:c r="AD57" s="28" t="n"/>
      <ns0:c r="AE57" s="28" t="n"/>
      <ns0:c r="AF57" s="28" t="n"/>
      <ns0:c r="AG57" s="28" t="n"/>
      <ns0:c r="AH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</ns0:row>
    <ns0:row r="58" ht="31.5" customHeight="1">
      <ns0:c r="B58" s="148" t="n"/>
      <ns0:c r="C58" s="48" t="n"/>
      <ns0:c r="D58" s="48" t="n"/>
      <ns0:c r="E58" s="171" t="inlineStr">
        <ns0:is>
          <ns0:t xml:space="preserve">Normal </ns0:t>
        </ns0:is>
      </ns0:c>
      <ns0:c r="F58" s="45" t="n"/>
      <ns0:c r="G58" s="158" t="n">
        <ns0:v>205</ns0:v>
      </ns0:c>
      <ns0:c r="H58" s="158" t="n">
        <ns0:v>203</ns0:v>
      </ns0:c>
      <ns0:c r="I58" s="158" t="n">
        <ns0:v>1</ns0:v>
      </ns0:c>
      <ns0:c r="J58" s="158" t="n">
        <ns0:v>1</ns0:v>
      </ns0:c>
      <ns0:c r="K58" s="158" t="n">
        <ns0:v>0</ns0:v>
      </ns0:c>
      <ns0:c r="L58" s="158" t="n">
        <ns0:v>0</ns0:v>
      </ns0:c>
      <ns0:c r="M58" s="158" t="n">
        <ns0:v>2</ns0:v>
      </ns0:c>
      <ns0:c r="N58" s="164" t="n">
        <ns0:v>0.00975609756097561</ns0:v>
      </ns0:c>
      <ns0:c r="O58" s="154" t="n"/>
      <ns0:c r="P58" s="28" t="n"/>
      <ns0:c r="Z58" s="28" t="n"/>
      <ns0:c r="AA58" s="28" t="n"/>
      <ns0:c r="AB58" s="28" t="n"/>
      <ns0:c r="AC58" s="28" t="n"/>
      <ns0:c r="AD58" s="28" t="n"/>
      <ns0:c r="AE58" s="28" t="n"/>
      <ns0:c r="AF58" s="28" t="n"/>
      <ns0:c r="AG58" s="28" t="n"/>
      <ns0:c r="AH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</ns0:row>
    <ns0:row r="59" ht="31.5" customHeight="1">
      <ns0:c r="B59" s="148" t="n"/>
      <ns0:c r="C59" s="49" t="n"/>
      <ns0:c r="D59" s="48" t="n"/>
      <ns0:c r="E59" s="13" t="n"/>
      <ns0:c r="F59" s="15" t="n"/>
      <ns0:c r="G59" s="49" t="n"/>
      <ns0:c r="H59" s="49" t="n"/>
      <ns0:c r="I59" s="165" t="n">
        <ns0:v>0.004878048780487805</ns0:v>
      </ns0:c>
      <ns0:c r="J59" s="165" t="n">
        <ns0:v>0.004878048780487805</ns0:v>
      </ns0:c>
      <ns0:c r="K59" s="165" t="n">
        <ns0:v>0</ns0:v>
      </ns0:c>
      <ns0:c r="L59" s="165" t="n">
        <ns0:v>0</ns0:v>
      </ns0:c>
      <ns0:c r="M59" s="49" t="n"/>
      <ns0:c r="N59" s="49" t="n"/>
      <ns0:c r="O59" s="154" t="n"/>
      <ns0:c r="P59" s="28" t="n"/>
      <ns0:c r="Z59" s="28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</ns0:row>
    <ns0:row r="60" ht="31.5" customHeight="1">
      <ns0:c r="B60" s="148" t="n"/>
      <ns0:c r="C60" s="157" t="n">
        <ns0:v>45587</ns0:v>
      </ns0:c>
      <ns0:c r="D60" s="48" t="n"/>
      <ns0:c r="E60" s="167" t="inlineStr">
        <ns0:is>
          <ns0:t>SPK repair NG hearing + voltage increase 10% E2</ns0:t>
        </ns0:is>
      </ns0:c>
      <ns0:c r="F60" s="45" t="n"/>
      <ns0:c r="G60" s="176" t="n">
        <ns0:v>61</ns0:v>
      </ns0:c>
      <ns0:c r="H60" s="176" t="n">
        <ns0:v>50</ns0:v>
      </ns0:c>
      <ns0:c r="I60" s="176" t="n">
        <ns0:v>10</ns0:v>
      </ns0:c>
      <ns0:c r="J60" s="176" t="n">
        <ns0:v>1</ns0:v>
      </ns0:c>
      <ns0:c r="K60" s="176" t="n">
        <ns0:v>0</ns0:v>
      </ns0:c>
      <ns0:c r="L60" s="176" t="n">
        <ns0:v>0</ns0:v>
      </ns0:c>
      <ns0:c r="M60" s="176" t="n">
        <ns0:v>11</ns0:v>
      </ns0:c>
      <ns0:c r="N60" s="177" t="n">
        <ns0:v>0.180327868852459</ns0:v>
      </ns0:c>
      <ns0:c r="O60" s="154" t="n"/>
      <ns0:c r="P60" s="28" t="n"/>
      <ns0:c r="Z60" s="28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</ns0:row>
    <ns0:row r="61" ht="31.5" customHeight="1">
      <ns0:c r="B61" s="148" t="n"/>
      <ns0:c r="C61" s="48" t="n"/>
      <ns0:c r="D61" s="48" t="n"/>
      <ns0:c r="E61" s="8" t="n"/>
      <ns0:c r="F61" s="9" t="n"/>
      <ns0:c r="G61" s="49" t="n"/>
      <ns0:c r="H61" s="49" t="n"/>
      <ns0:c r="I61" s="178" t="n">
        <ns0:v>0.1639344262295082</ns0:v>
      </ns0:c>
      <ns0:c r="J61" s="178" t="n">
        <ns0:v>0.01639344262295082</ns0:v>
      </ns0:c>
      <ns0:c r="K61" s="178" t="n">
        <ns0:v>0</ns0:v>
      </ns0:c>
      <ns0:c r="L61" s="178" t="n">
        <ns0:v>0</ns0:v>
      </ns0:c>
      <ns0:c r="M61" s="49" t="n"/>
      <ns0:c r="N61" s="49" t="n"/>
      <ns0:c r="O61" s="154" t="n"/>
      <ns0:c r="P61" s="28" t="n"/>
      <ns0:c r="Z61" s="28" t="n"/>
      <ns0:c r="AA61" s="28" t="n"/>
      <ns0:c r="AB61" s="28" t="n"/>
      <ns0:c r="AC61" s="28" t="n"/>
      <ns0:c r="AD61" s="28" t="n"/>
      <ns0:c r="AE61" s="28" t="n"/>
      <ns0:c r="AF61" s="28" t="n"/>
      <ns0:c r="AG61" s="28" t="n"/>
      <ns0:c r="AH61" s="28" t="n"/>
      <ns0:c r="AI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</ns0:row>
    <ns0:row r="62" ht="31.5" customHeight="1">
      <ns0:c r="B62" s="148" t="n"/>
      <ns0:c r="C62" s="48" t="n"/>
      <ns0:c r="D62" s="48" t="n"/>
      <ns0:c r="E62" s="179" t="inlineStr">
        <ns0:is>
          <ns0:t>SPK repair NG hearing + voltage increase 15% E2</ns0:t>
        </ns0:is>
      </ns0:c>
      <ns0:c r="F62" s="45" t="n"/>
      <ns0:c r="G62" s="180" t="n">
        <ns0:v>250</ns0:v>
      </ns0:c>
      <ns0:c r="H62" s="180" t="n">
        <ns0:v>231</ns0:v>
      </ns0:c>
      <ns0:c r="I62" s="180" t="n">
        <ns0:v>14</ns0:v>
      </ns0:c>
      <ns0:c r="J62" s="180" t="n">
        <ns0:v>4</ns0:v>
      </ns0:c>
      <ns0:c r="K62" s="180" t="n">
        <ns0:v>1</ns0:v>
      </ns0:c>
      <ns0:c r="L62" s="180" t="n">
        <ns0:v>0</ns0:v>
      </ns0:c>
      <ns0:c r="M62" s="180" t="n">
        <ns0:v>19</ns0:v>
      </ns0:c>
      <ns0:c r="N62" s="181" t="n">
        <ns0:v>0.076</ns0:v>
      </ns0:c>
      <ns0:c r="O62" s="154" t="n"/>
      <ns0:c r="P62" s="28" t="n"/>
      <ns0:c r="Z62" s="28" t="n"/>
      <ns0:c r="AA62" s="28" t="n"/>
      <ns0:c r="AB62" s="28" t="n"/>
      <ns0:c r="AC62" s="28" t="n"/>
      <ns0:c r="AD62" s="28" t="n"/>
      <ns0:c r="AE62" s="28" t="n"/>
      <ns0:c r="AF62" s="28" t="n"/>
      <ns0:c r="AG62" s="28" t="n"/>
      <ns0:c r="AH62" s="28" t="n"/>
      <ns0:c r="AI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</ns0:row>
    <ns0:row r="63" ht="31.5" customHeight="1">
      <ns0:c r="B63" s="148" t="n"/>
      <ns0:c r="C63" s="48" t="n"/>
      <ns0:c r="D63" s="48" t="n"/>
      <ns0:c r="E63" s="8" t="n"/>
      <ns0:c r="F63" s="9" t="n"/>
      <ns0:c r="G63" s="49" t="n"/>
      <ns0:c r="H63" s="49" t="n"/>
      <ns0:c r="I63" s="182" t="n">
        <ns0:v>0.056</ns0:v>
      </ns0:c>
      <ns0:c r="J63" s="182" t="n">
        <ns0:v>0.016</ns0:v>
      </ns0:c>
      <ns0:c r="K63" s="182" t="n">
        <ns0:v>0.004</ns0:v>
      </ns0:c>
      <ns0:c r="L63" s="182" t="n">
        <ns0:v>0</ns0:v>
      </ns0:c>
      <ns0:c r="M63" s="49" t="n"/>
      <ns0:c r="N63" s="49" t="n"/>
      <ns0:c r="O63" s="154" t="n"/>
      <ns0:c r="P63" s="28" t="n"/>
      <ns0:c r="Z63" s="28" t="n"/>
      <ns0:c r="AA63" s="28" t="n"/>
      <ns0:c r="AB63" s="28" t="n"/>
      <ns0:c r="AC63" s="28" t="n"/>
      <ns0:c r="AD63" s="28" t="n"/>
      <ns0:c r="AE63" s="28" t="n"/>
      <ns0:c r="AF63" s="28" t="n"/>
      <ns0:c r="AG63" s="28" t="n"/>
      <ns0:c r="AH63" s="28" t="n"/>
      <ns0:c r="AI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</ns0:row>
    <ns0:row r="64" ht="31.5" customHeight="1">
      <ns0:c r="B64" s="148" t="n"/>
      <ns0:c r="C64" s="48" t="n"/>
      <ns0:c r="D64" s="48" t="n"/>
      <ns0:c r="E64" s="171" t="inlineStr">
        <ns0:is>
          <ns0:t xml:space="preserve">Normal </ns0:t>
        </ns0:is>
      </ns0:c>
      <ns0:c r="F64" s="45" t="n"/>
      <ns0:c r="G64" s="158" t="n">
        <ns0:v>350</ns0:v>
      </ns0:c>
      <ns0:c r="H64" s="158" t="n">
        <ns0:v>347</ns0:v>
      </ns0:c>
      <ns0:c r="I64" s="158" t="n">
        <ns0:v>1</ns0:v>
      </ns0:c>
      <ns0:c r="J64" s="158" t="n">
        <ns0:v>1</ns0:v>
      </ns0:c>
      <ns0:c r="K64" s="158" t="n">
        <ns0:v>1</ns0:v>
      </ns0:c>
      <ns0:c r="L64" s="158" t="n">
        <ns0:v>0</ns0:v>
      </ns0:c>
      <ns0:c r="M64" s="158" t="n">
        <ns0:v>3</ns0:v>
      </ns0:c>
      <ns0:c r="N64" s="164" t="n">
        <ns0:v>0.008571428571428572</ns0:v>
      </ns0:c>
      <ns0:c r="O64" s="154" t="n"/>
      <ns0:c r="P64" s="28" t="n"/>
      <ns0:c r="Z64" s="28" t="n"/>
      <ns0:c r="AA64" s="28" t="n"/>
      <ns0:c r="AB64" s="28" t="n"/>
      <ns0:c r="AC64" s="28" t="n"/>
      <ns0:c r="AD64" s="28" t="n"/>
      <ns0:c r="AE64" s="28" t="n"/>
      <ns0:c r="AF64" s="28" t="n"/>
      <ns0:c r="AG64" s="28" t="n"/>
      <ns0:c r="AH64" s="28" t="n"/>
      <ns0:c r="AI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</ns0:row>
    <ns0:row r="65" ht="31.5" customHeight="1">
      <ns0:c r="B65" s="148" t="n"/>
      <ns0:c r="C65" s="49" t="n"/>
      <ns0:c r="D65" s="48" t="n"/>
      <ns0:c r="E65" s="13" t="n"/>
      <ns0:c r="F65" s="15" t="n"/>
      <ns0:c r="G65" s="49" t="n"/>
      <ns0:c r="H65" s="49" t="n"/>
      <ns0:c r="I65" s="165" t="n">
        <ns0:v>0.002857142857142857</ns0:v>
      </ns0:c>
      <ns0:c r="J65" s="165" t="n">
        <ns0:v>0.002857142857142857</ns0:v>
      </ns0:c>
      <ns0:c r="K65" s="165" t="n">
        <ns0:v>0.002857142857142857</ns0:v>
      </ns0:c>
      <ns0:c r="L65" s="165" t="n">
        <ns0:v>0</ns0:v>
      </ns0:c>
      <ns0:c r="M65" s="49" t="n"/>
      <ns0:c r="N65" s="49" t="n"/>
      <ns0:c r="O65" s="154" t="n"/>
      <ns0:c r="P65" s="28" t="n"/>
      <ns0:c r="Z65" s="28" t="n"/>
      <ns0:c r="AA65" s="28" t="n"/>
      <ns0:c r="AB65" s="28" t="n"/>
      <ns0:c r="AC65" s="28" t="n"/>
      <ns0:c r="AD65" s="28" t="n"/>
      <ns0:c r="AE65" s="28" t="n"/>
      <ns0:c r="AF65" s="28" t="n"/>
      <ns0:c r="AG65" s="28" t="n"/>
      <ns0:c r="AH65" s="28" t="n"/>
      <ns0:c r="AI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</ns0:row>
    <ns0:row r="66" ht="31.5" customHeight="1">
      <ns0:c r="B66" s="148" t="n"/>
      <ns0:c r="C66" s="157" t="n">
        <ns0:v>45588</ns0:v>
      </ns0:c>
      <ns0:c r="D66" s="48" t="n"/>
      <ns0:c r="E66" s="167" t="inlineStr">
        <ns0:is>
          <ns0:t>SPK repair NG hearing + voltage increase 10% C2</ns0:t>
        </ns0:is>
      </ns0:c>
      <ns0:c r="F66" s="45" t="n"/>
      <ns0:c r="G66" s="176" t="n">
        <ns0:v>25</ns0:v>
      </ns0:c>
      <ns0:c r="H66" s="176" t="n">
        <ns0:v>25</ns0:v>
      </ns0:c>
      <ns0:c r="I66" s="176" t="n">
        <ns0:v>0</ns0:v>
      </ns0:c>
      <ns0:c r="J66" s="176" t="n">
        <ns0:v>0</ns0:v>
      </ns0:c>
      <ns0:c r="K66" s="176" t="n">
        <ns0:v>0</ns0:v>
      </ns0:c>
      <ns0:c r="L66" s="176" t="n">
        <ns0:v>0</ns0:v>
      </ns0:c>
      <ns0:c r="M66" s="176" t="n">
        <ns0:v>0</ns0:v>
      </ns0:c>
      <ns0:c r="N66" s="177" t="n">
        <ns0:v>0</ns0:v>
      </ns0:c>
      <ns0:c r="O66" s="154" t="n"/>
      <ns0:c r="P66" s="28" t="n"/>
      <ns0:c r="Z66" s="28" t="n"/>
      <ns0:c r="AA66" s="28" t="n"/>
      <ns0:c r="AB66" s="28" t="n"/>
      <ns0:c r="AC66" s="28" t="n"/>
      <ns0:c r="AD66" s="28" t="n"/>
      <ns0:c r="AE66" s="28" t="n"/>
      <ns0:c r="AF66" s="28" t="n"/>
      <ns0:c r="AG66" s="28" t="n"/>
      <ns0:c r="AH66" s="28" t="n"/>
      <ns0:c r="AI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</ns0:row>
    <ns0:row r="67" ht="31.5" customHeight="1">
      <ns0:c r="B67" s="148" t="n"/>
      <ns0:c r="C67" s="48" t="n"/>
      <ns0:c r="D67" s="48" t="n"/>
      <ns0:c r="E67" s="8" t="n"/>
      <ns0:c r="F67" s="9" t="n"/>
      <ns0:c r="G67" s="49" t="n"/>
      <ns0:c r="H67" s="49" t="n"/>
      <ns0:c r="I67" s="178" t="n">
        <ns0:v>0</ns0:v>
      </ns0:c>
      <ns0:c r="J67" s="178" t="n">
        <ns0:v>0</ns0:v>
      </ns0:c>
      <ns0:c r="K67" s="178" t="n">
        <ns0:v>0</ns0:v>
      </ns0:c>
      <ns0:c r="L67" s="178" t="n">
        <ns0:v>0</ns0:v>
      </ns0:c>
      <ns0:c r="M67" s="49" t="n"/>
      <ns0:c r="N67" s="49" t="n"/>
      <ns0:c r="O67" s="154" t="n"/>
      <ns0:c r="P67" s="28" t="n"/>
      <ns0:c r="Z67" s="28" t="n"/>
      <ns0:c r="AA67" s="28" t="n"/>
      <ns0:c r="AB67" s="28" t="n"/>
      <ns0:c r="AC67" s="28" t="n"/>
      <ns0:c r="AD67" s="28" t="n"/>
      <ns0:c r="AE67" s="28" t="n"/>
      <ns0:c r="AF67" s="28" t="n"/>
      <ns0:c r="AG67" s="28" t="n"/>
      <ns0:c r="AH67" s="28" t="n"/>
      <ns0:c r="AI67" s="28" t="n"/>
      <ns0:c r="AJ67" s="28" t="n"/>
      <ns0:c r="AK67" s="28" t="n"/>
      <ns0:c r="AL67" s="28" t="n"/>
      <ns0:c r="AM67" s="28" t="n"/>
      <ns0:c r="AN67" s="28" t="n"/>
      <ns0:c r="AO67" s="28" t="n"/>
      <ns0:c r="AP67" s="28" t="n"/>
      <ns0:c r="AQ67" s="28" t="n"/>
      <ns0:c r="AR67" s="28" t="n"/>
      <ns0:c r="AS67" s="28" t="n"/>
      <ns0:c r="AT67" s="28" t="n"/>
      <ns0:c r="AU67" s="28" t="n"/>
      <ns0:c r="AV67" s="28" t="n"/>
      <ns0:c r="AW67" s="28" t="n"/>
    </ns0:row>
    <ns0:row r="68" ht="31.5" customHeight="1">
      <ns0:c r="B68" s="148" t="n"/>
      <ns0:c r="C68" s="48" t="n"/>
      <ns0:c r="D68" s="48" t="n"/>
      <ns0:c r="E68" s="179" t="inlineStr">
        <ns0:is>
          <ns0:t>SPK repair NG hearing + voltage increase 15% C2</ns0:t>
        </ns0:is>
      </ns0:c>
      <ns0:c r="F68" s="45" t="n"/>
      <ns0:c r="G68" s="180" t="n">
        <ns0:v>202</ns0:v>
      </ns0:c>
      <ns0:c r="H68" s="180" t="n">
        <ns0:v>195</ns0:v>
      </ns0:c>
      <ns0:c r="I68" s="180" t="n">
        <ns0:v>3</ns0:v>
      </ns0:c>
      <ns0:c r="J68" s="180" t="n">
        <ns0:v>0</ns0:v>
      </ns0:c>
      <ns0:c r="K68" s="180" t="n">
        <ns0:v>4</ns0:v>
      </ns0:c>
      <ns0:c r="L68" s="180" t="n">
        <ns0:v>0</ns0:v>
      </ns0:c>
      <ns0:c r="M68" s="180" t="n">
        <ns0:v>7</ns0:v>
      </ns0:c>
      <ns0:c r="N68" s="181" t="n">
        <ns0:v>0.03465346534653466</ns0:v>
      </ns0:c>
      <ns0:c r="O68" s="154" t="n"/>
      <ns0:c r="P68" s="28" t="n"/>
      <ns0:c r="Z68" s="28" t="n"/>
      <ns0:c r="AA68" s="28" t="n"/>
      <ns0:c r="AB68" s="28" t="n"/>
      <ns0:c r="AC68" s="28" t="n"/>
      <ns0:c r="AD68" s="28" t="n"/>
      <ns0:c r="AE68" s="28" t="n"/>
      <ns0:c r="AF68" s="28" t="n"/>
      <ns0:c r="AG68" s="28" t="n"/>
      <ns0:c r="AH68" s="28" t="n"/>
      <ns0:c r="AI68" s="28" t="n"/>
      <ns0:c r="AJ68" s="28" t="n"/>
      <ns0:c r="AK68" s="28" t="n"/>
      <ns0:c r="AL68" s="28" t="n"/>
      <ns0:c r="AM68" s="28" t="n"/>
      <ns0:c r="AN68" s="28" t="n"/>
      <ns0:c r="AO68" s="28" t="n"/>
      <ns0:c r="AP68" s="28" t="n"/>
      <ns0:c r="AQ68" s="28" t="n"/>
      <ns0:c r="AR68" s="28" t="n"/>
      <ns0:c r="AS68" s="28" t="n"/>
      <ns0:c r="AT68" s="28" t="n"/>
      <ns0:c r="AU68" s="28" t="n"/>
      <ns0:c r="AV68" s="28" t="n"/>
      <ns0:c r="AW68" s="28" t="n"/>
    </ns0:row>
    <ns0:row r="69" ht="31.5" customHeight="1">
      <ns0:c r="B69" s="148" t="n"/>
      <ns0:c r="C69" s="48" t="n"/>
      <ns0:c r="D69" s="48" t="n"/>
      <ns0:c r="E69" s="8" t="n"/>
      <ns0:c r="F69" s="9" t="n"/>
      <ns0:c r="G69" s="49" t="n"/>
      <ns0:c r="H69" s="49" t="n"/>
      <ns0:c r="I69" s="182" t="n">
        <ns0:v>0.01485148514851485</ns0:v>
      </ns0:c>
      <ns0:c r="J69" s="182" t="n">
        <ns0:v>0</ns0:v>
      </ns0:c>
      <ns0:c r="K69" s="182" t="n">
        <ns0:v>0.0198019801980198</ns0:v>
      </ns0:c>
      <ns0:c r="L69" s="182" t="n">
        <ns0:v>0</ns0:v>
      </ns0:c>
      <ns0:c r="M69" s="49" t="n"/>
      <ns0:c r="N69" s="49" t="n"/>
      <ns0:c r="O69" s="154" t="n"/>
      <ns0:c r="P69" s="28" t="n"/>
      <ns0:c r="Z69" s="28" t="n"/>
      <ns0:c r="AA69" s="28" t="n"/>
      <ns0:c r="AB69" s="28" t="n"/>
      <ns0:c r="AC69" s="28" t="n"/>
      <ns0:c r="AD69" s="28" t="n"/>
      <ns0:c r="AE69" s="28" t="n"/>
      <ns0:c r="AF69" s="28" t="n"/>
      <ns0:c r="AG69" s="28" t="n"/>
      <ns0:c r="AH69" s="28" t="n"/>
      <ns0:c r="AI69" s="28" t="n"/>
      <ns0:c r="AJ69" s="28" t="n"/>
      <ns0:c r="AK69" s="28" t="n"/>
      <ns0:c r="AL69" s="28" t="n"/>
      <ns0:c r="AM69" s="28" t="n"/>
      <ns0:c r="AN69" s="28" t="n"/>
      <ns0:c r="AO69" s="28" t="n"/>
      <ns0:c r="AP69" s="28" t="n"/>
      <ns0:c r="AQ69" s="28" t="n"/>
      <ns0:c r="AR69" s="28" t="n"/>
      <ns0:c r="AS69" s="28" t="n"/>
      <ns0:c r="AT69" s="28" t="n"/>
      <ns0:c r="AU69" s="28" t="n"/>
      <ns0:c r="AV69" s="28" t="n"/>
      <ns0:c r="AW69" s="28" t="n"/>
    </ns0:row>
    <ns0:row r="70" ht="31.5" customHeight="1">
      <ns0:c r="B70" s="148" t="n"/>
      <ns0:c r="C70" s="48" t="n"/>
      <ns0:c r="D70" s="48" t="n"/>
      <ns0:c r="E70" s="171" t="inlineStr">
        <ns0:is>
          <ns0:t xml:space="preserve">Normal </ns0:t>
        </ns0:is>
      </ns0:c>
      <ns0:c r="F70" s="45" t="n"/>
      <ns0:c r="G70" s="158" t="n">
        <ns0:v>250</ns0:v>
      </ns0:c>
      <ns0:c r="H70" s="158" t="n">
        <ns0:v>248</ns0:v>
      </ns0:c>
      <ns0:c r="I70" s="158" t="n">
        <ns0:v>1</ns0:v>
      </ns0:c>
      <ns0:c r="J70" s="158" t="n">
        <ns0:v>1</ns0:v>
      </ns0:c>
      <ns0:c r="K70" s="158" t="n">
        <ns0:v>0</ns0:v>
      </ns0:c>
      <ns0:c r="L70" s="158" t="n">
        <ns0:v>0</ns0:v>
      </ns0:c>
      <ns0:c r="M70" s="158" t="n">
        <ns0:v>2</ns0:v>
      </ns0:c>
      <ns0:c r="N70" s="164" t="n">
        <ns0:v>0.008</ns0:v>
      </ns0:c>
      <ns0:c r="O70" s="154" t="n"/>
      <ns0:c r="P70" s="28" t="n"/>
      <ns0:c r="Z70" s="28" t="n"/>
      <ns0:c r="AA70" s="28" t="n"/>
      <ns0:c r="AB70" s="28" t="n"/>
      <ns0:c r="AC70" s="28" t="n"/>
      <ns0:c r="AD70" s="28" t="n"/>
      <ns0:c r="AE70" s="28" t="n"/>
      <ns0:c r="AF70" s="28" t="n"/>
      <ns0:c r="AG70" s="28" t="n"/>
      <ns0:c r="AH70" s="28" t="n"/>
      <ns0:c r="AI70" s="28" t="n"/>
      <ns0:c r="AJ70" s="28" t="n"/>
      <ns0:c r="AK70" s="28" t="n"/>
      <ns0:c r="AL70" s="28" t="n"/>
      <ns0:c r="AM70" s="28" t="n"/>
      <ns0:c r="AN70" s="28" t="n"/>
      <ns0:c r="AO70" s="28" t="n"/>
      <ns0:c r="AP70" s="28" t="n"/>
      <ns0:c r="AQ70" s="28" t="n"/>
      <ns0:c r="AR70" s="28" t="n"/>
      <ns0:c r="AS70" s="28" t="n"/>
      <ns0:c r="AT70" s="28" t="n"/>
      <ns0:c r="AU70" s="28" t="n"/>
      <ns0:c r="AV70" s="28" t="n"/>
      <ns0:c r="AW70" s="28" t="n"/>
    </ns0:row>
    <ns0:row r="71" ht="31.5" customHeight="1">
      <ns0:c r="B71" s="148" t="n"/>
      <ns0:c r="C71" s="49" t="n"/>
      <ns0:c r="D71" s="49" t="n"/>
      <ns0:c r="E71" s="13" t="n"/>
      <ns0:c r="F71" s="15" t="n"/>
      <ns0:c r="G71" s="49" t="n"/>
      <ns0:c r="H71" s="49" t="n"/>
      <ns0:c r="I71" s="165" t="n">
        <ns0:v>0.004</ns0:v>
      </ns0:c>
      <ns0:c r="J71" s="165" t="n">
        <ns0:v>0.004</ns0:v>
      </ns0:c>
      <ns0:c r="K71" s="165" t="n">
        <ns0:v>0</ns0:v>
      </ns0:c>
      <ns0:c r="L71" s="165" t="n">
        <ns0:v>0</ns0:v>
      </ns0:c>
      <ns0:c r="M71" s="49" t="n"/>
      <ns0:c r="N71" s="49" t="n"/>
      <ns0:c r="O71" s="154" t="n"/>
      <ns0:c r="P71" s="28" t="n"/>
      <ns0:c r="Z71" s="28" t="n"/>
      <ns0:c r="AA71" s="28" t="n"/>
      <ns0:c r="AB71" s="28" t="n"/>
      <ns0:c r="AC71" s="28" t="n"/>
      <ns0:c r="AD71" s="28" t="n"/>
      <ns0:c r="AE71" s="28" t="n"/>
      <ns0:c r="AF71" s="28" t="n"/>
      <ns0:c r="AG71" s="28" t="n"/>
      <ns0:c r="AH71" s="28" t="n"/>
      <ns0:c r="AI71" s="28" t="n"/>
      <ns0:c r="AJ71" s="28" t="n"/>
      <ns0:c r="AK71" s="28" t="n"/>
      <ns0:c r="AL71" s="28" t="n"/>
      <ns0:c r="AM71" s="28" t="n"/>
      <ns0:c r="AN71" s="28" t="n"/>
      <ns0:c r="AO71" s="28" t="n"/>
      <ns0:c r="AP71" s="28" t="n"/>
      <ns0:c r="AQ71" s="28" t="n"/>
      <ns0:c r="AR71" s="28" t="n"/>
      <ns0:c r="AS71" s="28" t="n"/>
      <ns0:c r="AT71" s="28" t="n"/>
      <ns0:c r="AU71" s="28" t="n"/>
      <ns0:c r="AV71" s="28" t="n"/>
      <ns0:c r="AW71" s="28" t="n"/>
    </ns0:row>
    <ns0:row r="72" ht="39.75" customHeight="1">
      <ns0:c r="B72" s="148" t="n"/>
      <ns0:c r="C72" s="183" t="inlineStr">
        <ns0:is>
          <ns0:t>Total</ns0:t>
        </ns0:is>
      </ns0:c>
      <ns0:c r="D72" s="45" t="n"/>
      <ns0:c r="E72" s="166" t="inlineStr">
        <ns0:is>
          <ns0:t>SPK repair NG hearing + voltage normal C2+E2</ns0:t>
        </ns0:is>
      </ns0:c>
      <ns0:c r="F72" s="45" t="n"/>
      <ns0:c r="G72" s="160" t="n">
        <ns0:v>112</ns0:v>
      </ns0:c>
      <ns0:c r="H72" s="160" t="n">
        <ns0:v>100</ns0:v>
      </ns0:c>
      <ns0:c r="I72" s="160" t="n">
        <ns0:v>11</ns0:v>
      </ns0:c>
      <ns0:c r="J72" s="160" t="n">
        <ns0:v>1</ns0:v>
      </ns0:c>
      <ns0:c r="K72" s="160" t="n">
        <ns0:v>0</ns0:v>
      </ns0:c>
      <ns0:c r="L72" s="160" t="n">
        <ns0:v>0</ns0:v>
      </ns0:c>
      <ns0:c r="M72" s="160" t="n">
        <ns0:v>12</ns0:v>
      </ns0:c>
      <ns0:c r="N72" s="161" t="n">
        <ns0:v>0.1071428571428571</ns0:v>
      </ns0:c>
      <ns0:c r="O72" s="154" t="n"/>
      <ns0:c r="P72" s="28" t="n"/>
      <ns0:c r="Z72" s="28" t="n"/>
      <ns0:c r="AA72" s="28" t="n"/>
      <ns0:c r="AB72" s="28" t="n"/>
      <ns0:c r="AC72" s="28" t="n"/>
      <ns0:c r="AD72" s="28" t="n"/>
      <ns0:c r="AE72" s="28" t="n"/>
      <ns0:c r="AF72" s="28" t="n"/>
      <ns0:c r="AG72" s="28" t="n"/>
      <ns0:c r="AH72" s="28" t="n"/>
      <ns0:c r="AI72" s="28" t="n"/>
      <ns0:c r="AJ72" s="28" t="n"/>
      <ns0:c r="AK72" s="28" t="n"/>
      <ns0:c r="AL72" s="28" t="n"/>
      <ns0:c r="AM72" s="28" t="n"/>
      <ns0:c r="AN72" s="28" t="n"/>
      <ns0:c r="AO72" s="28" t="n"/>
      <ns0:c r="AP72" s="28" t="n"/>
      <ns0:c r="AQ72" s="28" t="n"/>
      <ns0:c r="AR72" s="28" t="n"/>
      <ns0:c r="AS72" s="28" t="n"/>
      <ns0:c r="AT72" s="28" t="n"/>
      <ns0:c r="AU72" s="28" t="n"/>
      <ns0:c r="AV72" s="28" t="n"/>
      <ns0:c r="AW72" s="28" t="n"/>
    </ns0:row>
    <ns0:row r="73" ht="39.75" customHeight="1">
      <ns0:c r="B73" s="148" t="n"/>
      <ns0:c r="C73" s="8" t="n"/>
      <ns0:c r="D73" s="9" t="n"/>
      <ns0:c r="E73" s="8" t="n"/>
      <ns0:c r="F73" s="9" t="n"/>
      <ns0:c r="G73" s="49" t="n"/>
      <ns0:c r="H73" s="49" t="n"/>
      <ns0:c r="I73" s="162" t="n">
        <ns0:v>0.09821428571428571</ns0:v>
      </ns0:c>
      <ns0:c r="J73" s="162" t="n">
        <ns0:v>0.008928571428571428</ns0:v>
      </ns0:c>
      <ns0:c r="K73" s="162" t="n">
        <ns0:v>0</ns0:v>
      </ns0:c>
      <ns0:c r="L73" s="162" t="n">
        <ns0:v>0</ns0:v>
      </ns0:c>
      <ns0:c r="M73" s="49" t="n"/>
      <ns0:c r="N73" s="49" t="n"/>
      <ns0:c r="O73" s="154" t="n"/>
      <ns0:c r="P73" s="28" t="n"/>
      <ns0:c r="Z73" s="28" t="n"/>
      <ns0:c r="AA73" s="28" t="n"/>
      <ns0:c r="AB73" s="28" t="n"/>
      <ns0:c r="AC73" s="28" t="n"/>
      <ns0:c r="AD73" s="28" t="n"/>
      <ns0:c r="AE73" s="28" t="n"/>
      <ns0:c r="AF73" s="28" t="n"/>
      <ns0:c r="AG73" s="28" t="n"/>
      <ns0:c r="AH73" s="28" t="n"/>
      <ns0:c r="AI73" s="28" t="n"/>
      <ns0:c r="AJ73" s="28" t="n"/>
      <ns0:c r="AK73" s="28" t="n"/>
      <ns0:c r="AL73" s="28" t="n"/>
      <ns0:c r="AM73" s="28" t="n"/>
      <ns0:c r="AN73" s="28" t="n"/>
      <ns0:c r="AO73" s="28" t="n"/>
      <ns0:c r="AP73" s="28" t="n"/>
      <ns0:c r="AQ73" s="28" t="n"/>
      <ns0:c r="AR73" s="28" t="n"/>
      <ns0:c r="AS73" s="28" t="n"/>
      <ns0:c r="AT73" s="28" t="n"/>
      <ns0:c r="AU73" s="28" t="n"/>
      <ns0:c r="AV73" s="28" t="n"/>
      <ns0:c r="AW73" s="28" t="n"/>
    </ns0:row>
    <ns0:row r="74" ht="39.75" customHeight="1">
      <ns0:c r="B74" s="148" t="n"/>
      <ns0:c r="C74" s="8" t="n"/>
      <ns0:c r="D74" s="9" t="n"/>
      <ns0:c r="E74" s="172" t="n"/>
      <ns0:c r="F74" s="45" t="n"/>
      <ns0:c r="G74" s="173" t="n">
        <ns0:v>21</ns0:v>
      </ns0:c>
      <ns0:c r="H74" s="173" t="n">
        <ns0:v>16</ns0:v>
      </ns0:c>
      <ns0:c r="I74" s="173" t="n">
        <ns0:v>5</ns0:v>
      </ns0:c>
      <ns0:c r="J74" s="173" t="n">
        <ns0:v>0</ns0:v>
      </ns0:c>
      <ns0:c r="K74" s="173" t="n">
        <ns0:v>0</ns0:v>
      </ns0:c>
      <ns0:c r="L74" s="173" t="n">
        <ns0:v>0</ns0:v>
      </ns0:c>
      <ns0:c r="M74" s="173" t="n">
        <ns0:v>5</ns0:v>
      </ns0:c>
      <ns0:c r="N74" s="174" t="n">
        <ns0:v>0.2380952380952381</ns0:v>
      </ns0:c>
      <ns0:c r="O74" s="154" t="n"/>
      <ns0:c r="P74" s="28" t="n"/>
      <ns0:c r="Z74" s="28" t="n"/>
      <ns0:c r="AA74" s="28" t="n"/>
      <ns0:c r="AB74" s="28" t="n"/>
      <ns0:c r="AC74" s="28" t="n"/>
      <ns0:c r="AD74" s="28" t="n"/>
      <ns0:c r="AE74" s="28" t="n"/>
      <ns0:c r="AF74" s="28" t="n"/>
      <ns0:c r="AG74" s="28" t="n"/>
      <ns0:c r="AH74" s="28" t="n"/>
      <ns0:c r="AI74" s="28" t="n"/>
      <ns0:c r="AJ74" s="28" t="n"/>
      <ns0:c r="AK74" s="28" t="n"/>
      <ns0:c r="AL74" s="28" t="n"/>
      <ns0:c r="AM74" s="28" t="n"/>
      <ns0:c r="AN74" s="28" t="n"/>
      <ns0:c r="AO74" s="28" t="n"/>
      <ns0:c r="AP74" s="28" t="n"/>
      <ns0:c r="AQ74" s="28" t="n"/>
      <ns0:c r="AR74" s="28" t="n"/>
      <ns0:c r="AS74" s="28" t="n"/>
      <ns0:c r="AT74" s="28" t="n"/>
      <ns0:c r="AU74" s="28" t="n"/>
      <ns0:c r="AV74" s="28" t="n"/>
      <ns0:c r="AW74" s="28" t="n"/>
    </ns0:row>
    <ns0:row r="75" ht="39.75" customHeight="1">
      <ns0:c r="B75" s="148" t="n"/>
      <ns0:c r="C75" s="8" t="n"/>
      <ns0:c r="D75" s="9" t="n"/>
      <ns0:c r="E75" s="8" t="n"/>
      <ns0:c r="F75" s="9" t="n"/>
      <ns0:c r="G75" s="49" t="n"/>
      <ns0:c r="H75" s="49" t="n"/>
      <ns0:c r="I75" s="175" t="n">
        <ns0:v>0.2380952380952381</ns0:v>
      </ns0:c>
      <ns0:c r="J75" s="175" t="n">
        <ns0:v>0</ns0:v>
      </ns0:c>
      <ns0:c r="K75" s="175" t="n">
        <ns0:v>0</ns0:v>
      </ns0:c>
      <ns0:c r="L75" s="175" t="n">
        <ns0:v>0</ns0:v>
      </ns0:c>
      <ns0:c r="M75" s="49" t="n"/>
      <ns0:c r="N75" s="49" t="n"/>
      <ns0:c r="O75" s="154" t="n"/>
      <ns0:c r="P75" s="28" t="n"/>
      <ns0:c r="Z75" s="28" t="n"/>
      <ns0:c r="AA75" s="28" t="n"/>
      <ns0:c r="AB75" s="28" t="n"/>
      <ns0:c r="AC75" s="28" t="n"/>
      <ns0:c r="AD75" s="28" t="n"/>
      <ns0:c r="AE75" s="28" t="n"/>
      <ns0:c r="AF75" s="28" t="n"/>
      <ns0:c r="AG75" s="28" t="n"/>
      <ns0:c r="AH75" s="28" t="n"/>
      <ns0:c r="AI75" s="28" t="n"/>
      <ns0:c r="AJ75" s="28" t="n"/>
      <ns0:c r="AK75" s="28" t="n"/>
      <ns0:c r="AL75" s="28" t="n"/>
      <ns0:c r="AM75" s="28" t="n"/>
      <ns0:c r="AN75" s="28" t="n"/>
      <ns0:c r="AO75" s="28" t="n"/>
      <ns0:c r="AP75" s="28" t="n"/>
      <ns0:c r="AQ75" s="28" t="n"/>
      <ns0:c r="AR75" s="28" t="n"/>
      <ns0:c r="AS75" s="28" t="n"/>
      <ns0:c r="AT75" s="28" t="n"/>
      <ns0:c r="AU75" s="28" t="n"/>
      <ns0:c r="AV75" s="28" t="n"/>
      <ns0:c r="AW75" s="28" t="n"/>
    </ns0:row>
    <ns0:row r="76" ht="39.75" customHeight="1">
      <ns0:c r="B76" s="148" t="n"/>
      <ns0:c r="C76" s="8" t="n"/>
      <ns0:c r="D76" s="9" t="n"/>
      <ns0:c r="E76" s="167" t="n"/>
      <ns0:c r="F76" s="45" t="n"/>
      <ns0:c r="G76" s="168" t="n">
        <ns0:v>770</ns0:v>
      </ns0:c>
      <ns0:c r="H76" s="168" t="n">
        <ns0:v>747</ns0:v>
      </ns0:c>
      <ns0:c r="I76" s="168" t="n">
        <ns0:v>16</ns0:v>
      </ns0:c>
      <ns0:c r="J76" s="168" t="n">
        <ns0:v>4</ns0:v>
      </ns0:c>
      <ns0:c r="K76" s="168" t="n">
        <ns0:v>3</ns0:v>
      </ns0:c>
      <ns0:c r="L76" s="168" t="n">
        <ns0:v>0</ns0:v>
      </ns0:c>
      <ns0:c r="M76" s="168" t="n">
        <ns0:v>23</ns0:v>
      </ns0:c>
      <ns0:c r="N76" s="169" t="n">
        <ns0:v>0.02987012987012987</ns0:v>
      </ns0:c>
      <ns0:c r="O76" s="154" t="n"/>
      <ns0:c r="P76" s="28" t="n"/>
      <ns0:c r="Z76" s="28" t="n"/>
      <ns0:c r="AA76" s="28" t="n"/>
      <ns0:c r="AB76" s="28" t="n"/>
      <ns0:c r="AC76" s="28" t="n"/>
      <ns0:c r="AD76" s="28" t="n"/>
      <ns0:c r="AE76" s="28" t="n"/>
      <ns0:c r="AF76" s="28" t="n"/>
      <ns0:c r="AG76" s="28" t="n"/>
      <ns0:c r="AH76" s="28" t="n"/>
      <ns0:c r="AI76" s="28" t="n"/>
      <ns0:c r="AJ76" s="28" t="n"/>
      <ns0:c r="AK76" s="28" t="n"/>
      <ns0:c r="AL76" s="28" t="n"/>
      <ns0:c r="AM76" s="28" t="n"/>
      <ns0:c r="AN76" s="28" t="n"/>
      <ns0:c r="AO76" s="28" t="n"/>
      <ns0:c r="AP76" s="28" t="n"/>
      <ns0:c r="AQ76" s="28" t="n"/>
      <ns0:c r="AR76" s="28" t="n"/>
      <ns0:c r="AS76" s="28" t="n"/>
      <ns0:c r="AT76" s="28" t="n"/>
      <ns0:c r="AU76" s="28" t="n"/>
      <ns0:c r="AV76" s="28" t="n"/>
      <ns0:c r="AW76" s="28" t="n"/>
    </ns0:row>
    <ns0:row r="77" ht="39.75" customHeight="1">
      <ns0:c r="B77" s="148" t="n"/>
      <ns0:c r="C77" s="8" t="n"/>
      <ns0:c r="D77" s="9" t="n"/>
      <ns0:c r="E77" s="8" t="n"/>
      <ns0:c r="F77" s="9" t="n"/>
      <ns0:c r="G77" s="49" t="n"/>
      <ns0:c r="H77" s="49" t="n"/>
      <ns0:c r="I77" s="170" t="n">
        <ns0:v>0.02077922077922078</ns0:v>
      </ns0:c>
      <ns0:c r="J77" s="170" t="n">
        <ns0:v>0.005194805194805195</ns0:v>
      </ns0:c>
      <ns0:c r="K77" s="170" t="n">
        <ns0:v>0.003896103896103896</ns0:v>
      </ns0:c>
      <ns0:c r="L77" s="170" t="n">
        <ns0:v>0</ns0:v>
      </ns0:c>
      <ns0:c r="M77" s="49" t="n"/>
      <ns0:c r="N77" s="49" t="n"/>
      <ns0:c r="O77" s="154" t="n"/>
      <ns0:c r="P77" s="28" t="n"/>
      <ns0:c r="Z77" s="28" t="n"/>
      <ns0:c r="AA77" s="28" t="n"/>
      <ns0:c r="AB77" s="28" t="n"/>
      <ns0:c r="AC77" s="28" t="n"/>
      <ns0:c r="AD77" s="28" t="n"/>
      <ns0:c r="AE77" s="28" t="n"/>
      <ns0:c r="AF77" s="28" t="n"/>
      <ns0:c r="AG77" s="28" t="n"/>
      <ns0:c r="AH77" s="28" t="n"/>
      <ns0:c r="AI77" s="28" t="n"/>
      <ns0:c r="AJ77" s="28" t="n"/>
      <ns0:c r="AK77" s="28" t="n"/>
      <ns0:c r="AL77" s="28" t="n"/>
      <ns0:c r="AM77" s="28" t="n"/>
      <ns0:c r="AN77" s="28" t="n"/>
      <ns0:c r="AO77" s="28" t="n"/>
      <ns0:c r="AP77" s="28" t="n"/>
      <ns0:c r="AQ77" s="28" t="n"/>
      <ns0:c r="AR77" s="28" t="n"/>
      <ns0:c r="AS77" s="28" t="n"/>
      <ns0:c r="AT77" s="28" t="n"/>
      <ns0:c r="AU77" s="28" t="n"/>
      <ns0:c r="AV77" s="28" t="n"/>
      <ns0:c r="AW77" s="28" t="n"/>
    </ns0:row>
    <ns0:row r="78" ht="39.75" customHeight="1">
      <ns0:c r="B78" s="148" t="n"/>
      <ns0:c r="C78" s="8" t="n"/>
      <ns0:c r="D78" s="9" t="n"/>
      <ns0:c r="E78" s="179" t="n"/>
      <ns0:c r="F78" s="45" t="n"/>
      <ns0:c r="G78" s="180" t="n">
        <ns0:v>683</ns0:v>
      </ns0:c>
      <ns0:c r="H78" s="180" t="n">
        <ns0:v>652</ns0:v>
      </ns0:c>
      <ns0:c r="I78" s="180" t="n">
        <ns0:v>19</ns0:v>
      </ns0:c>
      <ns0:c r="J78" s="180" t="n">
        <ns0:v>6</ns0:v>
      </ns0:c>
      <ns0:c r="K78" s="180" t="n">
        <ns0:v>6</ns0:v>
      </ns0:c>
      <ns0:c r="L78" s="180" t="n">
        <ns0:v>0</ns0:v>
      </ns0:c>
      <ns0:c r="M78" s="180" t="n">
        <ns0:v>31</ns0:v>
      </ns0:c>
      <ns0:c r="N78" s="181" t="n">
        <ns0:v>0.04538799414348463</ns0:v>
      </ns0:c>
      <ns0:c r="O78" s="154" t="n"/>
      <ns0:c r="P78" s="28" t="n"/>
      <ns0:c r="Z78" s="28" t="n"/>
      <ns0:c r="AA78" s="28" t="n"/>
      <ns0:c r="AB78" s="28" t="n"/>
      <ns0:c r="AC78" s="28" t="n"/>
      <ns0:c r="AD78" s="28" t="n"/>
      <ns0:c r="AE78" s="28" t="n"/>
      <ns0:c r="AF78" s="28" t="n"/>
      <ns0:c r="AG78" s="28" t="n"/>
      <ns0:c r="AH78" s="28" t="n"/>
      <ns0:c r="AI78" s="28" t="n"/>
      <ns0:c r="AJ78" s="28" t="n"/>
      <ns0:c r="AK78" s="28" t="n"/>
      <ns0:c r="AL78" s="28" t="n"/>
      <ns0:c r="AM78" s="28" t="n"/>
      <ns0:c r="AN78" s="28" t="n"/>
      <ns0:c r="AO78" s="28" t="n"/>
      <ns0:c r="AP78" s="28" t="n"/>
      <ns0:c r="AQ78" s="28" t="n"/>
      <ns0:c r="AR78" s="28" t="n"/>
      <ns0:c r="AS78" s="28" t="n"/>
      <ns0:c r="AT78" s="28" t="n"/>
      <ns0:c r="AU78" s="28" t="n"/>
      <ns0:c r="AV78" s="28" t="n"/>
      <ns0:c r="AW78" s="28" t="n"/>
    </ns0:row>
    <ns0:row r="79" ht="39.75" customHeight="1">
      <ns0:c r="B79" s="148" t="n"/>
      <ns0:c r="C79" s="8" t="n"/>
      <ns0:c r="D79" s="9" t="n"/>
      <ns0:c r="E79" s="8" t="n"/>
      <ns0:c r="F79" s="9" t="n"/>
      <ns0:c r="G79" s="49" t="n"/>
      <ns0:c r="H79" s="49" t="n"/>
      <ns0:c r="I79" s="182" t="n">
        <ns0:v>0.02781844802342606</ns0:v>
      </ns0:c>
      <ns0:c r="J79" s="182" t="n">
        <ns0:v>0.008784773060029283</ns0:v>
      </ns0:c>
      <ns0:c r="K79" s="182" t="n">
        <ns0:v>0.008784773060029283</ns0:v>
      </ns0:c>
      <ns0:c r="L79" s="182" t="n">
        <ns0:v>0</ns0:v>
      </ns0:c>
      <ns0:c r="M79" s="49" t="n"/>
      <ns0:c r="N79" s="49" t="n"/>
      <ns0:c r="O79" s="154" t="n"/>
      <ns0:c r="P79" s="28" t="n"/>
      <ns0:c r="Z79" s="28" t="n"/>
      <ns0:c r="AA79" s="28" t="n"/>
      <ns0:c r="AB79" s="28" t="n"/>
      <ns0:c r="AC79" s="28" t="n"/>
      <ns0:c r="AD79" s="28" t="n"/>
      <ns0:c r="AE79" s="28" t="n"/>
      <ns0:c r="AF79" s="28" t="n"/>
      <ns0:c r="AG79" s="28" t="n"/>
      <ns0:c r="AH79" s="28" t="n"/>
      <ns0:c r="AI79" s="28" t="n"/>
      <ns0:c r="AJ79" s="28" t="n"/>
      <ns0:c r="AK79" s="28" t="n"/>
      <ns0:c r="AL79" s="28" t="n"/>
      <ns0:c r="AM79" s="28" t="n"/>
      <ns0:c r="AN79" s="28" t="n"/>
      <ns0:c r="AO79" s="28" t="n"/>
      <ns0:c r="AP79" s="28" t="n"/>
      <ns0:c r="AQ79" s="28" t="n"/>
      <ns0:c r="AR79" s="28" t="n"/>
      <ns0:c r="AS79" s="28" t="n"/>
      <ns0:c r="AT79" s="28" t="n"/>
      <ns0:c r="AU79" s="28" t="n"/>
      <ns0:c r="AV79" s="28" t="n"/>
      <ns0:c r="AW79" s="28" t="n"/>
    </ns0:row>
    <ns0:row r="80" ht="39.75" customHeight="1">
      <ns0:c r="B80" s="148" t="n"/>
      <ns0:c r="C80" s="8" t="n"/>
      <ns0:c r="D80" s="9" t="n"/>
      <ns0:c r="E80" s="171" t="inlineStr">
        <ns0:is>
          <ns0:t xml:space="preserve">Normal </ns0:t>
        </ns0:is>
      </ns0:c>
      <ns0:c r="F80" s="45" t="n"/>
      <ns0:c r="G80" s="158" t="n">
        <ns0:v>1957</ns0:v>
      </ns0:c>
      <ns0:c r="H80" s="158" t="n">
        <ns0:v>1940</ns0:v>
      </ns0:c>
      <ns0:c r="I80" s="158" t="n">
        <ns0:v>7</ns0:v>
      </ns0:c>
      <ns0:c r="J80" s="158" t="n">
        <ns0:v>9</ns0:v>
      </ns0:c>
      <ns0:c r="K80" s="158" t="n">
        <ns0:v>1</ns0:v>
      </ns0:c>
      <ns0:c r="L80" s="158" t="n">
        <ns0:v>0</ns0:v>
      </ns0:c>
      <ns0:c r="M80" s="158" t="n">
        <ns0:v>17</ns0:v>
      </ns0:c>
      <ns0:c r="N80" s="164" t="n">
        <ns0:v>0.008686765457332652</ns0:v>
      </ns0:c>
      <ns0:c r="O80" s="154" t="n"/>
      <ns0:c r="P80" s="28" t="n"/>
      <ns0:c r="Z80" s="28" t="n"/>
      <ns0:c r="AA80" s="28" t="n"/>
      <ns0:c r="AB80" s="28" t="n"/>
      <ns0:c r="AC80" s="28" t="n"/>
      <ns0:c r="AD80" s="28" t="n"/>
      <ns0:c r="AE80" s="28" t="n"/>
      <ns0:c r="AF80" s="28" t="n"/>
      <ns0:c r="AG80" s="28" t="n"/>
      <ns0:c r="AH80" s="28" t="n"/>
      <ns0:c r="AI80" s="28" t="n"/>
      <ns0:c r="AJ80" s="28" t="n"/>
      <ns0:c r="AK80" s="28" t="n"/>
      <ns0:c r="AL80" s="28" t="n"/>
      <ns0:c r="AM80" s="28" t="n"/>
      <ns0:c r="AN80" s="28" t="n"/>
      <ns0:c r="AO80" s="28" t="n"/>
      <ns0:c r="AP80" s="28" t="n"/>
      <ns0:c r="AQ80" s="28" t="n"/>
      <ns0:c r="AR80" s="28" t="n"/>
      <ns0:c r="AS80" s="28" t="n"/>
      <ns0:c r="AT80" s="28" t="n"/>
      <ns0:c r="AU80" s="28" t="n"/>
      <ns0:c r="AV80" s="28" t="n"/>
      <ns0:c r="AW80" s="28" t="n"/>
    </ns0:row>
    <ns0:row r="81" ht="39.75" customHeight="1">
      <ns0:c r="B81" s="148" t="n"/>
      <ns0:c r="C81" s="13" t="n"/>
      <ns0:c r="D81" s="15" t="n"/>
      <ns0:c r="E81" s="13" t="n"/>
      <ns0:c r="F81" s="15" t="n"/>
      <ns0:c r="G81" s="49" t="n"/>
      <ns0:c r="H81" s="49" t="n"/>
      <ns0:c r="I81" s="165" t="n">
        <ns0:v>0.003576903423607562</ns0:v>
      </ns0:c>
      <ns0:c r="J81" s="165" t="n">
        <ns0:v>0.004598875830352581</ns0:v>
      </ns0:c>
      <ns0:c r="K81" s="165" t="n">
        <ns0:v>0.000510986203372509</ns0:v>
      </ns0:c>
      <ns0:c r="L81" s="165" t="n">
        <ns0:v>0</ns0:v>
      </ns0:c>
      <ns0:c r="M81" s="49" t="n"/>
      <ns0:c r="N81" s="49" t="n"/>
      <ns0:c r="O81" s="154" t="n"/>
      <ns0:c r="P81" s="28" t="n"/>
      <ns0:c r="Z81" s="28" t="n"/>
      <ns0:c r="AA81" s="28" t="n"/>
      <ns0:c r="AB81" s="28" t="n"/>
      <ns0:c r="AC81" s="28" t="n"/>
      <ns0:c r="AD81" s="28" t="n"/>
      <ns0:c r="AE81" s="28" t="n"/>
      <ns0:c r="AF81" s="28" t="n"/>
      <ns0:c r="AG81" s="28" t="n"/>
      <ns0:c r="AH81" s="28" t="n"/>
      <ns0:c r="AI81" s="28" t="n"/>
      <ns0:c r="AJ81" s="28" t="n"/>
      <ns0:c r="AK81" s="28" t="n"/>
      <ns0:c r="AL81" s="28" t="n"/>
      <ns0:c r="AM81" s="28" t="n"/>
      <ns0:c r="AN81" s="28" t="n"/>
      <ns0:c r="AO81" s="28" t="n"/>
      <ns0:c r="AP81" s="28" t="n"/>
      <ns0:c r="AQ81" s="28" t="n"/>
      <ns0:c r="AR81" s="28" t="n"/>
      <ns0:c r="AS81" s="28" t="n"/>
      <ns0:c r="AT81" s="28" t="n"/>
      <ns0:c r="AU81" s="28" t="n"/>
      <ns0:c r="AV81" s="28" t="n"/>
      <ns0:c r="AW81" s="28" t="n"/>
    </ns0:row>
    <ns0:row r="82" ht="39.75" customHeight="1">
      <ns0:c r="B82" s="148" t="n"/>
      <ns0:c r="C82" s="184" t="n"/>
      <ns0:c r="D82" s="185" t="n"/>
      <ns0:c r="E82" s="186" t="n"/>
      <ns0:c r="F82" s="186" t="n"/>
      <ns0:c r="G82" s="185" t="n"/>
      <ns0:c r="H82" s="185" t="n"/>
      <ns0:c r="I82" s="187" t="n"/>
      <ns0:c r="J82" s="187" t="n"/>
      <ns0:c r="K82" s="187" t="n"/>
      <ns0:c r="L82" s="187" t="n"/>
      <ns0:c r="M82" s="185" t="n"/>
      <ns0:c r="N82" s="188" t="n"/>
      <ns0:c r="O82" s="154" t="n"/>
      <ns0:c r="P82" s="28" t="n"/>
      <ns0:c r="Z82" s="28" t="n"/>
      <ns0:c r="AA82" s="28" t="n"/>
      <ns0:c r="AB82" s="28" t="n"/>
      <ns0:c r="AC82" s="28" t="n"/>
      <ns0:c r="AD82" s="28" t="n"/>
      <ns0:c r="AE82" s="28" t="n"/>
      <ns0:c r="AF82" s="28" t="n"/>
      <ns0:c r="AG82" s="28" t="n"/>
      <ns0:c r="AH82" s="28" t="n"/>
      <ns0:c r="AI82" s="28" t="n"/>
      <ns0:c r="AJ82" s="28" t="n"/>
      <ns0:c r="AK82" s="28" t="n"/>
      <ns0:c r="AL82" s="28" t="n"/>
      <ns0:c r="AM82" s="28" t="n"/>
      <ns0:c r="AN82" s="28" t="n"/>
      <ns0:c r="AO82" s="28" t="n"/>
      <ns0:c r="AP82" s="28" t="n"/>
      <ns0:c r="AQ82" s="28" t="n"/>
      <ns0:c r="AR82" s="28" t="n"/>
      <ns0:c r="AS82" s="28" t="n"/>
      <ns0:c r="AT82" s="28" t="n"/>
      <ns0:c r="AU82" s="28" t="n"/>
      <ns0:c r="AV82" s="28" t="n"/>
      <ns0:c r="AW82" s="28" t="n"/>
    </ns0:row>
    <ns0:row r="83" ht="39.75" customHeight="1">
      <ns0:c r="B83" s="189" t="inlineStr">
        <ns0:is>
          <ns0:t>IV. Decision</ns0:t>
        </ns0:is>
      </ns0:c>
      <ns0:c r="C83" s="190" t="n"/>
      <ns0:c r="D83" s="190" t="n"/>
      <ns0:c r="E83" s="190" t="n"/>
      <ns0:c r="F83" s="190" t="n"/>
      <ns0:c r="G83" s="190" t="n"/>
      <ns0:c r="H83" s="190" t="n"/>
      <ns0:c r="I83" s="190" t="n"/>
      <ns0:c r="J83" s="190" t="n"/>
      <ns0:c r="K83" s="190" t="n"/>
      <ns0:c r="L83" s="190" t="n"/>
      <ns0:c r="M83" s="190" t="n"/>
      <ns0:c r="N83" s="190" t="n"/>
      <ns0:c r="O83" s="191" t="n"/>
      <ns0:c r="P83" s="28" t="n"/>
      <ns0:c r="Q83" s="28" t="n"/>
      <ns0:c r="R83" s="28" t="n"/>
      <ns0:c r="S83" s="28" t="n"/>
      <ns0:c r="T83" s="28" t="n"/>
      <ns0:c r="U83" s="28" t="n"/>
      <ns0:c r="V83" s="28" t="n"/>
      <ns0:c r="W83" s="28" t="n"/>
      <ns0:c r="X83" s="28" t="n"/>
      <ns0:c r="Y83" s="28" t="n"/>
      <ns0:c r="Z83" s="28" t="n"/>
      <ns0:c r="AA83" s="28" t="n"/>
      <ns0:c r="AB83" s="28" t="n"/>
      <ns0:c r="AC83" s="28" t="n"/>
      <ns0:c r="AD83" s="28" t="n"/>
      <ns0:c r="AE83" s="28" t="n"/>
      <ns0:c r="AF83" s="28" t="n"/>
      <ns0:c r="AG83" s="28" t="n"/>
      <ns0:c r="AH83" s="28" t="n"/>
      <ns0:c r="AI83" s="28" t="n"/>
      <ns0:c r="AJ83" s="28" t="n"/>
      <ns0:c r="AK83" s="28" t="n"/>
      <ns0:c r="AL83" s="28" t="n"/>
      <ns0:c r="AM83" s="28" t="n"/>
      <ns0:c r="AN83" s="28" t="n"/>
      <ns0:c r="AO83" s="28" t="n"/>
      <ns0:c r="AP83" s="28" t="n"/>
      <ns0:c r="AQ83" s="28" t="n"/>
      <ns0:c r="AR83" s="28" t="n"/>
      <ns0:c r="AS83" s="28" t="n"/>
      <ns0:c r="AT83" s="28" t="n"/>
      <ns0:c r="AU83" s="28" t="n"/>
      <ns0:c r="AV83" s="28" t="n"/>
      <ns0:c r="AW83" s="28" t="n"/>
    </ns0:row>
    <ns0:row r="84" ht="39.75" customHeight="1">
      <ns0:c r="B84" s="192" t="n"/>
      <ns0:c r="C84" s="193" t="inlineStr">
        <ns0:is>
          <ns0:t>SPK repair NG hearing NG higher than normal line.</ns0:t>
        </ns0:is>
      </ns0:c>
      <ns0:c r="D84" s="193" t="n"/>
      <ns0:c r="E84" s="193" t="n"/>
      <ns0:c r="F84" s="193" t="n"/>
      <ns0:c r="G84" s="193" t="n"/>
      <ns0:c r="H84" s="193" t="n"/>
      <ns0:c r="I84" s="193" t="n"/>
      <ns0:c r="J84" s="193" t="n"/>
      <ns0:c r="K84" s="193" t="n"/>
      <ns0:c r="L84" s="193" t="n"/>
      <ns0:c r="M84" s="193" t="n"/>
      <ns0:c r="N84" s="193" t="n"/>
      <ns0:c r="O84" s="194" t="n"/>
      <ns0:c r="P84" s="28" t="n"/>
      <ns0:c r="Z84" s="28" t="n"/>
      <ns0:c r="AA84" s="28" t="n"/>
      <ns0:c r="AB84" s="28" t="n"/>
      <ns0:c r="AC84" s="28" t="n"/>
      <ns0:c r="AD84" s="28" t="n"/>
      <ns0:c r="AE84" s="28" t="n"/>
      <ns0:c r="AF84" s="28" t="n"/>
      <ns0:c r="AG84" s="28" t="n"/>
      <ns0:c r="AH84" s="28" t="n"/>
      <ns0:c r="AI84" s="28" t="n"/>
      <ns0:c r="AJ84" s="28" t="n"/>
      <ns0:c r="AK84" s="28" t="n"/>
      <ns0:c r="AL84" s="28" t="n"/>
      <ns0:c r="AM84" s="28" t="n"/>
      <ns0:c r="AN84" s="28" t="n"/>
      <ns0:c r="AO84" s="28" t="n"/>
      <ns0:c r="AP84" s="28" t="n"/>
      <ns0:c r="AQ84" s="28" t="n"/>
      <ns0:c r="AR84" s="28" t="n"/>
      <ns0:c r="AS84" s="28" t="n"/>
      <ns0:c r="AT84" s="28" t="n"/>
      <ns0:c r="AU84" s="28" t="n"/>
      <ns0:c r="AV84" s="28" t="n"/>
      <ns0:c r="AW84" s="28" t="n"/>
    </ns0:row>
    <ns0:row r="85" ht="40.5" customHeight="1">
      <ns0:c r="B85" s="111" t="n"/>
      <ns0:c r="C85" s="111" t="n"/>
      <ns0:c r="D85" s="111" t="n"/>
      <ns0:c r="E85" s="111" t="n"/>
      <ns0:c r="F85" s="111" t="n"/>
      <ns0:c r="G85" s="111" t="n"/>
      <ns0:c r="H85" s="111" t="n"/>
      <ns0:c r="I85" s="111" t="n"/>
      <ns0:c r="J85" s="111" t="n"/>
      <ns0:c r="K85" s="111" t="n"/>
      <ns0:c r="L85" s="111" t="n"/>
      <ns0:c r="M85" s="111" t="n"/>
      <ns0:c r="N85" s="111" t="n"/>
      <ns0:c r="O85" s="111" t="n"/>
    </ns0:row>
    <ns0:row r="86">
      <ns0:c r="N86" s="28" t="n"/>
    </ns0:row>
  </ns0:sheetData>
  <ns0:mergeCells count="189">
    <ns0:mergeCell ref="H26:H27"/>
    <ns0:mergeCell ref="I14:L14"/>
    <ns0:mergeCell ref="N22:N23"/>
    <ns0:mergeCell ref="M48:M49"/>
    <ns0:mergeCell ref="G48:G49"/>
    <ns0:mergeCell ref="M70:M71"/>
    <ns0:mergeCell ref="H50:H51"/>
    <ns0:mergeCell ref="E54:F55"/>
    <ns0:mergeCell ref="M54:M55"/>
    <ns0:mergeCell ref="E32:F33"/>
    <ns0:mergeCell ref="H34:H35"/>
    <ns0:mergeCell ref="E80:F81"/>
    <ns0:mergeCell ref="H52:H53"/>
    <ns0:mergeCell ref="N14:N15"/>
    <ns0:mergeCell ref="E16:F17"/>
    <ns0:mergeCell ref="C16:C19"/>
    <ns0:mergeCell ref="G74:G75"/>
    <ns0:mergeCell ref="H36:H37"/>
    <ns0:mergeCell ref="G68:G69"/>
    <ns0:mergeCell ref="C54:C59"/>
    <ns0:mergeCell ref="H72:H73"/>
    <ns0:mergeCell ref="E66:F67"/>
    <ns0:mergeCell ref="G18:G19"/>
    <ns0:mergeCell ref="G58:G59"/>
    <ns0:mergeCell ref="E18:F19"/>
    <ns0:mergeCell ref="N48:N49"/>
    <ns0:mergeCell ref="G76:G77"/>
    <ns0:mergeCell ref="E68:F69"/>
    <ns0:mergeCell ref="N38:N39"/>
    <ns0:mergeCell ref="G60:G61"/>
    <ns0:mergeCell ref="H28:H29"/>
    <ns0:mergeCell ref="M18:M19"/>
    <ns0:mergeCell ref="N24:N25"/>
    <ns0:mergeCell ref="E58:F59"/>
    <ns0:mergeCell ref="E52:F53"/>
    <ns0:mergeCell ref="H24:H25"/>
    <ns0:mergeCell ref="G50:G51"/>
    <ns0:mergeCell ref="C40:C49"/>
    <ns0:mergeCell ref="G44:G45"/>
    <ns0:mergeCell ref="G22:G23"/>
    <ns0:mergeCell ref="N40:N41"/>
    <ns0:mergeCell ref="H76:H77"/>
    <ns0:mergeCell ref="H48:H49"/>
    <ns0:mergeCell ref="E42:F43"/>
    <ns0:mergeCell ref="H30:H31"/>
    <ns0:mergeCell ref="E20:F21"/>
    <ns0:mergeCell ref="C60:C65"/>
    <ns0:mergeCell ref="E60:F61"/>
    <ns0:mergeCell ref="C2:M4"/>
    <ns0:mergeCell ref="D16:D71"/>
    <ns0:mergeCell ref="N80:N81"/>
    <ns0:mergeCell ref="M50:M51"/>
    <ns0:mergeCell ref="N16:N17"/>
    <ns0:mergeCell ref="E44:F45"/>
    <ns0:mergeCell ref="N76:N77"/>
    <ns0:mergeCell ref="G36:G37"/>
    <ns0:mergeCell ref="C14:C15"/>
    <ns0:mergeCell ref="H68:H69"/>
    <ns0:mergeCell ref="N26:N27"/>
    <ns0:mergeCell ref="M34:M35"/>
    <ns0:mergeCell ref="G70:G71"/>
    <ns0:mergeCell ref="E28:F29"/>
    <ns0:mergeCell ref="N66:N67"/>
    <ns0:mergeCell ref="N18:N19"/>
    <ns0:mergeCell ref="B7:O7"/>
    <ns0:mergeCell ref="N50:N51"/>
    <ns0:mergeCell ref="G78:G79"/>
    <ns0:mergeCell ref="E30:F31"/>
    <ns0:mergeCell ref="N68:N69"/>
    <ns0:mergeCell ref="E70:F71"/>
    <ns0:mergeCell ref="G62:G63"/>
    <ns0:mergeCell ref="N58:N59"/>
    <ns0:mergeCell ref="N52:N53"/>
    <ns0:mergeCell ref="C20:C25"/>
    <ns0:mergeCell ref="E72:F73"/>
    <ns0:mergeCell ref="H22:H23"/>
    <ns0:mergeCell ref="M74:M75"/>
    <ns0:mergeCell ref="N42:N43"/>
    <ns0:mergeCell ref="G64:G65"/>
    <ns0:mergeCell ref="M28:M29"/>
    <ns0:mergeCell ref="M40:M41"/>
    <ns0:mergeCell ref="E62:F63"/>
    <ns0:mergeCell ref="E56:F57"/>
    <ns0:mergeCell ref="M24:M25"/>
    <ns0:mergeCell ref="M76:M77"/>
    <ns0:mergeCell ref="H80:H81"/>
    <ns0:mergeCell ref="N44:N45"/>
    <ns0:mergeCell ref="N78:N79"/>
    <ns0:mergeCell ref="E24:F25"/>
    <ns0:mergeCell ref="M66:M67"/>
    <ns0:mergeCell ref="C72:D81"/>
    <ns0:mergeCell ref="N28:N29"/>
    <ns0:mergeCell ref="E48:F49"/>
    <ns0:mergeCell ref="H62:H63"/>
    <ns0:mergeCell ref="G26:G27"/>
    <ns0:mergeCell ref="H14:H15"/>
    <ns0:mergeCell ref="N30:N31"/>
    <ns0:mergeCell ref="N70:N71"/>
    <ns0:mergeCell ref="E34:F35"/>
    <ns0:mergeCell ref="M52:M53"/>
    <ns0:mergeCell ref="B5:O5"/>
    <ns0:mergeCell ref="C32:C39"/>
    <ns0:mergeCell ref="N54:N55"/>
    <ns0:mergeCell ref="N72:N73"/>
    <ns0:mergeCell ref="H54:H55"/>
    <ns0:mergeCell ref="E74:F75"/>
    <ns0:mergeCell ref="M20:M21"/>
    <ns0:mergeCell ref="G52:G53"/>
    <ns0:mergeCell ref="H38:H39"/>
    <ns0:mergeCell ref="N56:N57"/>
    <ns0:mergeCell ref="G42:G43"/>
    <ns0:mergeCell ref="H74:H75"/>
    <ns0:mergeCell ref="H56:H57"/>
    <ns0:mergeCell ref="E76:F77"/>
    <ns0:mergeCell ref="N46:N47"/>
    <ns0:mergeCell ref="M78:M79"/>
    <ns0:mergeCell ref="G38:G39"/>
    <ns0:mergeCell ref="H58:H59"/>
    <ns0:mergeCell ref="H40:H41"/>
    <ns0:mergeCell ref="M46:M47"/>
    <ns0:mergeCell ref="E36:F37"/>
    <ns0:mergeCell ref="M80:M81"/>
    <ns0:mergeCell ref="G28:G29"/>
    <ns0:mergeCell ref="H60:H61"/>
    <ns0:mergeCell ref="C50:C53"/>
    <ns0:mergeCell ref="G24:G25"/>
    <ns0:mergeCell ref="G80:G81"/>
    <ns0:mergeCell ref="H66:H67"/>
    <ns0:mergeCell ref="G30:G31"/>
    <ns0:mergeCell ref="M32:M33"/>
    <ns0:mergeCell ref="M14:M15"/>
    <ns0:mergeCell ref="E22:F23"/>
    <ns0:mergeCell ref="N60:N61"/>
    <ns0:mergeCell ref="H16:H17"/>
    <ns0:mergeCell ref="B2:B4"/>
    <ns0:mergeCell ref="G72:G73"/>
    <ns0:mergeCell ref="G16:G17"/>
    <ns0:mergeCell ref="D14:D15"/>
    <ns0:mergeCell ref="H18:H19"/>
    <ns0:mergeCell ref="M26:M27"/>
    <ns0:mergeCell ref="E64:F65"/>
    <ns0:mergeCell ref="G56:G57"/>
    <ns0:mergeCell ref="M38:M39"/>
    <ns0:mergeCell ref="H42:H43"/>
    <ns0:mergeCell ref="H20:H21"/>
    <ns0:mergeCell ref="H78:H79"/>
    <ns0:mergeCell ref="N36:N37"/>
    <ns0:mergeCell ref="M68:M69"/>
    <ns0:mergeCell ref="E38:F39"/>
    <ns0:mergeCell ref="N32:N33"/>
    <ns0:mergeCell ref="M58:M59"/>
    <ns0:mergeCell ref="H44:H45"/>
    <ns0:mergeCell ref="E46:F47"/>
    <ns0:mergeCell ref="G66:G67"/>
    <ns0:mergeCell ref="E40:F41"/>
    <ns0:mergeCell ref="M60:M61"/>
    <ns0:mergeCell ref="H64:H65"/>
    <ns0:mergeCell ref="N62:N63"/>
    <ns0:mergeCell ref="G34:G35"/>
    <ns0:mergeCell ref="M22:M23"/>
    <ns0:mergeCell ref="C26:C31"/>
    <ns0:mergeCell ref="B12:O12"/>
    <ns0:mergeCell ref="H70:H71"/>
    <ns0:mergeCell ref="H46:H47"/>
    <ns0:mergeCell ref="E26:F27"/>
    <ns0:mergeCell ref="N64:N65"/>
    <ns0:mergeCell ref="M16:M17"/>
    <ns0:mergeCell ref="E50:F51"/>
    <ns0:mergeCell ref="G20:G21"/>
    <ns0:mergeCell ref="G14:G15"/>
    <ns0:mergeCell ref="M36:M37"/>
    <ns0:mergeCell ref="M30:M31"/>
    <ns0:mergeCell ref="H32:H33"/>
    <ns0:mergeCell ref="N34:N35"/>
    <ns0:mergeCell ref="M42:M43"/>
    <ns0:mergeCell ref="N74:N75"/>
    <ns0:mergeCell ref="E14:F15"/>
    <ns0:mergeCell ref="M72:M73"/>
    <ns0:mergeCell ref="G54:G55"/>
    <ns0:mergeCell ref="G32:G33"/>
    <ns0:mergeCell ref="M62:M63"/>
    <ns0:mergeCell ref="C66:C71"/>
    <ns0:mergeCell ref="M44:M45"/>
    <ns0:mergeCell ref="M56:M57"/>
    <ns0:mergeCell ref="E78:F79"/>
    <ns0:mergeCell ref="N20:N21"/>
    <ns0:mergeCell ref="G46:G47"/>
    <ns0:mergeCell ref="M64:M65"/>
    <ns0:mergeCell ref="G40:G4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AG35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2" max="2"/>
    <ns0:col width="10" customWidth="1" min="6" max="6"/>
    <ns0:col width="10" customWidth="1" min="7" max="7"/>
    <ns0:col width="10" customWidth="1" min="8" max="8"/>
    <ns0:col width="10" customWidth="1" min="9" max="9"/>
    <ns0:col width="10" customWidth="1" min="10" max="10"/>
    <ns0:col width="10" customWidth="1" min="11" max="11"/>
    <ns0:col width="10" customWidth="1" min="12" max="12"/>
    <ns0:col width="10" customWidth="1" min="13" max="13"/>
    <ns0:col width="10" customWidth="1" min="14" max="14"/>
    <ns0:col width="10" customWidth="1" min="15" max="15"/>
    <ns0:col width="10" customWidth="1" min="16" max="16"/>
    <ns0:col width="10" customWidth="1" min="17" max="17"/>
    <ns0:col width="10" customWidth="1" min="18" max="18"/>
    <ns0:col width="10" customWidth="1" min="19" max="19"/>
    <ns0:col width="10" customWidth="1" min="20" max="20"/>
    <ns0:col width="10" customWidth="1" min="21" max="21"/>
    <ns0:col width="10" customWidth="1" min="22" max="22"/>
    <ns0:col width="10" customWidth="1" min="23" max="23"/>
    <ns0:col width="10" customWidth="1" min="24" max="24"/>
    <ns0:col width="10" customWidth="1" min="25" max="25"/>
    <ns0:col width="10" customWidth="1" min="26" max="26"/>
    <ns0:col width="10" customWidth="1" min="27" max="27"/>
    <ns0:col width="10" customWidth="1" min="28" max="28"/>
    <ns0:col width="10" customWidth="1" min="29" max="29"/>
  </ns0:cols>
  <ns0:sheetData>
    <ns0:row r="2" ht="26.25" customHeight="1">
      <ns0:c r="B2" s="195" t="inlineStr">
        <ns0:is>
          <ns0:t>RESULT CHECK VISION FRAME+COIL +VP+CD WHEN DECAP FRAME+YOKE</ns0:t>
        </ns0:is>
      </ns0:c>
    </ns0:row>
    <ns0:row r="3">
      <ns0:c r="B3" s="196" t="inlineStr">
        <ns0:is>
          <ns0:t>Date</ns0:t>
        </ns0:is>
      </ns0:c>
      <ns0:c r="C3" s="196" t="inlineStr">
        <ns0:is>
          <ns0:t>Line</ns0:t>
        </ns0:is>
      </ns0:c>
      <ns0:c r="D3" s="196" t="inlineStr">
        <ns0:is>
          <ns0:t>Input</ns0:t>
        </ns0:is>
      </ns0:c>
      <ns0:c r="E3" s="196" t="inlineStr">
        <ns0:is>
          <ns0:t>OK</ns0:t>
        </ns0:is>
      </ns0:c>
      <ns0:c r="F3" s="196" t="inlineStr">
        <ns0:is>
          <ns0:t>NG type</ns0:t>
        </ns0:is>
      </ns0:c>
      <ns0:c r="G3" s="18" t="n"/>
      <ns0:c r="H3" s="18" t="n"/>
      <ns0:c r="I3" s="18" t="n"/>
      <ns0:c r="J3" s="18" t="n"/>
      <ns0:c r="K3" s="18" t="n"/>
      <ns0:c r="L3" s="18" t="n"/>
      <ns0:c r="M3" s="18" t="n"/>
      <ns0:c r="N3" s="18" t="n"/>
      <ns0:c r="O3" s="18" t="n"/>
      <ns0:c r="P3" s="18" t="n"/>
      <ns0:c r="Q3" s="18" t="n"/>
      <ns0:c r="R3" s="18" t="n"/>
      <ns0:c r="S3" s="18" t="n"/>
      <ns0:c r="T3" s="18" t="n"/>
      <ns0:c r="U3" s="18" t="n"/>
      <ns0:c r="V3" s="18" t="n"/>
      <ns0:c r="W3" s="18" t="n"/>
      <ns0:c r="X3" s="60" t="n"/>
      <ns0:c r="Y3" s="196" t="inlineStr">
        <ns0:is>
          <ns0:t>Total NG</ns0:t>
        </ns0:is>
      </ns0:c>
      <ns0:c r="Z3" s="197" t="inlineStr">
        <ns0:is>
          <ns0:t>OK rate</ns0:t>
        </ns0:is>
      </ns0:c>
      <ns0:c r="AA3" s="197" t="inlineStr">
        <ns0:is>
          <ns0:t>NG rate</ns0:t>
        </ns0:is>
      </ns0:c>
    </ns0:row>
    <ns0:row r="4">
      <ns0:c r="B4" s="48" t="n"/>
      <ns0:c r="C4" s="48" t="n"/>
      <ns0:c r="D4" s="48" t="n"/>
      <ns0:c r="E4" s="48" t="n"/>
      <ns0:c r="F4" s="196" t="inlineStr">
        <ns0:is>
          <ns0:t>VP separate</ns0:t>
        </ns0:is>
      </ns0:c>
      <ns0:c r="G4" s="18" t="n"/>
      <ns0:c r="H4" s="18" t="n"/>
      <ns0:c r="I4" s="60" t="n"/>
      <ns0:c r="J4" s="196" t="inlineStr">
        <ns0:is>
          <ns0:t>SP bending</ns0:t>
        </ns0:is>
      </ns0:c>
      <ns0:c r="K4" s="18" t="n"/>
      <ns0:c r="L4" s="60" t="n"/>
      <ns0:c r="M4" s="196" t="inlineStr">
        <ns0:is>
          <ns0:t>Coil+SP Gap</ns0:t>
        </ns0:is>
      </ns0:c>
      <ns0:c r="N4" s="18" t="n"/>
      <ns0:c r="O4" s="60" t="n"/>
      <ns0:c r="P4" s="196" t="inlineStr">
        <ns0:is>
          <ns0:t xml:space="preserve">Coil damage </ns0:t>
        </ns0:is>
      </ns0:c>
      <ns0:c r="Q4" s="18" t="n"/>
      <ns0:c r="R4" s="60" t="n"/>
      <ns0:c r="S4" s="196" t="inlineStr">
        <ns0:is>
          <ns0:t xml:space="preserve">Dome damage </ns0:t>
        </ns0:is>
      </ns0:c>
      <ns0:c r="T4" s="18" t="n"/>
      <ns0:c r="U4" s="60" t="n"/>
      <ns0:c r="V4" s="196" t="inlineStr">
        <ns0:is>
          <ns0:t xml:space="preserve">Frame damage </ns0:t>
        </ns0:is>
      </ns0:c>
      <ns0:c r="W4" s="18" t="n"/>
      <ns0:c r="X4" s="60" t="n"/>
      <ns0:c r="Y4" s="48" t="n"/>
      <ns0:c r="Z4" s="48" t="n"/>
      <ns0:c r="AA4" s="48" t="n"/>
    </ns0:row>
    <ns0:row r="5">
      <ns0:c r="B5" s="48" t="n"/>
      <ns0:c r="C5" s="48" t="n"/>
      <ns0:c r="D5" s="48" t="n"/>
      <ns0:c r="E5" s="48" t="n"/>
      <ns0:c r="F5" s="44" t="n"/>
      <ns0:c r="G5" s="47" t="n"/>
      <ns0:c r="H5" s="47" t="n"/>
      <ns0:c r="I5" s="45" t="n"/>
      <ns0:c r="J5" s="44" t="n"/>
      <ns0:c r="K5" s="47" t="n"/>
      <ns0:c r="L5" s="45" t="n"/>
      <ns0:c r="M5" s="44" t="n"/>
      <ns0:c r="N5" s="47" t="n"/>
      <ns0:c r="O5" s="45" t="n"/>
      <ns0:c r="P5" s="44" t="n"/>
      <ns0:c r="Q5" s="47" t="n"/>
      <ns0:c r="R5" s="45" t="n"/>
      <ns0:c r="S5" s="44" t="n"/>
      <ns0:c r="T5" s="47" t="n"/>
      <ns0:c r="U5" s="45" t="n"/>
      <ns0:c r="V5" s="44" t="n"/>
      <ns0:c r="W5" s="47" t="n"/>
      <ns0:c r="X5" s="45" t="n"/>
      <ns0:c r="Y5" s="48" t="n"/>
      <ns0:c r="Z5" s="48" t="n"/>
      <ns0:c r="AA5" s="48" t="n"/>
    </ns0:row>
    <ns0:row r="6">
      <ns0:c r="B6" s="48" t="n"/>
      <ns0:c r="C6" s="48" t="n"/>
      <ns0:c r="D6" s="48" t="n"/>
      <ns0:c r="E6" s="48" t="n"/>
      <ns0:c r="F6" s="8" t="n"/>
      <ns0:c r="I6" s="9" t="n"/>
      <ns0:c r="J6" s="8" t="n"/>
      <ns0:c r="L6" s="9" t="n"/>
      <ns0:c r="M6" s="8" t="n"/>
      <ns0:c r="O6" s="9" t="n"/>
      <ns0:c r="P6" s="8" t="n"/>
      <ns0:c r="R6" s="9" t="n"/>
      <ns0:c r="S6" s="8" t="n"/>
      <ns0:c r="U6" s="9" t="n"/>
      <ns0:c r="V6" s="8" t="n"/>
      <ns0:c r="X6" s="9" t="n"/>
      <ns0:c r="Y6" s="48" t="n"/>
      <ns0:c r="Z6" s="48" t="n"/>
      <ns0:c r="AA6" s="48" t="n"/>
    </ns0:row>
    <ns0:row r="7">
      <ns0:c r="B7" s="48" t="n"/>
      <ns0:c r="C7" s="48" t="n"/>
      <ns0:c r="D7" s="48" t="n"/>
      <ns0:c r="E7" s="48" t="n"/>
      <ns0:c r="F7" s="8" t="n"/>
      <ns0:c r="I7" s="9" t="n"/>
      <ns0:c r="J7" s="8" t="n"/>
      <ns0:c r="L7" s="9" t="n"/>
      <ns0:c r="M7" s="8" t="n"/>
      <ns0:c r="O7" s="9" t="n"/>
      <ns0:c r="P7" s="8" t="n"/>
      <ns0:c r="R7" s="9" t="n"/>
      <ns0:c r="S7" s="8" t="n"/>
      <ns0:c r="U7" s="9" t="n"/>
      <ns0:c r="V7" s="8" t="n"/>
      <ns0:c r="X7" s="9" t="n"/>
      <ns0:c r="Y7" s="48" t="n"/>
      <ns0:c r="Z7" s="48" t="n"/>
      <ns0:c r="AA7" s="48" t="n"/>
    </ns0:row>
    <ns0:row r="8">
      <ns0:c r="B8" s="48" t="n"/>
      <ns0:c r="C8" s="48" t="n"/>
      <ns0:c r="D8" s="48" t="n"/>
      <ns0:c r="E8" s="48" t="n"/>
      <ns0:c r="F8" s="8" t="n"/>
      <ns0:c r="I8" s="9" t="n"/>
      <ns0:c r="J8" s="8" t="n"/>
      <ns0:c r="L8" s="9" t="n"/>
      <ns0:c r="M8" s="8" t="n"/>
      <ns0:c r="O8" s="9" t="n"/>
      <ns0:c r="P8" s="8" t="n"/>
      <ns0:c r="R8" s="9" t="n"/>
      <ns0:c r="S8" s="8" t="n"/>
      <ns0:c r="U8" s="9" t="n"/>
      <ns0:c r="V8" s="8" t="n"/>
      <ns0:c r="X8" s="9" t="n"/>
      <ns0:c r="Y8" s="48" t="n"/>
      <ns0:c r="Z8" s="48" t="n"/>
      <ns0:c r="AA8" s="48" t="n"/>
    </ns0:row>
    <ns0:row r="9">
      <ns0:c r="B9" s="48" t="n"/>
      <ns0:c r="C9" s="48" t="n"/>
      <ns0:c r="D9" s="48" t="n"/>
      <ns0:c r="E9" s="48" t="n"/>
      <ns0:c r="F9" s="8" t="n"/>
      <ns0:c r="I9" s="9" t="n"/>
      <ns0:c r="J9" s="8" t="n"/>
      <ns0:c r="L9" s="9" t="n"/>
      <ns0:c r="M9" s="8" t="n"/>
      <ns0:c r="O9" s="9" t="n"/>
      <ns0:c r="P9" s="8" t="n"/>
      <ns0:c r="R9" s="9" t="n"/>
      <ns0:c r="S9" s="8" t="n"/>
      <ns0:c r="U9" s="9" t="n"/>
      <ns0:c r="V9" s="8" t="n"/>
      <ns0:c r="X9" s="9" t="n"/>
      <ns0:c r="Y9" s="48" t="n"/>
      <ns0:c r="Z9" s="48" t="n"/>
      <ns0:c r="AA9" s="48" t="n"/>
    </ns0:row>
    <ns0:row r="10">
      <ns0:c r="B10" s="48" t="n"/>
      <ns0:c r="C10" s="48" t="n"/>
      <ns0:c r="D10" s="48" t="n"/>
      <ns0:c r="E10" s="48" t="n"/>
      <ns0:c r="F10" s="8" t="n"/>
      <ns0:c r="I10" s="9" t="n"/>
      <ns0:c r="J10" s="8" t="n"/>
      <ns0:c r="L10" s="9" t="n"/>
      <ns0:c r="M10" s="8" t="n"/>
      <ns0:c r="O10" s="9" t="n"/>
      <ns0:c r="P10" s="8" t="n"/>
      <ns0:c r="R10" s="9" t="n"/>
      <ns0:c r="S10" s="8" t="n"/>
      <ns0:c r="U10" s="9" t="n"/>
      <ns0:c r="V10" s="8" t="n"/>
      <ns0:c r="X10" s="9" t="n"/>
      <ns0:c r="Y10" s="48" t="n"/>
      <ns0:c r="Z10" s="48" t="n"/>
      <ns0:c r="AA10" s="48" t="n"/>
    </ns0:row>
    <ns0:row r="11">
      <ns0:c r="B11" s="49" t="n"/>
      <ns0:c r="C11" s="49" t="n"/>
      <ns0:c r="D11" s="49" t="n"/>
      <ns0:c r="E11" s="49" t="n"/>
      <ns0:c r="F11" s="13" t="n"/>
      <ns0:c r="G11" s="14" t="n"/>
      <ns0:c r="H11" s="14" t="n"/>
      <ns0:c r="I11" s="15" t="n"/>
      <ns0:c r="J11" s="13" t="n"/>
      <ns0:c r="K11" s="14" t="n"/>
      <ns0:c r="L11" s="15" t="n"/>
      <ns0:c r="M11" s="13" t="n"/>
      <ns0:c r="N11" s="14" t="n"/>
      <ns0:c r="O11" s="15" t="n"/>
      <ns0:c r="P11" s="13" t="n"/>
      <ns0:c r="Q11" s="14" t="n"/>
      <ns0:c r="R11" s="15" t="n"/>
      <ns0:c r="S11" s="13" t="n"/>
      <ns0:c r="T11" s="14" t="n"/>
      <ns0:c r="U11" s="15" t="n"/>
      <ns0:c r="V11" s="13" t="n"/>
      <ns0:c r="W11" s="14" t="n"/>
      <ns0:c r="X11" s="15" t="n"/>
      <ns0:c r="Y11" s="49" t="n"/>
      <ns0:c r="Z11" s="49" t="n"/>
      <ns0:c r="AA11" s="49" t="n"/>
    </ns0:row>
    <ns0:row r="12">
      <ns0:c r="B12" s="198" t="n">
        <ns0:v>45576</ns0:v>
      </ns0:c>
      <ns0:c r="C12" s="43" t="inlineStr">
        <ns0:is>
          <ns0:t>E2-3A</ns0:t>
        </ns0:is>
      </ns0:c>
      <ns0:c r="D12" s="43" t="n">
        <ns0:v>158</ns0:v>
      </ns0:c>
      <ns0:c r="E12" s="43" t="n">
        <ns0:v>150</ns0:v>
      </ns0:c>
      <ns0:c r="F12" s="43" t="n">
        <ns0:v>2</ns0:v>
      </ns0:c>
      <ns0:c r="G12" s="18" t="n"/>
      <ns0:c r="H12" s="18" t="n"/>
      <ns0:c r="I12" s="60" t="n"/>
      <ns0:c r="J12" s="43" t="n">
        <ns0:v>5</ns0:v>
      </ns0:c>
      <ns0:c r="K12" s="18" t="n"/>
      <ns0:c r="L12" s="60" t="n"/>
      <ns0:c r="M12" s="43" t="n">
        <ns0:v>0</ns0:v>
      </ns0:c>
      <ns0:c r="N12" s="18" t="n"/>
      <ns0:c r="O12" s="60" t="n"/>
      <ns0:c r="P12" s="43" t="n">
        <ns0:v>1</ns0:v>
      </ns0:c>
      <ns0:c r="Q12" s="18" t="n"/>
      <ns0:c r="R12" s="60" t="n"/>
      <ns0:c r="S12" s="43" t="n">
        <ns0:v>0</ns0:v>
      </ns0:c>
      <ns0:c r="T12" s="18" t="n"/>
      <ns0:c r="U12" s="60" t="n"/>
      <ns0:c r="V12" s="43" t="n">
        <ns0:v>0</ns0:v>
      </ns0:c>
      <ns0:c r="W12" s="18" t="n"/>
      <ns0:c r="X12" s="60" t="n"/>
      <ns0:c r="Y12" s="43" t="n">
        <ns0:v>8</ns0:v>
      </ns0:c>
      <ns0:c r="Z12" s="199" t="n">
        <ns0:v>0.9493670886075949</ns0:v>
      </ns0:c>
      <ns0:c r="AA12" s="199" t="n">
        <ns0:v>0.05063291139240506</ns0:v>
      </ns0:c>
    </ns0:row>
    <ns0:row r="13">
      <ns0:c r="B13" s="198" t="n">
        <ns0:v>45577</ns0:v>
      </ns0:c>
      <ns0:c r="C13" s="43" t="inlineStr">
        <ns0:is>
          <ns0:t>E2-3A</ns0:t>
        </ns0:is>
      </ns0:c>
      <ns0:c r="D13" s="43" t="n">
        <ns0:v>161</ns0:v>
      </ns0:c>
      <ns0:c r="E13" s="43" t="n">
        <ns0:v>150</ns0:v>
      </ns0:c>
      <ns0:c r="F13" s="43" t="n">
        <ns0:v>1</ns0:v>
      </ns0:c>
      <ns0:c r="G13" s="18" t="n"/>
      <ns0:c r="H13" s="18" t="n"/>
      <ns0:c r="I13" s="60" t="n"/>
      <ns0:c r="J13" s="43" t="n">
        <ns0:v>8</ns0:v>
      </ns0:c>
      <ns0:c r="K13" s="18" t="n"/>
      <ns0:c r="L13" s="60" t="n"/>
      <ns0:c r="M13" s="43" t="n">
        <ns0:v>1</ns0:v>
      </ns0:c>
      <ns0:c r="N13" s="18" t="n"/>
      <ns0:c r="O13" s="60" t="n"/>
      <ns0:c r="P13" s="43" t="n">
        <ns0:v>0</ns0:v>
      </ns0:c>
      <ns0:c r="Q13" s="18" t="n"/>
      <ns0:c r="R13" s="60" t="n"/>
      <ns0:c r="S13" s="43" t="n">
        <ns0:v>1</ns0:v>
      </ns0:c>
      <ns0:c r="T13" s="18" t="n"/>
      <ns0:c r="U13" s="60" t="n"/>
      <ns0:c r="V13" s="43" t="n">
        <ns0:v>0</ns0:v>
      </ns0:c>
      <ns0:c r="W13" s="18" t="n"/>
      <ns0:c r="X13" s="60" t="n"/>
      <ns0:c r="Y13" s="43" t="n">
        <ns0:v>11</ns0:v>
      </ns0:c>
      <ns0:c r="Z13" s="199" t="n">
        <ns0:v>0.9316770186335404</ns0:v>
      </ns0:c>
      <ns0:c r="AA13" s="199" t="n">
        <ns0:v>0.06832298136645963</ns0:v>
      </ns0:c>
    </ns0:row>
    <ns0:row r="14">
      <ns0:c r="B14" s="198" t="n">
        <ns0:v>45580</ns0:v>
      </ns0:c>
      <ns0:c r="C14" s="43" t="inlineStr">
        <ns0:is>
          <ns0:t>E2-3B</ns0:t>
        </ns0:is>
      </ns0:c>
      <ns0:c r="D14" s="43" t="n">
        <ns0:v>259</ns0:v>
      </ns0:c>
      <ns0:c r="E14" s="43" t="n">
        <ns0:v>227</ns0:v>
      </ns0:c>
      <ns0:c r="F14" s="43" t="n">
        <ns0:v>19</ns0:v>
      </ns0:c>
      <ns0:c r="G14" s="18" t="n"/>
      <ns0:c r="H14" s="18" t="n"/>
      <ns0:c r="I14" s="60" t="n"/>
      <ns0:c r="J14" s="43" t="n">
        <ns0:v>1</ns0:v>
      </ns0:c>
      <ns0:c r="K14" s="18" t="n"/>
      <ns0:c r="L14" s="60" t="n"/>
      <ns0:c r="M14" s="43" t="n">
        <ns0:v>0</ns0:v>
      </ns0:c>
      <ns0:c r="N14" s="18" t="n"/>
      <ns0:c r="O14" s="60" t="n"/>
      <ns0:c r="P14" s="43" t="n">
        <ns0:v>1</ns0:v>
      </ns0:c>
      <ns0:c r="Q14" s="18" t="n"/>
      <ns0:c r="R14" s="60" t="n"/>
      <ns0:c r="S14" s="43" t="n">
        <ns0:v>1</ns0:v>
      </ns0:c>
      <ns0:c r="T14" s="18" t="n"/>
      <ns0:c r="U14" s="60" t="n"/>
      <ns0:c r="V14" s="43" t="n">
        <ns0:v>10</ns0:v>
      </ns0:c>
      <ns0:c r="W14" s="18" t="n"/>
      <ns0:c r="X14" s="60" t="n"/>
      <ns0:c r="Y14" s="43" t="n">
        <ns0:v>32</ns0:v>
      </ns0:c>
      <ns0:c r="Z14" s="199" t="n">
        <ns0:v>0.8764478764478765</ns0:v>
      </ns0:c>
      <ns0:c r="AA14" s="199" t="n">
        <ns0:v>0.1235521235521236</ns0:v>
      </ns0:c>
    </ns0:row>
    <ns0:row r="15">
      <ns0:c r="B15" s="198" t="n">
        <ns0:v>45581</ns0:v>
      </ns0:c>
      <ns0:c r="C15" s="43" t="inlineStr">
        <ns0:is>
          <ns0:t>E2-3B</ns0:t>
        </ns0:is>
      </ns0:c>
      <ns0:c r="D15" s="43" t="n">
        <ns0:v>170</ns0:v>
      </ns0:c>
      <ns0:c r="E15" s="43" t="n">
        <ns0:v>127</ns0:v>
      </ns0:c>
      <ns0:c r="F15" s="43" t="n">
        <ns0:v>20</ns0:v>
      </ns0:c>
      <ns0:c r="G15" s="18" t="n"/>
      <ns0:c r="H15" s="18" t="n"/>
      <ns0:c r="I15" s="60" t="n"/>
      <ns0:c r="J15" s="43" t="n">
        <ns0:v>0</ns0:v>
      </ns0:c>
      <ns0:c r="K15" s="18" t="n"/>
      <ns0:c r="L15" s="60" t="n"/>
      <ns0:c r="M15" s="43" t="n">
        <ns0:v>0</ns0:v>
      </ns0:c>
      <ns0:c r="N15" s="18" t="n"/>
      <ns0:c r="O15" s="60" t="n"/>
      <ns0:c r="P15" s="43" t="n">
        <ns0:v>2</ns0:v>
      </ns0:c>
      <ns0:c r="Q15" s="18" t="n"/>
      <ns0:c r="R15" s="60" t="n"/>
      <ns0:c r="S15" s="43" t="n">
        <ns0:v>0</ns0:v>
      </ns0:c>
      <ns0:c r="T15" s="18" t="n"/>
      <ns0:c r="U15" s="60" t="n"/>
      <ns0:c r="V15" s="43" t="n">
        <ns0:v>21</ns0:v>
      </ns0:c>
      <ns0:c r="W15" s="18" t="n"/>
      <ns0:c r="X15" s="60" t="n"/>
      <ns0:c r="Y15" s="43" t="n">
        <ns0:v>43</ns0:v>
      </ns0:c>
      <ns0:c r="Z15" s="199" t="n">
        <ns0:v>0.7470588235294118</ns0:v>
      </ns0:c>
      <ns0:c r="AA15" s="199" t="n">
        <ns0:v>0.2529411764705882</ns0:v>
      </ns0:c>
    </ns0:row>
    <ns0:row r="16">
      <ns0:c r="B16" s="198" t="n">
        <ns0:v>45583</ns0:v>
      </ns0:c>
      <ns0:c r="C16" s="43" t="inlineStr">
        <ns0:is>
          <ns0:t>E2-3B</ns0:t>
        </ns0:is>
      </ns0:c>
      <ns0:c r="D16" s="43" t="n">
        <ns0:v>254</ns0:v>
      </ns0:c>
      <ns0:c r="E16" s="43" t="n">
        <ns0:v>209</ns0:v>
      </ns0:c>
      <ns0:c r="F16" s="43" t="n">
        <ns0:v>25</ns0:v>
      </ns0:c>
      <ns0:c r="G16" s="18" t="n"/>
      <ns0:c r="H16" s="18" t="n"/>
      <ns0:c r="I16" s="60" t="n"/>
      <ns0:c r="J16" s="43" t="n">
        <ns0:v>0</ns0:v>
      </ns0:c>
      <ns0:c r="K16" s="18" t="n"/>
      <ns0:c r="L16" s="60" t="n"/>
      <ns0:c r="M16" s="43" t="n">
        <ns0:v>0</ns0:v>
      </ns0:c>
      <ns0:c r="N16" s="18" t="n"/>
      <ns0:c r="O16" s="60" t="n"/>
      <ns0:c r="P16" s="43" t="n">
        <ns0:v>3</ns0:v>
      </ns0:c>
      <ns0:c r="Q16" s="18" t="n"/>
      <ns0:c r="R16" s="60" t="n"/>
      <ns0:c r="S16" s="43" t="n">
        <ns0:v>0</ns0:v>
      </ns0:c>
      <ns0:c r="T16" s="18" t="n"/>
      <ns0:c r="U16" s="60" t="n"/>
      <ns0:c r="V16" s="43" t="n">
        <ns0:v>17</ns0:v>
      </ns0:c>
      <ns0:c r="W16" s="18" t="n"/>
      <ns0:c r="X16" s="60" t="n"/>
      <ns0:c r="Y16" s="43" t="n">
        <ns0:v>45</ns0:v>
      </ns0:c>
      <ns0:c r="Z16" s="199" t="n">
        <ns0:v>0.8228346456692913</ns0:v>
      </ns0:c>
      <ns0:c r="AA16" s="199" t="n">
        <ns0:v>0.1771653543307087</ns0:v>
      </ns0:c>
    </ns0:row>
    <ns0:row r="17">
      <ns0:c r="B17" s="198" t="n">
        <ns0:v>45584</ns0:v>
      </ns0:c>
      <ns0:c r="C17" s="43" t="inlineStr">
        <ns0:is>
          <ns0:t>E2-3B</ns0:t>
        </ns0:is>
      </ns0:c>
      <ns0:c r="D17" s="43" t="n">
        <ns0:v>224</ns0:v>
      </ns0:c>
      <ns0:c r="E17" s="43" t="n">
        <ns0:v>163</ns0:v>
      </ns0:c>
      <ns0:c r="F17" s="43" t="n">
        <ns0:v>34</ns0:v>
      </ns0:c>
      <ns0:c r="G17" s="18" t="n"/>
      <ns0:c r="H17" s="18" t="n"/>
      <ns0:c r="I17" s="60" t="n"/>
      <ns0:c r="J17" s="43" t="n">
        <ns0:v>0</ns0:v>
      </ns0:c>
      <ns0:c r="K17" s="18" t="n"/>
      <ns0:c r="L17" s="60" t="n"/>
      <ns0:c r="M17" s="43" t="n">
        <ns0:v>3</ns0:v>
      </ns0:c>
      <ns0:c r="N17" s="18" t="n"/>
      <ns0:c r="O17" s="60" t="n"/>
      <ns0:c r="P17" s="43" t="n">
        <ns0:v>3</ns0:v>
      </ns0:c>
      <ns0:c r="Q17" s="18" t="n"/>
      <ns0:c r="R17" s="60" t="n"/>
      <ns0:c r="S17" s="43" t="n">
        <ns0:v>1</ns0:v>
      </ns0:c>
      <ns0:c r="T17" s="18" t="n"/>
      <ns0:c r="U17" s="60" t="n"/>
      <ns0:c r="V17" s="43" t="n">
        <ns0:v>20</ns0:v>
      </ns0:c>
      <ns0:c r="W17" s="18" t="n"/>
      <ns0:c r="X17" s="60" t="n"/>
      <ns0:c r="Y17" s="43" t="n">
        <ns0:v>61</ns0:v>
      </ns0:c>
      <ns0:c r="Z17" s="199" t="n">
        <ns0:v>0.7276785714285714</ns0:v>
      </ns0:c>
      <ns0:c r="AA17" s="199" t="n">
        <ns0:v>0.2723214285714285</ns0:v>
      </ns0:c>
    </ns0:row>
    <ns0:row r="18">
      <ns0:c r="B18" s="198" t="n">
        <ns0:v>45585</ns0:v>
      </ns0:c>
      <ns0:c r="C18" s="43" t="inlineStr">
        <ns0:is>
          <ns0:t>E2-3B</ns0:t>
        </ns0:is>
      </ns0:c>
      <ns0:c r="D18" s="43" t="n">
        <ns0:v>188</ns0:v>
      </ns0:c>
      <ns0:c r="E18" s="43" t="n">
        <ns0:v>132</ns0:v>
      </ns0:c>
      <ns0:c r="F18" s="43" t="n">
        <ns0:v>24</ns0:v>
      </ns0:c>
      <ns0:c r="G18" s="18" t="n"/>
      <ns0:c r="H18" s="18" t="n"/>
      <ns0:c r="I18" s="60" t="n"/>
      <ns0:c r="J18" s="43" t="n">
        <ns0:v>4</ns0:v>
      </ns0:c>
      <ns0:c r="K18" s="18" t="n"/>
      <ns0:c r="L18" s="60" t="n"/>
      <ns0:c r="M18" s="43" t="n">
        <ns0:v>0</ns0:v>
      </ns0:c>
      <ns0:c r="N18" s="18" t="n"/>
      <ns0:c r="O18" s="60" t="n"/>
      <ns0:c r="P18" s="43" t="n">
        <ns0:v>3</ns0:v>
      </ns0:c>
      <ns0:c r="Q18" s="18" t="n"/>
      <ns0:c r="R18" s="60" t="n"/>
      <ns0:c r="S18" s="43" t="n">
        <ns0:v>0</ns0:v>
      </ns0:c>
      <ns0:c r="T18" s="18" t="n"/>
      <ns0:c r="U18" s="60" t="n"/>
      <ns0:c r="V18" s="43" t="n">
        <ns0:v>25</ns0:v>
      </ns0:c>
      <ns0:c r="W18" s="18" t="n"/>
      <ns0:c r="X18" s="60" t="n"/>
      <ns0:c r="Y18" s="43" t="n">
        <ns0:v>56</ns0:v>
      </ns0:c>
      <ns0:c r="Z18" s="199" t="n">
        <ns0:v>0.7021276595744681</ns0:v>
      </ns0:c>
      <ns0:c r="AA18" s="199" t="n">
        <ns0:v>0.2978723404255319</ns0:v>
      </ns0:c>
    </ns0:row>
    <ns0:row r="19">
      <ns0:c r="B19" s="198" t="n">
        <ns0:v>45586</ns0:v>
      </ns0:c>
      <ns0:c r="C19" s="43" t="inlineStr">
        <ns0:is>
          <ns0:t>E2-3B</ns0:t>
        </ns0:is>
      </ns0:c>
      <ns0:c r="D19" s="43" t="n">
        <ns0:v>195</ns0:v>
      </ns0:c>
      <ns0:c r="E19" s="43" t="n">
        <ns0:v>136</ns0:v>
      </ns0:c>
      <ns0:c r="F19" s="43" t="n">
        <ns0:v>29</ns0:v>
      </ns0:c>
      <ns0:c r="G19" s="18" t="n"/>
      <ns0:c r="H19" s="18" t="n"/>
      <ns0:c r="I19" s="60" t="n"/>
      <ns0:c r="J19" s="43" t="n">
        <ns0:v>2</ns0:v>
      </ns0:c>
      <ns0:c r="K19" s="18" t="n"/>
      <ns0:c r="L19" s="60" t="n"/>
      <ns0:c r="M19" s="43" t="n">
        <ns0:v>0</ns0:v>
      </ns0:c>
      <ns0:c r="N19" s="18" t="n"/>
      <ns0:c r="O19" s="60" t="n"/>
      <ns0:c r="P19" s="43" t="n">
        <ns0:v>1</ns0:v>
      </ns0:c>
      <ns0:c r="Q19" s="18" t="n"/>
      <ns0:c r="R19" s="60" t="n"/>
      <ns0:c r="S19" s="43" t="n">
        <ns0:v>0</ns0:v>
      </ns0:c>
      <ns0:c r="T19" s="18" t="n"/>
      <ns0:c r="U19" s="60" t="n"/>
      <ns0:c r="V19" s="43" t="n">
        <ns0:v>27</ns0:v>
      </ns0:c>
      <ns0:c r="W19" s="18" t="n"/>
      <ns0:c r="X19" s="60" t="n"/>
      <ns0:c r="Y19" s="43" t="n">
        <ns0:v>59</ns0:v>
      </ns0:c>
      <ns0:c r="Z19" s="199" t="n">
        <ns0:v>0.6974358974358974</ns0:v>
      </ns0:c>
      <ns0:c r="AA19" s="199" t="n">
        <ns0:v>0.3025641025641025</ns0:v>
      </ns0:c>
    </ns0:row>
    <ns0:row r="20">
      <ns0:c r="B20" s="198" t="n">
        <ns0:v>45587</ns0:v>
      </ns0:c>
      <ns0:c r="C20" s="43" t="inlineStr">
        <ns0:is>
          <ns0:t>E2-3B</ns0:t>
        </ns0:is>
      </ns0:c>
      <ns0:c r="D20" s="43" t="n">
        <ns0:v>201</ns0:v>
      </ns0:c>
      <ns0:c r="E20" s="43" t="n">
        <ns0:v>141</ns0:v>
      </ns0:c>
      <ns0:c r="F20" s="43" t="n">
        <ns0:v>31</ns0:v>
      </ns0:c>
      <ns0:c r="G20" s="18" t="n"/>
      <ns0:c r="H20" s="18" t="n"/>
      <ns0:c r="I20" s="60" t="n"/>
      <ns0:c r="J20" s="43" t="n">
        <ns0:v>4</ns0:v>
      </ns0:c>
      <ns0:c r="K20" s="18" t="n"/>
      <ns0:c r="L20" s="60" t="n"/>
      <ns0:c r="M20" s="43" t="n">
        <ns0:v>0</ns0:v>
      </ns0:c>
      <ns0:c r="N20" s="18" t="n"/>
      <ns0:c r="O20" s="60" t="n"/>
      <ns0:c r="P20" s="43" t="n">
        <ns0:v>2</ns0:v>
      </ns0:c>
      <ns0:c r="Q20" s="18" t="n"/>
      <ns0:c r="R20" s="60" t="n"/>
      <ns0:c r="S20" s="43" t="n">
        <ns0:v>0</ns0:v>
      </ns0:c>
      <ns0:c r="T20" s="18" t="n"/>
      <ns0:c r="U20" s="60" t="n"/>
      <ns0:c r="V20" s="43" t="n">
        <ns0:v>23</ns0:v>
      </ns0:c>
      <ns0:c r="W20" s="18" t="n"/>
      <ns0:c r="X20" s="60" t="n"/>
      <ns0:c r="Y20" s="43" t="n">
        <ns0:v>60</ns0:v>
      </ns0:c>
      <ns0:c r="Z20" s="199" t="n">
        <ns0:v>0.7014925373134329</ns0:v>
      </ns0:c>
      <ns0:c r="AA20" s="199" t="n">
        <ns0:v>0.2985074626865671</ns0:v>
      </ns0:c>
    </ns0:row>
    <ns0:row r="22" ht="26.25" customHeight="1">
      <ns0:c r="B22" s="195" t="inlineStr">
        <ns0:is>
          <ns0:t>RESULT CHECK SUB 4 AND FUNCTION</ns0:t>
        </ns0:is>
      </ns0:c>
    </ns0:row>
    <ns0:row r="23" ht="24.75" customHeight="1">
      <ns0:c r="B23" s="200" t="inlineStr">
        <ns0:is>
          <ns0:t>Date</ns0:t>
        </ns0:is>
      </ns0:c>
      <ns0:c r="C23" s="200" t="inlineStr">
        <ns0:is>
          <ns0:t>Lie</ns0:t>
        </ns0:is>
      </ns0:c>
      <ns0:c r="D23" s="200" t="inlineStr">
        <ns0:is>
          <ns0:t>Input</ns0:t>
        </ns0:is>
      </ns0:c>
      <ns0:c r="E23" s="200" t="inlineStr">
        <ns0:is>
          <ns0:t>OK</ns0:t>
        </ns0:is>
      </ns0:c>
      <ns0:c r="F23" s="200" t="inlineStr">
        <ns0:is>
          <ns0:t>Sub 4</ns0:t>
        </ns0:is>
      </ns0:c>
      <ns0:c r="G23" s="18" t="n"/>
      <ns0:c r="H23" s="18" t="n"/>
      <ns0:c r="I23" s="18" t="n"/>
      <ns0:c r="J23" s="18" t="n"/>
      <ns0:c r="K23" s="60" t="n"/>
      <ns0:c r="L23" s="200" t="inlineStr">
        <ns0:is>
          <ns0:t>Sigma</ns0:t>
        </ns0:is>
      </ns0:c>
      <ns0:c r="M23" s="18" t="n"/>
      <ns0:c r="N23" s="18" t="n"/>
      <ns0:c r="O23" s="60" t="n"/>
      <ns0:c r="P23" s="200" t="inlineStr">
        <ns0:is>
          <ns0:t>Hearing voltage up 15%</ns0:t>
        </ns0:is>
      </ns0:c>
      <ns0:c r="Q23" s="18" t="n"/>
      <ns0:c r="R23" s="60" t="n"/>
      <ns0:c r="S23" s="201" t="inlineStr">
        <ns0:is>
          <ns0:t>OK rate
(+15% Volt)</ns0:t>
        </ns0:is>
      </ns0:c>
      <ns0:c r="T23" s="200" t="inlineStr">
        <ns0:is>
          <ns0:t>Hearing voltage up 10%</ns0:t>
        </ns0:is>
      </ns0:c>
      <ns0:c r="U23" s="18" t="n"/>
      <ns0:c r="V23" s="60" t="n"/>
      <ns0:c r="W23" s="201" t="inlineStr">
        <ns0:is>
          <ns0:t>OK rate
(+10% Volt)</ns0:t>
        </ns0:is>
      </ns0:c>
      <ns0:c r="X23" s="200" t="inlineStr">
        <ns0:is>
          <ns0:t>Hearing voltage up 5%</ns0:t>
        </ns0:is>
      </ns0:c>
      <ns0:c r="Y23" s="18" t="n"/>
      <ns0:c r="Z23" s="60" t="n"/>
      <ns0:c r="AA23" s="201" t="inlineStr">
        <ns0:is>
          <ns0:t>OK rate
(+5% Volt)</ns0:t>
        </ns0:is>
      </ns0:c>
      <ns0:c r="AB23" s="200" t="inlineStr">
        <ns0:is>
          <ns0:t xml:space="preserve">Hearing normal </ns0:t>
        </ns0:is>
      </ns0:c>
      <ns0:c r="AC23" s="18" t="n"/>
      <ns0:c r="AD23" s="60" t="n"/>
      <ns0:c r="AE23" s="200" t="inlineStr">
        <ns0:is>
          <ns0:t>Total NG</ns0:t>
        </ns0:is>
      </ns0:c>
      <ns0:c r="AF23" s="202" t="inlineStr">
        <ns0:is>
          <ns0:t>OK rate</ns0:t>
        </ns0:is>
      </ns0:c>
      <ns0:c r="AG23" s="202" t="inlineStr">
        <ns0:is>
          <ns0:t>NG rate</ns0:t>
        </ns0:is>
      </ns0:c>
    </ns0:row>
    <ns0:row r="24" ht="33" customHeight="1">
      <ns0:c r="B24" s="49" t="n"/>
      <ns0:c r="C24" s="49" t="n"/>
      <ns0:c r="D24" s="49" t="n"/>
      <ns0:c r="E24" s="49" t="n"/>
      <ns0:c r="F24" s="61" t="inlineStr">
        <ns0:is>
          <ns0:t>Air leak</ns0:t>
        </ns0:is>
      </ns0:c>
      <ns0:c r="G24" s="203" t="inlineStr">
        <ns0:is>
          <ns0:t>Long VP separate</ns0:t>
        </ns0:is>
      </ns0:c>
      <ns0:c r="H24" s="203" t="inlineStr">
        <ns0:is>
          <ns0:t>Short VP separate</ns0:t>
        </ns0:is>
      </ns0:c>
      <ns0:c r="I24" s="203" t="inlineStr">
        <ns0:is>
          <ns0:t>Frame damage</ns0:t>
        </ns0:is>
      </ns0:c>
      <ns0:c r="J24" s="203" t="inlineStr">
        <ns0:is>
          <ns0:t xml:space="preserve">Hight </ns0:t>
        </ns0:is>
      </ns0:c>
      <ns0:c r="K24" s="204" t="inlineStr">
        <ns0:is>
          <ns0:t>NG rate</ns0:t>
        </ns0:is>
      </ns0:c>
      <ns0:c r="L24" s="43" t="inlineStr">
        <ns0:is>
          <ns0:t>Input</ns0:t>
        </ns0:is>
      </ns0:c>
      <ns0:c r="M24" s="43" t="inlineStr">
        <ns0:is>
          <ns0:t>SPL</ns0:t>
        </ns0:is>
      </ns0:c>
      <ns0:c r="N24" s="43" t="inlineStr">
        <ns0:is>
          <ns0:t>THD</ns0:t>
        </ns0:is>
      </ns0:c>
      <ns0:c r="O24" s="43" t="inlineStr">
        <ns0:is>
          <ns0:t>SPL+THD</ns0:t>
        </ns0:is>
      </ns0:c>
      <ns0:c r="P24" s="43" t="inlineStr">
        <ns0:is>
          <ns0:t>Noise</ns0:t>
        </ns0:is>
      </ns0:c>
      <ns0:c r="Q24" s="205" t="inlineStr">
        <ns0:is>
          <ns0:t>Touch</ns0:t>
        </ns0:is>
      </ns0:c>
      <ns0:c r="R24" s="204" t="inlineStr">
        <ns0:is>
          <ns0:t>NG rate</ns0:t>
        </ns0:is>
      </ns0:c>
      <ns0:c r="S24" s="49" t="n"/>
      <ns0:c r="T24" s="43" t="inlineStr">
        <ns0:is>
          <ns0:t>Noise</ns0:t>
        </ns0:is>
      </ns0:c>
      <ns0:c r="U24" s="205" t="inlineStr">
        <ns0:is>
          <ns0:t>Touch</ns0:t>
        </ns0:is>
      </ns0:c>
      <ns0:c r="V24" s="204" t="inlineStr">
        <ns0:is>
          <ns0:t>NG rate</ns0:t>
        </ns0:is>
      </ns0:c>
      <ns0:c r="W24" s="49" t="n"/>
      <ns0:c r="X24" s="43" t="inlineStr">
        <ns0:is>
          <ns0:t>Noise</ns0:t>
        </ns0:is>
      </ns0:c>
      <ns0:c r="Y24" s="205" t="inlineStr">
        <ns0:is>
          <ns0:t>Touch</ns0:t>
        </ns0:is>
      </ns0:c>
      <ns0:c r="Z24" s="204" t="inlineStr">
        <ns0:is>
          <ns0:t>NG rate</ns0:t>
        </ns0:is>
      </ns0:c>
      <ns0:c r="AA24" s="49" t="n"/>
      <ns0:c r="AB24" s="43" t="inlineStr">
        <ns0:is>
          <ns0:t>Noise</ns0:t>
        </ns0:is>
      </ns0:c>
      <ns0:c r="AC24" s="205" t="inlineStr">
        <ns0:is>
          <ns0:t>Touch</ns0:t>
        </ns0:is>
      </ns0:c>
      <ns0:c r="AD24" s="204" t="inlineStr">
        <ns0:is>
          <ns0:t>NG rate</ns0:t>
        </ns0:is>
      </ns0:c>
      <ns0:c r="AE24" s="49" t="n"/>
      <ns0:c r="AF24" s="49" t="n"/>
      <ns0:c r="AG24" s="49" t="n"/>
    </ns0:row>
    <ns0:row r="25">
      <ns0:c r="B25" s="206" t="inlineStr">
        <ns0:is>
          <ns0:t>Total</ns0:t>
        </ns0:is>
      </ns0:c>
      <ns0:c r="C25" s="60" t="n"/>
      <ns0:c r="D25" s="206" t="n">
        <ns0:v>1646</ns0:v>
      </ns0:c>
      <ns0:c r="E25" s="206" t="n">
        <ns0:v>1389</ns0:v>
      </ns0:c>
      <ns0:c r="F25" s="206" t="n">
        <ns0:v>0</ns0:v>
      </ns0:c>
      <ns0:c r="G25" s="206" t="n">
        <ns0:v>2</ns0:v>
      </ns0:c>
      <ns0:c r="H25" s="206" t="n">
        <ns0:v>2</ns0:v>
      </ns0:c>
      <ns0:c r="I25" s="206" t="n">
        <ns0:v>13</ns0:v>
      </ns0:c>
      <ns0:c r="J25" s="206" t="n">
        <ns0:v>12</ns0:v>
      </ns0:c>
      <ns0:c r="K25" s="207" t="n">
        <ns0:v>0.01761846901579587</ns0:v>
      </ns0:c>
      <ns0:c r="L25" s="206" t="n">
        <ns0:v>1618</ns0:v>
      </ns0:c>
      <ns0:c r="M25" s="206" t="n">
        <ns0:v>2</ns0:v>
      </ns0:c>
      <ns0:c r="N25" s="206" t="n">
        <ns0:v>9</ns0:v>
      </ns0:c>
      <ns0:c r="O25" s="206" t="n">
        <ns0:v>6</ns0:v>
      </ns0:c>
      <ns0:c r="P25" s="206" t="n"/>
      <ns0:c r="Q25" s="206" t="n"/>
      <ns0:c r="R25" s="207" t="n"/>
      <ns0:c r="S25" s="208" t="n"/>
      <ns0:c r="T25" s="206" t="n">
        <ns0:v>480</ns0:v>
      </ns0:c>
      <ns0:c r="U25" s="206" t="n">
        <ns0:v>177</ns0:v>
      </ns0:c>
      <ns0:c r="V25" s="207" t="n">
        <ns0:v>0.4060568603213844</ns0:v>
      </ns0:c>
      <ns0:c r="W25" s="208" t="n">
        <ns0:v>0.5729040097205347</ns0:v>
      </ns0:c>
      <ns0:c r="X25" s="206" t="n"/>
      <ns0:c r="Y25" s="206" t="n"/>
      <ns0:c r="Z25" s="207" t="n"/>
      <ns0:c r="AA25" s="208" t="n"/>
      <ns0:c r="AB25" s="206" t="n">
        <ns0:v>166</ns0:v>
      </ns0:c>
      <ns0:c r="AC25" s="206" t="n">
        <ns0:v>65</ns0:v>
      </ns0:c>
      <ns0:c r="AD25" s="207" t="n">
        <ns0:v>0.1427688504326329</ns0:v>
      </ns0:c>
      <ns0:c r="AE25" s="206" t="n">
        <ns0:v>277</ns0:v>
      </ns0:c>
      <ns0:c r="AF25" s="208" t="n">
        <ns0:v>0.8438639125151883</ns0:v>
      </ns0:c>
      <ns0:c r="AG25" s="208" t="n">
        <ns0:v>0.1682867557715674</ns0:v>
      </ns0:c>
    </ns0:row>
    <ns0:row r="26">
      <ns0:c r="B26" s="198" t="n">
        <ns0:v>45576</ns0:v>
      </ns0:c>
      <ns0:c r="C26" s="209" t="inlineStr">
        <ns0:is>
          <ns0:t>C2-3A</ns0:t>
        </ns0:is>
      </ns0:c>
      <ns0:c r="D26" s="43" t="n">
        <ns0:v>212</ns0:v>
      </ns0:c>
      <ns0:c r="E26" s="210" t="n">
        <ns0:v>169</ns0:v>
      </ns0:c>
      <ns0:c r="F26" s="43" t="n">
        <ns0:v>0</ns0:v>
      </ns0:c>
      <ns0:c r="G26" s="43" t="n">
        <ns0:v>0</ns0:v>
      </ns0:c>
      <ns0:c r="H26" s="43" t="n">
        <ns0:v>0</ns0:v>
      </ns0:c>
      <ns0:c r="I26" s="43" t="n">
        <ns0:v>1</ns0:v>
      </ns0:c>
      <ns0:c r="J26" s="43" t="n">
        <ns0:v>0</ns0:v>
      </ns0:c>
      <ns0:c r="K26" s="199" t="n">
        <ns0:v>0.004716981132075472</ns0:v>
      </ns0:c>
      <ns0:c r="L26" s="43" t="n">
        <ns0:v>211</ns0:v>
      </ns0:c>
      <ns0:c r="M26" s="43" t="n">
        <ns0:v>0</ns0:v>
      </ns0:c>
      <ns0:c r="N26" s="43" t="n">
        <ns0:v>2</ns0:v>
      </ns0:c>
      <ns0:c r="O26" s="43" t="n">
        <ns0:v>2</ns0:v>
      </ns0:c>
      <ns0:c r="P26" s="43" t="n"/>
      <ns0:c r="Q26" s="43" t="n"/>
      <ns0:c r="R26" s="199" t="n"/>
      <ns0:c r="S26" s="199" t="n"/>
      <ns0:c r="T26" s="43" t="n">
        <ns0:v>73</ns0:v>
      </ns0:c>
      <ns0:c r="U26" s="43" t="n">
        <ns0:v>17</ns0:v>
      </ns0:c>
      <ns0:c r="V26" s="199" t="n">
        <ns0:v>0.4265402843601896</ns0:v>
      </ns0:c>
      <ns0:c r="W26" s="199" t="n">
        <ns0:v>0.5518867924528301</ns0:v>
      </ns0:c>
      <ns0:c r="X26" s="43" t="n"/>
      <ns0:c r="Y26" s="43" t="n"/>
      <ns0:c r="Z26" s="199" t="n"/>
      <ns0:c r="AA26" s="199" t="n"/>
      <ns0:c r="AB26" s="43" t="n">
        <ns0:v>28</ns0:v>
      </ns0:c>
      <ns0:c r="AC26" s="43" t="n">
        <ns0:v>10</ns0:v>
      </ns0:c>
      <ns0:c r="AD26" s="199" t="n">
        <ns0:v>0.1800947867298578</ns0:v>
      </ns0:c>
      <ns0:c r="AE26" s="210" t="n">
        <ns0:v>43</ns0:v>
      </ns0:c>
      <ns0:c r="AF26" s="199" t="n">
        <ns0:v>0.7971698113207547</ns0:v>
      </ns0:c>
      <ns0:c r="AG26" s="199" t="n">
        <ns0:v>0.2028301886792453</ns0:v>
      </ns0:c>
    </ns0:row>
    <ns0:row r="27">
      <ns0:c r="B27" s="198" t="n">
        <ns0:v>45577</ns0:v>
      </ns0:c>
      <ns0:c r="C27" s="198" t="inlineStr">
        <ns0:is>
          <ns0:t>E2-3A</ns0:t>
        </ns0:is>
      </ns0:c>
      <ns0:c r="D27" s="43" t="n">
        <ns0:v>150</ns0:v>
      </ns0:c>
      <ns0:c r="E27" s="210" t="n">
        <ns0:v>87</ns0:v>
      </ns0:c>
      <ns0:c r="F27" s="43" t="n">
        <ns0:v>0</ns0:v>
      </ns0:c>
      <ns0:c r="G27" s="43" t="n">
        <ns0:v>0</ns0:v>
      </ns0:c>
      <ns0:c r="H27" s="43" t="n">
        <ns0:v>0</ns0:v>
      </ns0:c>
      <ns0:c r="I27" s="43" t="n">
        <ns0:v>2</ns0:v>
      </ns0:c>
      <ns0:c r="J27" s="43" t="n">
        <ns0:v>0</ns0:v>
      </ns0:c>
      <ns0:c r="K27" s="199" t="n">
        <ns0:v>0.01333333333333333</ns0:v>
      </ns0:c>
      <ns0:c r="L27" s="43" t="n">
        <ns0:v>148</ns0:v>
      </ns0:c>
      <ns0:c r="M27" s="43" t="n">
        <ns0:v>0</ns0:v>
      </ns0:c>
      <ns0:c r="N27" s="43" t="n">
        <ns0:v>0</ns0:v>
      </ns0:c>
      <ns0:c r="O27" s="43" t="n">
        <ns0:v>0</ns0:v>
      </ns0:c>
      <ns0:c r="P27" s="43" t="n"/>
      <ns0:c r="Q27" s="211" t="n"/>
      <ns0:c r="R27" s="199" t="n"/>
      <ns0:c r="S27" s="199" t="n"/>
      <ns0:c r="T27" s="43" t="n">
        <ns0:v>30</ns0:v>
      </ns0:c>
      <ns0:c r="U27" s="211" t="n">
        <ns0:v>51</ns0:v>
      </ns0:c>
      <ns0:c r="V27" s="199" t="n">
        <ns0:v>0.5472972972972973</ns0:v>
      </ns0:c>
      <ns0:c r="W27" s="199" t="n">
        <ns0:v>0.4466666666666667</ns0:v>
      </ns0:c>
      <ns0:c r="X27" s="43" t="n"/>
      <ns0:c r="Y27" s="211" t="n"/>
      <ns0:c r="Z27" s="199" t="n"/>
      <ns0:c r="AA27" s="199" t="n"/>
      <ns0:c r="AB27" s="43" t="n">
        <ns0:v>37</ns0:v>
      </ns0:c>
      <ns0:c r="AC27" s="211" t="n">
        <ns0:v>24</ns0:v>
      </ns0:c>
      <ns0:c r="AD27" s="199" t="n">
        <ns0:v>0.4121621621621622</ns0:v>
      </ns0:c>
      <ns0:c r="AE27" s="210" t="n">
        <ns0:v>63</ns0:v>
      </ns0:c>
      <ns0:c r="AF27" s="199" t="n">
        <ns0:v>0.58</ns0:v>
      </ns0:c>
      <ns0:c r="AG27" s="199" t="n">
        <ns0:v>0.42</ns0:v>
      </ns0:c>
    </ns0:row>
    <ns0:row r="28">
      <ns0:c r="B28" s="198" t="n">
        <ns0:v>45579</ns0:v>
      </ns0:c>
      <ns0:c r="C28" s="198" t="inlineStr">
        <ns0:is>
          <ns0:t>E2-3A</ns0:t>
        </ns0:is>
      </ns0:c>
      <ns0:c r="D28" s="43" t="n">
        <ns0:v>150</ns0:v>
      </ns0:c>
      <ns0:c r="E28" s="210" t="n">
        <ns0:v>113</ns0:v>
      </ns0:c>
      <ns0:c r="F28" s="43" t="n">
        <ns0:v>0</ns0:v>
      </ns0:c>
      <ns0:c r="G28" s="43" t="n">
        <ns0:v>1</ns0:v>
      </ns0:c>
      <ns0:c r="H28" s="43" t="n">
        <ns0:v>0</ns0:v>
      </ns0:c>
      <ns0:c r="I28" s="43" t="n">
        <ns0:v>1</ns0:v>
      </ns0:c>
      <ns0:c r="J28" s="43" t="n">
        <ns0:v>1</ns0:v>
      </ns0:c>
      <ns0:c r="K28" s="199" t="n">
        <ns0:v>0.02</ns0:v>
      </ns0:c>
      <ns0:c r="L28" s="43" t="n">
        <ns0:v>147</ns0:v>
      </ns0:c>
      <ns0:c r="M28" s="43" t="n">
        <ns0:v>1</ns0:v>
      </ns0:c>
      <ns0:c r="N28" s="43" t="n">
        <ns0:v>1</ns0:v>
      </ns0:c>
      <ns0:c r="O28" s="43" t="n">
        <ns0:v>0</ns0:v>
      </ns0:c>
      <ns0:c r="P28" s="43" t="n"/>
      <ns0:c r="Q28" s="211" t="n"/>
      <ns0:c r="R28" s="199" t="n"/>
      <ns0:c r="S28" s="199" t="n"/>
      <ns0:c r="T28" s="43" t="n">
        <ns0:v>39</ns0:v>
      </ns0:c>
      <ns0:c r="U28" s="211" t="n">
        <ns0:v>0</ns0:v>
      </ns0:c>
      <ns0:c r="V28" s="199" t="n">
        <ns0:v>0.2653061224489796</ns0:v>
      </ns0:c>
      <ns0:c r="W28" s="199" t="n">
        <ns0:v>0.7066666666666667</ns0:v>
      </ns0:c>
      <ns0:c r="X28" s="43" t="n"/>
      <ns0:c r="Y28" s="211" t="n"/>
      <ns0:c r="Z28" s="199" t="n"/>
      <ns0:c r="AA28" s="199" t="n"/>
      <ns0:c r="AB28" s="43" t="n">
        <ns0:v>32</ns0:v>
      </ns0:c>
      <ns0:c r="AC28" s="211" t="n">
        <ns0:v>0</ns0:v>
      </ns0:c>
      <ns0:c r="AD28" s="199" t="n">
        <ns0:v>0.217687074829932</ns0:v>
      </ns0:c>
      <ns0:c r="AE28" s="210" t="n">
        <ns0:v>37</ns0:v>
      </ns0:c>
      <ns0:c r="AF28" s="199" t="n">
        <ns0:v>0.7533333333333333</ns0:v>
      </ns0:c>
      <ns0:c r="AG28" s="199" t="n">
        <ns0:v>0.2466666666666667</ns0:v>
      </ns0:c>
    </ns0:row>
    <ns0:row r="29">
      <ns0:c r="B29" s="198" t="n">
        <ns0:v>45581</ns0:v>
      </ns0:c>
      <ns0:c r="C29" s="198" t="inlineStr">
        <ns0:is>
          <ns0:t>E2-3B</ns0:t>
        </ns0:is>
      </ns0:c>
      <ns0:c r="D29" s="43" t="n">
        <ns0:v>226</ns0:v>
      </ns0:c>
      <ns0:c r="E29" s="210" t="n">
        <ns0:v>148</ns0:v>
      </ns0:c>
      <ns0:c r="F29" s="43" t="n">
        <ns0:v>0</ns0:v>
      </ns0:c>
      <ns0:c r="G29" s="43" t="n">
        <ns0:v>0</ns0:v>
      </ns0:c>
      <ns0:c r="H29" s="43" t="n">
        <ns0:v>0</ns0:v>
      </ns0:c>
      <ns0:c r="I29" s="43" t="n">
        <ns0:v>2</ns0:v>
      </ns0:c>
      <ns0:c r="J29" s="43" t="n">
        <ns0:v>2</ns0:v>
      </ns0:c>
      <ns0:c r="K29" s="199" t="n">
        <ns0:v>0.01769911504424779</ns0:v>
      </ns0:c>
      <ns0:c r="L29" s="43" t="n">
        <ns0:v>223</ns0:v>
      </ns0:c>
      <ns0:c r="M29" s="43" t="n">
        <ns0:v>0</ns0:v>
      </ns0:c>
      <ns0:c r="N29" s="43" t="n">
        <ns0:v>3</ns0:v>
      </ns0:c>
      <ns0:c r="O29" s="43" t="n">
        <ns0:v>3</ns0:v>
      </ns0:c>
      <ns0:c r="P29" s="43" t="n"/>
      <ns0:c r="Q29" s="211" t="n"/>
      <ns0:c r="R29" s="199" t="n"/>
      <ns0:c r="S29" s="199" t="n"/>
      <ns0:c r="T29" s="43" t="n">
        <ns0:v>63</ns0:v>
      </ns0:c>
      <ns0:c r="U29" s="211" t="n">
        <ns0:v>39</ns0:v>
      </ns0:c>
      <ns0:c r="V29" s="199" t="n">
        <ns0:v>0.4573991031390134</ns0:v>
      </ns0:c>
      <ns0:c r="W29" s="199" t="n">
        <ns0:v>0.504424778761062</ns0:v>
      </ns0:c>
      <ns0:c r="X29" s="43" t="n">
        <ns0:v>58</ns0:v>
      </ns0:c>
      <ns0:c r="Y29" s="211" t="n">
        <ns0:v>27</ns0:v>
      </ns0:c>
      <ns0:c r="Z29" s="199" t="n">
        <ns0:v>0.3811659192825112</ns0:v>
      </ns0:c>
      <ns0:c r="AA29" s="199" t="n">
        <ns0:v>0.5796460176991151</ns0:v>
      </ns0:c>
      <ns0:c r="AB29" s="43" t="n">
        <ns0:v>46</ns0:v>
      </ns0:c>
      <ns0:c r="AC29" s="211" t="n">
        <ns0:v>22</ns0:v>
      </ns0:c>
      <ns0:c r="AD29" s="199" t="n">
        <ns0:v>0.304932735426009</ns0:v>
      </ns0:c>
      <ns0:c r="AE29" s="210" t="n">
        <ns0:v>78</ns0:v>
      </ns0:c>
      <ns0:c r="AF29" s="199" t="n">
        <ns0:v>0.6548672566371682</ns0:v>
      </ns0:c>
      <ns0:c r="AG29" s="199" t="n">
        <ns0:v>0.3451327433628318</ns0:v>
      </ns0:c>
    </ns0:row>
    <ns0:row r="30">
      <ns0:c r="B30" s="198" t="n">
        <ns0:v>45582</ns0:v>
      </ns0:c>
      <ns0:c r="C30" s="198" t="inlineStr">
        <ns0:is>
          <ns0:t>E2-3B</ns0:t>
        </ns0:is>
      </ns0:c>
      <ns0:c r="D30" s="43" t="n">
        <ns0:v>127</ns0:v>
      </ns0:c>
      <ns0:c r="E30" s="210" t="n">
        <ns0:v>91</ns0:v>
      </ns0:c>
      <ns0:c r="F30" s="43" t="n">
        <ns0:v>0</ns0:v>
      </ns0:c>
      <ns0:c r="G30" s="43" t="n">
        <ns0:v>0</ns0:v>
      </ns0:c>
      <ns0:c r="H30" s="43" t="n">
        <ns0:v>0</ns0:v>
      </ns0:c>
      <ns0:c r="I30" s="43" t="n">
        <ns0:v>1</ns0:v>
      </ns0:c>
      <ns0:c r="J30" s="43" t="n">
        <ns0:v>3</ns0:v>
      </ns0:c>
      <ns0:c r="K30" s="199" t="n">
        <ns0:v>0.03149606299212598</ns0:v>
      </ns0:c>
      <ns0:c r="L30" s="43" t="n">
        <ns0:v>123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/>
      <ns0:c r="Q30" s="211" t="n"/>
      <ns0:c r="R30" s="199" t="n"/>
      <ns0:c r="S30" s="199" t="n"/>
      <ns0:c r="T30" s="43" t="n">
        <ns0:v>41</ns0:v>
      </ns0:c>
      <ns0:c r="U30" s="211" t="n">
        <ns0:v>20</ns0:v>
      </ns0:c>
      <ns0:c r="V30" s="199" t="n">
        <ns0:v>0.4959349593495935</ns0:v>
      </ns0:c>
      <ns0:c r="W30" s="199" t="n">
        <ns0:v>0.4881889763779528</ns0:v>
      </ns0:c>
      <ns0:c r="X30" s="43" t="n">
        <ns0:v>27</ns0:v>
      </ns0:c>
      <ns0:c r="Y30" s="211" t="n">
        <ns0:v>11</ns0:v>
      </ns0:c>
      <ns0:c r="Z30" s="199" t="n">
        <ns0:v>0.3089430894308943</ns0:v>
      </ns0:c>
      <ns0:c r="AA30" s="199" t="n">
        <ns0:v>0.6692913385826771</ns0:v>
      </ns0:c>
      <ns0:c r="AB30" s="43" t="n">
        <ns0:v>23</ns0:v>
      </ns0:c>
      <ns0:c r="AC30" s="211" t="n">
        <ns0:v>9</ns0:v>
      </ns0:c>
      <ns0:c r="AD30" s="199" t="n">
        <ns0:v>0.2601626016260163</ns0:v>
      </ns0:c>
      <ns0:c r="AE30" s="210" t="n">
        <ns0:v>36</ns0:v>
      </ns0:c>
      <ns0:c r="AF30" s="199" t="n">
        <ns0:v>0.7165354330708661</ns0:v>
      </ns0:c>
      <ns0:c r="AG30" s="199" t="n">
        <ns0:v>0.2834645669291339</ns0:v>
      </ns0:c>
    </ns0:row>
    <ns0:row r="31">
      <ns0:c r="B31" s="198" t="n">
        <ns0:v>45584</ns0:v>
      </ns0:c>
      <ns0:c r="C31" s="198" t="inlineStr">
        <ns0:is>
          <ns0:t>E2-3B</ns0:t>
        </ns0:is>
      </ns0:c>
      <ns0:c r="D31" s="43" t="n">
        <ns0:v>209</ns0:v>
      </ns0:c>
      <ns0:c r="E31" s="210" t="n">
        <ns0:v>209</ns0:v>
      </ns0:c>
      <ns0:c r="F31" s="43" t="n">
        <ns0:v>0</ns0:v>
      </ns0:c>
      <ns0:c r="G31" s="43" t="n">
        <ns0:v>1</ns0:v>
      </ns0:c>
      <ns0:c r="H31" s="43" t="n">
        <ns0:v>1</ns0:v>
      </ns0:c>
      <ns0:c r="I31" s="43" t="n">
        <ns0:v>1</ns0:v>
      </ns0:c>
      <ns0:c r="J31" s="43" t="n">
        <ns0:v>2</ns0:v>
      </ns0:c>
      <ns0:c r="K31" s="199" t="n">
        <ns0:v>0.02392344497607655</ns0:v>
      </ns0:c>
      <ns0:c r="L31" s="43" t="n">
        <ns0:v>204</ns0:v>
      </ns0:c>
      <ns0:c r="M31" s="43" t="n">
        <ns0:v>0</ns0:v>
      </ns0:c>
      <ns0:c r="N31" s="43" t="n">
        <ns0:v>1</ns0:v>
      </ns0:c>
      <ns0:c r="O31" s="43" t="n">
        <ns0:v>0</ns0:v>
      </ns0:c>
      <ns0:c r="P31" s="43" t="n">
        <ns0:v>91</ns0:v>
      </ns0:c>
      <ns0:c r="Q31" s="211" t="n">
        <ns0:v>23</ns0:v>
      </ns0:c>
      <ns0:c r="R31" s="199" t="n">
        <ns0:v>0.5588235294117647</ns0:v>
      </ns0:c>
      <ns0:c r="S31" s="199" t="n">
        <ns0:v>0.4258373205741627</ns0:v>
      </ns0:c>
      <ns0:c r="T31" s="43" t="n">
        <ns0:v>68</ns0:v>
      </ns0:c>
      <ns0:c r="U31" s="211" t="n">
        <ns0:v>17</ns0:v>
      </ns0:c>
      <ns0:c r="V31" s="199" t="n">
        <ns0:v>0.4166666666666667</ns0:v>
      </ns0:c>
      <ns0:c r="W31" s="199" t="n">
        <ns0:v>0.5645933014354068</ns0:v>
      </ns0:c>
      <ns0:c r="X31" s="43" t="n"/>
      <ns0:c r="Y31" s="211" t="n"/>
      <ns0:c r="Z31" s="199" t="n"/>
      <ns0:c r="AA31" s="199" t="n"/>
      <ns0:c r="AB31" s="43" t="n"/>
      <ns0:c r="AC31" s="211" t="n"/>
      <ns0:c r="AD31" s="199" t="n"/>
      <ns0:c r="AE31" s="210" t="n"/>
      <ns0:c r="AF31" s="199" t="n"/>
      <ns0:c r="AG31" s="199" t="n"/>
    </ns0:row>
    <ns0:row r="32">
      <ns0:c r="B32" s="198" t="n">
        <ns0:v>45585</ns0:v>
      </ns0:c>
      <ns0:c r="C32" s="198" t="inlineStr">
        <ns0:is>
          <ns0:t>E2-3B</ns0:t>
        </ns0:is>
      </ns0:c>
      <ns0:c r="D32" s="43" t="n">
        <ns0:v>163</ns0:v>
      </ns0:c>
      <ns0:c r="E32" s="210" t="n">
        <ns0:v>163</ns0:v>
      </ns0:c>
      <ns0:c r="F32" s="43" t="n">
        <ns0:v>0</ns0:v>
      </ns0:c>
      <ns0:c r="G32" s="43" t="n">
        <ns0:v>0</ns0:v>
      </ns0:c>
      <ns0:c r="H32" s="43" t="n">
        <ns0:v>0</ns0:v>
      </ns0:c>
      <ns0:c r="I32" s="43" t="n">
        <ns0:v>1</ns0:v>
      </ns0:c>
      <ns0:c r="J32" s="43" t="n">
        <ns0:v>2</ns0:v>
      </ns0:c>
      <ns0:c r="K32" s="199" t="n">
        <ns0:v>0.01840490797546012</ns0:v>
      </ns0:c>
      <ns0:c r="L32" s="43" t="n">
        <ns0:v>160</ns0:v>
      </ns0:c>
      <ns0:c r="M32" s="43" t="n">
        <ns0:v>0</ns0:v>
      </ns0:c>
      <ns0:c r="N32" s="43" t="n">
        <ns0:v>2</ns0:v>
      </ns0:c>
      <ns0:c r="O32" s="43" t="n">
        <ns0:v>0</ns0:v>
      </ns0:c>
      <ns0:c r="P32" s="43" t="n">
        <ns0:v>55</ns0:v>
      </ns0:c>
      <ns0:c r="Q32" s="211" t="n">
        <ns0:v>16</ns0:v>
      </ns0:c>
      <ns0:c r="R32" s="199" t="n">
        <ns0:v>0.44375</ns0:v>
      </ns0:c>
      <ns0:c r="S32" s="199" t="n">
        <ns0:v>0.5337423312883436</ns0:v>
      </ns0:c>
      <ns0:c r="T32" s="43" t="n">
        <ns0:v>40</ns0:v>
      </ns0:c>
      <ns0:c r="U32" s="211" t="n">
        <ns0:v>10</ns0:v>
      </ns0:c>
      <ns0:c r="V32" s="199" t="n">
        <ns0:v>0.3125</ns0:v>
      </ns0:c>
      <ns0:c r="W32" s="199" t="n">
        <ns0:v>0.6625766871165644</ns0:v>
      </ns0:c>
      <ns0:c r="X32" s="43" t="n"/>
      <ns0:c r="Y32" s="211" t="n"/>
      <ns0:c r="Z32" s="199" t="n"/>
      <ns0:c r="AA32" s="199" t="n"/>
      <ns0:c r="AB32" s="43" t="n"/>
      <ns0:c r="AC32" s="211" t="n"/>
      <ns0:c r="AD32" s="199" t="n"/>
      <ns0:c r="AE32" s="210" t="n"/>
      <ns0:c r="AF32" s="199" t="n"/>
      <ns0:c r="AG32" s="199" t="n"/>
    </ns0:row>
    <ns0:row r="33">
      <ns0:c r="B33" s="198" t="n">
        <ns0:v>45586</ns0:v>
      </ns0:c>
      <ns0:c r="C33" s="198" t="inlineStr">
        <ns0:is>
          <ns0:t>E2-3B</ns0:t>
        </ns0:is>
      </ns0:c>
      <ns0:c r="D33" s="43" t="n">
        <ns0:v>132</ns0:v>
      </ns0:c>
      <ns0:c r="E33" s="210" t="n">
        <ns0:v>132</ns0:v>
      </ns0:c>
      <ns0:c r="F33" s="43" t="n">
        <ns0:v>0</ns0:v>
      </ns0:c>
      <ns0:c r="G33" s="43" t="n">
        <ns0:v>0</ns0:v>
      </ns0:c>
      <ns0:c r="H33" s="43" t="n">
        <ns0:v>0</ns0:v>
      </ns0:c>
      <ns0:c r="I33" s="43" t="n">
        <ns0:v>0</ns0:v>
      </ns0:c>
      <ns0:c r="J33" s="43" t="n">
        <ns0:v>0</ns0:v>
      </ns0:c>
      <ns0:c r="K33" s="199" t="n">
        <ns0:v>0</ns0:v>
      </ns0:c>
      <ns0:c r="L33" s="43" t="n">
        <ns0:v>132</ns0:v>
      </ns0:c>
      <ns0:c r="M33" s="43" t="n">
        <ns0:v>0</ns0:v>
      </ns0:c>
      <ns0:c r="N33" s="43" t="n">
        <ns0:v>0</ns0:v>
      </ns0:c>
      <ns0:c r="O33" s="43" t="n">
        <ns0:v>0</ns0:v>
      </ns0:c>
      <ns0:c r="P33" s="43" t="n">
        <ns0:v>43</ns0:v>
      </ns0:c>
      <ns0:c r="Q33" s="211" t="n">
        <ns0:v>15</ns0:v>
      </ns0:c>
      <ns0:c r="R33" s="199" t="n">
        <ns0:v>0.4393939393939394</ns0:v>
      </ns0:c>
      <ns0:c r="S33" s="199" t="n">
        <ns0:v>0.5606060606060606</ns0:v>
      </ns0:c>
      <ns0:c r="T33" s="43" t="n">
        <ns0:v>37</ns0:v>
      </ns0:c>
      <ns0:c r="U33" s="211" t="n">
        <ns0:v>10</ns0:v>
      </ns0:c>
      <ns0:c r="V33" s="199" t="n">
        <ns0:v>0.3560606060606061</ns0:v>
      </ns0:c>
      <ns0:c r="W33" s="199" t="n">
        <ns0:v>0.6439393939393939</ns0:v>
      </ns0:c>
      <ns0:c r="X33" s="43" t="n"/>
      <ns0:c r="Y33" s="211" t="n"/>
      <ns0:c r="Z33" s="199" t="n"/>
      <ns0:c r="AA33" s="199" t="n"/>
      <ns0:c r="AB33" s="43" t="n"/>
      <ns0:c r="AC33" s="211" t="n"/>
      <ns0:c r="AD33" s="199" t="n"/>
      <ns0:c r="AE33" s="210" t="n"/>
      <ns0:c r="AF33" s="199" t="n"/>
      <ns0:c r="AG33" s="199" t="n"/>
    </ns0:row>
    <ns0:row r="34">
      <ns0:c r="B34" s="198" t="n">
        <ns0:v>45587</ns0:v>
      </ns0:c>
      <ns0:c r="C34" s="198" t="inlineStr">
        <ns0:is>
          <ns0:t>E2-3B</ns0:t>
        </ns0:is>
      </ns0:c>
      <ns0:c r="D34" s="43" t="n">
        <ns0:v>136</ns0:v>
      </ns0:c>
      <ns0:c r="E34" s="210" t="n">
        <ns0:v>136</ns0:v>
      </ns0:c>
      <ns0:c r="F34" s="43" t="n">
        <ns0:v>0</ns0:v>
      </ns0:c>
      <ns0:c r="G34" s="43" t="n">
        <ns0:v>0</ns0:v>
      </ns0:c>
      <ns0:c r="H34" s="43" t="n">
        <ns0:v>0</ns0:v>
      </ns0:c>
      <ns0:c r="I34" s="43" t="n">
        <ns0:v>3</ns0:v>
      </ns0:c>
      <ns0:c r="J34" s="43" t="n">
        <ns0:v>1</ns0:v>
      </ns0:c>
      <ns0:c r="K34" s="199" t="n">
        <ns0:v>0.02941176470588235</ns0:v>
      </ns0:c>
      <ns0:c r="L34" s="43" t="n">
        <ns0:v>132</ns0:v>
      </ns0:c>
      <ns0:c r="M34" s="43" t="n">
        <ns0:v>1</ns0:v>
      </ns0:c>
      <ns0:c r="N34" s="43" t="n">
        <ns0:v>0</ns0:v>
      </ns0:c>
      <ns0:c r="O34" s="43" t="n">
        <ns0:v>1</ns0:v>
      </ns0:c>
      <ns0:c r="P34" s="43" t="n">
        <ns0:v>48</ns0:v>
      </ns0:c>
      <ns0:c r="Q34" s="211" t="n">
        <ns0:v>25</ns0:v>
      </ns0:c>
      <ns0:c r="R34" s="199" t="n">
        <ns0:v>0.553030303030303</ns0:v>
      </ns0:c>
      <ns0:c r="S34" s="199" t="n">
        <ns0:v>0.4191176470588235</ns0:v>
      </ns0:c>
      <ns0:c r="T34" s="43" t="n">
        <ns0:v>36</ns0:v>
      </ns0:c>
      <ns0:c r="U34" s="211" t="n">
        <ns0:v>13</ns0:v>
      </ns0:c>
      <ns0:c r="V34" s="199" t="n">
        <ns0:v>0.3712121212121212</ns0:v>
      </ns0:c>
      <ns0:c r="W34" s="199" t="n">
        <ns0:v>0.5955882352941176</ns0:v>
      </ns0:c>
      <ns0:c r="X34" s="43" t="n"/>
      <ns0:c r="Y34" s="211" t="n"/>
      <ns0:c r="Z34" s="199" t="n"/>
      <ns0:c r="AA34" s="199" t="n"/>
      <ns0:c r="AB34" s="43" t="n"/>
      <ns0:c r="AC34" s="211" t="n"/>
      <ns0:c r="AD34" s="199" t="n"/>
      <ns0:c r="AE34" s="210" t="n"/>
      <ns0:c r="AF34" s="199" t="n"/>
      <ns0:c r="AG34" s="199" t="n"/>
    </ns0:row>
    <ns0:row r="35">
      <ns0:c r="B35" s="198" t="n">
        <ns0:v>45588</ns0:v>
      </ns0:c>
      <ns0:c r="C35" s="198" t="inlineStr">
        <ns0:is>
          <ns0:t>E2-3B</ns0:t>
        </ns0:is>
      </ns0:c>
      <ns0:c r="D35" s="43" t="n">
        <ns0:v>141</ns0:v>
      </ns0:c>
      <ns0:c r="E35" s="210" t="n">
        <ns0:v>141</ns0:v>
      </ns0:c>
      <ns0:c r="F35" s="43" t="n">
        <ns0:v>0</ns0:v>
      </ns0:c>
      <ns0:c r="G35" s="43" t="n">
        <ns0:v>0</ns0:v>
      </ns0:c>
      <ns0:c r="H35" s="43" t="n">
        <ns0:v>1</ns0:v>
      </ns0:c>
      <ns0:c r="I35" s="43" t="n">
        <ns0:v>1</ns0:v>
      </ns0:c>
      <ns0:c r="J35" s="43" t="n">
        <ns0:v>1</ns0:v>
      </ns0:c>
      <ns0:c r="K35" s="199" t="n">
        <ns0:v>0.02127659574468085</ns0:v>
      </ns0:c>
      <ns0:c r="L35" s="43" t="n">
        <ns0:v>138</ns0:v>
      </ns0:c>
      <ns0:c r="M35" s="43" t="n">
        <ns0:v>0</ns0:v>
      </ns0:c>
      <ns0:c r="N35" s="43" t="n">
        <ns0:v>0</ns0:v>
      </ns0:c>
      <ns0:c r="O35" s="43" t="n">
        <ns0:v>0</ns0:v>
      </ns0:c>
      <ns0:c r="P35" s="43" t="n">
        <ns0:v>64</ns0:v>
      </ns0:c>
      <ns0:c r="Q35" s="211" t="n">
        <ns0:v>20</ns0:v>
      </ns0:c>
      <ns0:c r="R35" s="199" t="n">
        <ns0:v>0.6086956521739131</ns0:v>
      </ns0:c>
      <ns0:c r="S35" s="199" t="n">
        <ns0:v>0.3829787234042553</ns0:v>
      </ns0:c>
      <ns0:c r="T35" s="43" t="n">
        <ns0:v>53</ns0:v>
      </ns0:c>
      <ns0:c r="U35" s="211" t="n">
        <ns0:v>19</ns0:v>
      </ns0:c>
      <ns0:c r="V35" s="199" t="n">
        <ns0:v>0.5217391304347826</ns0:v>
      </ns0:c>
      <ns0:c r="W35" s="199" t="n">
        <ns0:v>0.4680851063829787</ns0:v>
      </ns0:c>
      <ns0:c r="X35" s="43" t="n"/>
      <ns0:c r="Y35" s="211" t="n"/>
      <ns0:c r="Z35" s="199" t="n"/>
      <ns0:c r="AA35" s="199" t="n"/>
      <ns0:c r="AB35" s="43" t="n"/>
      <ns0:c r="AC35" s="211" t="n"/>
      <ns0:c r="AD35" s="199" t="n"/>
      <ns0:c r="AE35" s="210" t="n"/>
      <ns0:c r="AF35" s="199" t="n"/>
      <ns0:c r="AG35" s="199" t="n"/>
    </ns0:row>
  </ns0:sheetData>
  <ns0:mergeCells count="91">
    <ns0:mergeCell ref="S14:U14"/>
    <ns0:mergeCell ref="S13:U13"/>
    <ns0:mergeCell ref="E23:E24"/>
    <ns0:mergeCell ref="P17:R17"/>
    <ns0:mergeCell ref="M12:O12"/>
    <ns0:mergeCell ref="S23:S24"/>
    <ns0:mergeCell ref="B23:B24"/>
    <ns0:mergeCell ref="S15:U15"/>
    <ns0:mergeCell ref="P19:R19"/>
    <ns0:mergeCell ref="D3:D11"/>
    <ns0:mergeCell ref="AA3:AA11"/>
    <ns0:mergeCell ref="F16:I16"/>
    <ns0:mergeCell ref="P12:R12"/>
    <ns0:mergeCell ref="P14:R14"/>
    <ns0:mergeCell ref="V12:X12"/>
    <ns0:mergeCell ref="F15:I15"/>
    <ns0:mergeCell ref="P4:R4"/>
    <ns0:mergeCell ref="V14:X14"/>
    <ns0:mergeCell ref="F5:I11"/>
    <ns0:mergeCell ref="P5:R11"/>
    <ns0:mergeCell ref="J13:L13"/>
    <ns0:mergeCell ref="X23:Z23"/>
    <ns0:mergeCell ref="J5:L11"/>
    <ns0:mergeCell ref="V4:X4"/>
    <ns0:mergeCell ref="V13:X13"/>
    <ns0:mergeCell ref="S17:U17"/>
    <ns0:mergeCell ref="M20:O20"/>
    <ns0:mergeCell ref="J15:L15"/>
    <ns0:mergeCell ref="F13:I13"/>
    <ns0:mergeCell ref="B25:C25"/>
    <ns0:mergeCell ref="M5:O11"/>
    <ns0:mergeCell ref="M15:O15"/>
    <ns0:mergeCell ref="P16:R16"/>
    <ns0:mergeCell ref="J16:L16"/>
    <ns0:mergeCell ref="F23:K23"/>
    <ns0:mergeCell ref="P18:R18"/>
    <ns0:mergeCell ref="F19:I19"/>
    <ns0:mergeCell ref="AE23:AE24"/>
    <ns0:mergeCell ref="M14:O14"/>
    <ns0:mergeCell ref="M4:O4"/>
    <ns0:mergeCell ref="S5:U11"/>
    <ns0:mergeCell ref="F3:X3"/>
    <ns0:mergeCell ref="V17:X17"/>
    <ns0:mergeCell ref="F20:I20"/>
    <ns0:mergeCell ref="P20:R20"/>
    <ns0:mergeCell ref="S16:U16"/>
    <ns0:mergeCell ref="J14:L14"/>
    <ns0:mergeCell ref="F17:I17"/>
    <ns0:mergeCell ref="B3:B11"/>
    <ns0:mergeCell ref="S18:U18"/>
    <ns0:mergeCell ref="D23:D24"/>
    <ns0:mergeCell ref="V20:X20"/>
    <ns0:mergeCell ref="V5:X11"/>
    <ns0:mergeCell ref="Z3:Z11"/>
    <ns0:mergeCell ref="J4:L4"/>
    <ns0:mergeCell ref="P23:R23"/>
    <ns0:mergeCell ref="V15:X15"/>
    <ns0:mergeCell ref="F4:I4"/>
    <ns0:mergeCell ref="T23:V23"/>
    <ns0:mergeCell ref="M17:O17"/>
    <ns0:mergeCell ref="S20:U20"/>
    <ns0:mergeCell ref="V16:X16"/>
    <ns0:mergeCell ref="C23:C24"/>
    <ns0:mergeCell ref="M19:O19"/>
    <ns0:mergeCell ref="J18:L18"/>
    <ns0:mergeCell ref="W23:W24"/>
    <ns0:mergeCell ref="S4:U4"/>
    <ns0:mergeCell ref="C3:C11"/>
    <ns0:mergeCell ref="E3:E11"/>
    <ns0:mergeCell ref="V18:X18"/>
    <ns0:mergeCell ref="J17:L17"/>
    <ns0:mergeCell ref="Y3:Y11"/>
    <ns0:mergeCell ref="S12:U12"/>
    <ns0:mergeCell ref="F18:I18"/>
    <ns0:mergeCell ref="J19:L19"/>
    <ns0:mergeCell ref="AA23:AA24"/>
    <ns0:mergeCell ref="V19:X19"/>
    <ns0:mergeCell ref="M13:O13"/>
    <ns0:mergeCell ref="J20:L20"/>
    <ns0:mergeCell ref="M16:O16"/>
    <ns0:mergeCell ref="F14:I14"/>
    <ns0:mergeCell ref="S19:U19"/>
    <ns0:mergeCell ref="M18:O18"/>
    <ns0:mergeCell ref="P13:R13"/>
    <ns0:mergeCell ref="AB23:AD23"/>
    <ns0:mergeCell ref="J12:L12"/>
    <ns0:mergeCell ref="P15:R15"/>
    <ns0:mergeCell ref="F12:I12"/>
    <ns0:mergeCell ref="AF23:AF24"/>
    <ns0:mergeCell ref="L23:O23"/>
    <ns0:mergeCell ref="AG23:AG2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J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4.85714285714286" customWidth="1" min="3" max="3"/>
    <ns0:col width="24.85714285714286" customWidth="1" min="4" max="4"/>
    <ns0:col width="43.71428571428572" customWidth="1" min="5" max="5"/>
    <ns0:col width="30.85714285714286" customWidth="1" min="6" max="6"/>
    <ns0:col width="30.85714285714286" customWidth="1" min="7" max="7"/>
    <ns0:col width="29.57142857142857" customWidth="1" min="8" max="8"/>
    <ns0:col width="20.85714285714286" customWidth="1" min="9" max="9"/>
    <ns0:col width="23.85714285714286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57142857142857" customWidth="1" min="14" max="14"/>
    <ns0:col width="30.57142857142857" customWidth="1" min="15" max="15"/>
    <ns0:col width="30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212" t="inlineStr">
        <ns0:is>
          <ns0:t>TITLE</ns0:t>
        </ns0:is>
      </ns0:c>
      <ns0:c r="C2" s="4" t="n"/>
      <ns0:c r="D2" s="132" t="inlineStr">
        <ns0:is>
          <ns0:t xml:space="preserve">REPORT TEST CHANGE METHOD REPAIR NG HEARING  BRS-161016
</ns0:t>
        </ns0:is>
      </ns0:c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213" t="inlineStr">
        <ns0:is>
          <ns0:t>Dept</ns0:t>
        </ns0:is>
      </ns0:c>
      <ns0:c r="R2" s="214" t="inlineStr">
        <ns0:is>
          <ns0:t>ME</ns0:t>
        </ns0:is>
      </ns0:c>
    </ns0:row>
    <ns0:row r="3" ht="40.5" customHeight="1">
      <ns0:c r="B3" s="7" t="n"/>
      <ns0:c r="C3" s="9" t="n"/>
      <ns0:c r="D3" s="8" t="n"/>
      <ns0:c r="P3" s="9" t="n"/>
      <ns0:c r="Q3" s="215" t="inlineStr">
        <ns0:is>
          <ns0:t>Date</ns0:t>
        </ns0:is>
      </ns0:c>
      <ns0:c r="R3" s="216" t="n">
        <ns0:v>45576</ns0:v>
      </ns0:c>
    </ns0:row>
    <ns0:row r="4" ht="40.5" customHeight="1">
      <ns0:c r="B4" s="12" t="n"/>
      <ns0:c r="C4" s="15" t="n"/>
      <ns0:c r="D4" s="13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215" t="inlineStr">
        <ns0:is>
          <ns0:t>Marker</ns0:t>
        </ns0:is>
      </ns0:c>
      <ns0:c r="R4" s="217" t="inlineStr">
        <ns0:is>
          <ns0:t>Le</ns0:t>
        </ns0:is>
      </ns0:c>
    </ns0:row>
    <ns0:row r="5" ht="40.5" customHeight="1">
      <ns0:c r="B5" s="218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19" t="inlineStr">
        <ns0:is>
          <ns0:t xml:space="preserve"> -  Test change method repair NG hearing </ns0:t>
        </ns0:is>
      </ns0:c>
      <ns0:c r="C6" s="220" t="n"/>
      <ns0:c r="D6" s="220" t="n"/>
      <ns0:c r="E6" s="220" t="n"/>
      <ns0:c r="F6" s="220" t="n"/>
      <ns0:c r="G6" s="220" t="n"/>
      <ns0:c r="H6" s="220" t="n"/>
      <ns0:c r="I6" s="220" t="n"/>
      <ns0:c r="J6" s="220" t="n"/>
      <ns0:c r="K6" s="220" t="n"/>
      <ns0:c r="L6" s="220" t="n"/>
      <ns0:c r="M6" s="220" t="n"/>
      <ns0:c r="N6" s="220" t="n"/>
      <ns0:c r="O6" s="220" t="n"/>
      <ns0:c r="P6" s="220" t="n"/>
      <ns0:c r="Q6" s="220" t="n"/>
      <ns0:c r="R6" s="221" t="n"/>
    </ns0:row>
    <ns0:row r="7" ht="46.5" customHeight="1">
      <ns0:c r="B7" s="222" t="n"/>
      <ns0:c r="C7" s="155" t="inlineStr">
        <ns0:is>
          <ns0:t xml:space="preserve">Spec normal </ns0:t>
        </ns0:is>
      </ns0:c>
      <ns0:c r="D7" s="60" t="n"/>
      <ns0:c r="E7" s="155" t="inlineStr">
        <ns0:is>
          <ns0:t>Spec increase voltage 10%</ns0:t>
        </ns0:is>
      </ns0:c>
      <ns0:c r="F7" s="60" t="n"/>
      <ns0:c r="G7" s="155" t="inlineStr">
        <ns0:is>
          <ns0:t>Spec increase voltage 5%</ns0:t>
        </ns0:is>
      </ns0:c>
      <ns0:c r="H7" s="60" t="n"/>
      <ns0:c r="I7" s="223" t="n"/>
      <ns0:c r="J7" s="223" t="n"/>
      <ns0:c r="K7" s="223" t="n"/>
      <ns0:c r="L7" s="223" t="n"/>
      <ns0:c r="M7" s="223" t="n"/>
      <ns0:c r="N7" s="223" t="n"/>
      <ns0:c r="O7" s="223" t="n"/>
      <ns0:c r="P7" s="223" t="n"/>
      <ns0:c r="Q7" s="223" t="n"/>
      <ns0:c r="R7" s="224" t="n"/>
    </ns0:row>
    <ns0:row r="8" ht="46.5" customHeight="1">
      <ns0:c r="B8" s="222" t="n"/>
      <ns0:c r="C8" s="225" t="inlineStr">
        <ns0:is>
          <ns0:t>E02</ns0:t>
        </ns0:is>
      </ns0:c>
      <ns0:c r="D8" s="225" t="inlineStr">
        <ns0:is>
          <ns0:t>Output voltage</ns0:t>
        </ns0:is>
      </ns0:c>
      <ns0:c r="E8" s="225" t="inlineStr">
        <ns0:is>
          <ns0:t>E02</ns0:t>
        </ns0:is>
      </ns0:c>
      <ns0:c r="F8" s="225" t="inlineStr">
        <ns0:is>
          <ns0:t>Output voltage</ns0:t>
        </ns0:is>
      </ns0:c>
      <ns0:c r="G8" s="225" t="inlineStr">
        <ns0:is>
          <ns0:t>E02</ns0:t>
        </ns0:is>
      </ns0:c>
      <ns0:c r="H8" s="225" t="inlineStr">
        <ns0:is>
          <ns0:t>Output voltage</ns0:t>
        </ns0:is>
      </ns0:c>
      <ns0:c r="I8" s="223" t="n"/>
      <ns0:c r="J8" s="223" t="n"/>
      <ns0:c r="K8" s="223" t="n"/>
      <ns0:c r="L8" s="223" t="n"/>
      <ns0:c r="M8" s="223" t="n"/>
      <ns0:c r="N8" s="223" t="n"/>
      <ns0:c r="O8" s="223" t="n"/>
      <ns0:c r="P8" s="223" t="n"/>
      <ns0:c r="Q8" s="223" t="n"/>
      <ns0:c r="R8" s="224" t="n"/>
    </ns0:row>
    <ns0:row r="9" ht="46.5" customHeight="1">
      <ns0:c r="B9" s="222" t="n"/>
      <ns0:c r="C9" s="158" t="inlineStr">
        <ns0:is>
          <ns0:t>E0</ns0:t>
        </ns0:is>
      </ns0:c>
      <ns0:c r="D9" s="158" t="n">
        <ns0:v>7.5</ns0:v>
      </ns0:c>
      <ns0:c r="E9" s="158" t="inlineStr">
        <ns0:is>
          <ns0:t>E0</ns0:t>
        </ns0:is>
      </ns0:c>
      <ns0:c r="F9" s="158" t="n">
        <ns0:v>8.25</ns0:v>
      </ns0:c>
      <ns0:c r="G9" s="158" t="inlineStr">
        <ns0:is>
          <ns0:t>E0</ns0:t>
        </ns0:is>
      </ns0:c>
      <ns0:c r="H9" s="158" t="n">
        <ns0:v>7.88</ns0:v>
      </ns0:c>
      <ns0:c r="I9" s="223" t="n"/>
      <ns0:c r="J9" s="223" t="n"/>
      <ns0:c r="K9" s="223" t="n"/>
      <ns0:c r="L9" s="223" t="n"/>
      <ns0:c r="M9" s="223" t="n"/>
      <ns0:c r="N9" s="223" t="n"/>
      <ns0:c r="O9" s="223" t="n"/>
      <ns0:c r="P9" s="223" t="n"/>
      <ns0:c r="Q9" s="223" t="n"/>
      <ns0:c r="R9" s="224" t="n"/>
    </ns0:row>
    <ns0:row r="10" ht="46.5" customHeight="1">
      <ns0:c r="B10" s="222" t="n"/>
      <ns0:c r="C10" s="158" t="inlineStr">
        <ns0:is>
          <ns0:t>E1</ns0:t>
        </ns0:is>
      </ns0:c>
      <ns0:c r="D10" s="226" t="n">
        <ns0:v>4</ns0:v>
      </ns0:c>
      <ns0:c r="E10" s="158" t="inlineStr">
        <ns0:is>
          <ns0:t>E1</ns0:t>
        </ns0:is>
      </ns0:c>
      <ns0:c r="F10" s="158" t="n">
        <ns0:v>4.4</ns0:v>
      </ns0:c>
      <ns0:c r="G10" s="158" t="inlineStr">
        <ns0:is>
          <ns0:t>E1</ns0:t>
        </ns0:is>
      </ns0:c>
      <ns0:c r="H10" s="158" t="n">
        <ns0:v>4.2</ns0:v>
      </ns0:c>
      <ns0:c r="I10" s="223" t="n"/>
      <ns0:c r="J10" s="223" t="n"/>
      <ns0:c r="K10" s="223" t="n"/>
      <ns0:c r="L10" s="223" t="n"/>
      <ns0:c r="M10" s="223" t="n"/>
      <ns0:c r="N10" s="223" t="n"/>
      <ns0:c r="O10" s="223" t="n"/>
      <ns0:c r="P10" s="223" t="n"/>
      <ns0:c r="Q10" s="223" t="n"/>
      <ns0:c r="R10" s="224" t="n"/>
    </ns0:row>
    <ns0:row r="11" ht="46.5" customHeight="1">
      <ns0:c r="B11" s="222" t="n"/>
      <ns0:c r="C11" s="158" t="inlineStr">
        <ns0:is>
          <ns0:t>E2</ns0:t>
        </ns0:is>
      </ns0:c>
      <ns0:c r="D11" s="158" t="n">
        <ns0:v>3.1</ns0:v>
      </ns0:c>
      <ns0:c r="E11" s="158" t="inlineStr">
        <ns0:is>
          <ns0:t>E2</ns0:t>
        </ns0:is>
      </ns0:c>
      <ns0:c r="F11" s="158" t="n">
        <ns0:v>3.41</ns0:v>
      </ns0:c>
      <ns0:c r="G11" s="158" t="inlineStr">
        <ns0:is>
          <ns0:t>E2</ns0:t>
        </ns0:is>
      </ns0:c>
      <ns0:c r="H11" s="158" t="n">
        <ns0:v>3.26</ns0:v>
      </ns0:c>
      <ns0:c r="I11" s="223" t="n"/>
      <ns0:c r="J11" s="223" t="n"/>
      <ns0:c r="K11" s="223" t="n"/>
      <ns0:c r="L11" s="223" t="n"/>
      <ns0:c r="M11" s="223" t="n"/>
      <ns0:c r="N11" s="223" t="n"/>
      <ns0:c r="O11" s="223" t="n"/>
      <ns0:c r="P11" s="223" t="n"/>
      <ns0:c r="Q11" s="223" t="n"/>
      <ns0:c r="R11" s="224" t="n"/>
    </ns0:row>
    <ns0:row r="12" ht="46.5" customHeight="1">
      <ns0:c r="B12" s="222" t="n"/>
      <ns0:c r="C12" s="223" t="n"/>
      <ns0:c r="D12" s="223" t="n"/>
      <ns0:c r="E12" s="223" t="n"/>
      <ns0:c r="F12" s="223" t="n"/>
      <ns0:c r="G12" s="223" t="n"/>
      <ns0:c r="H12" s="223" t="n"/>
      <ns0:c r="I12" s="223" t="n"/>
      <ns0:c r="J12" s="223" t="n"/>
      <ns0:c r="K12" s="223" t="n"/>
      <ns0:c r="L12" s="223" t="n"/>
      <ns0:c r="M12" s="223" t="n"/>
      <ns0:c r="N12" s="223" t="n"/>
      <ns0:c r="O12" s="223" t="n"/>
      <ns0:c r="P12" s="223" t="n"/>
      <ns0:c r="Q12" s="223" t="n"/>
      <ns0:c r="R12" s="224" t="n"/>
    </ns0:row>
    <ns0:row r="13" ht="40.5" customHeight="1">
      <ns0:c r="B13" s="218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9" t="n"/>
      <ns0:c r="V13" s="28" t="n"/>
      <ns0:c r="W13" s="28" t="n"/>
      <ns0:c r="X13" s="28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</ns0:row>
    <ns0:row r="14" ht="40.5" customHeight="1">
      <ns0:c r="B14" s="222" t="inlineStr">
        <ns0:is>
          <ns0:t xml:space="preserve"> - Change method repair </ns0:t>
        </ns0:is>
      </ns0:c>
      <ns0:c r="C14" s="223" t="n"/>
      <ns0:c r="D14" s="223" t="n"/>
      <ns0:c r="E14" s="223" t="n"/>
      <ns0:c r="F14" s="223" t="n"/>
      <ns0:c r="G14" s="227" t="n"/>
      <ns0:c r="H14" s="227" t="n"/>
      <ns0:c r="I14" s="227" t="n"/>
      <ns0:c r="J14" s="227" t="n"/>
      <ns0:c r="K14" s="227" t="n"/>
      <ns0:c r="L14" s="227" t="n"/>
      <ns0:c r="M14" s="227" t="n"/>
      <ns0:c r="N14" s="227" t="n"/>
      <ns0:c r="O14" s="227" t="n"/>
      <ns0:c r="P14" s="227" t="n"/>
      <ns0:c r="Q14" s="227" t="n"/>
      <ns0:c r="R14" s="228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</ns0:row>
    <ns0:row r="15" ht="40.5" customHeight="1">
      <ns0:c r="B15" s="222" t="inlineStr">
        <ns0:is>
          <ns0:t xml:space="preserve"> - Make sample and check function: </ns0:t>
        </ns0:is>
      </ns0:c>
      <ns0:c r="C15" s="223" t="n"/>
      <ns0:c r="D15" s="223" t="n"/>
      <ns0:c r="E15" s="223" t="n"/>
      <ns0:c r="F15" s="223" t="n"/>
      <ns0:c r="G15" s="227" t="n"/>
      <ns0:c r="H15" s="227" t="n"/>
      <ns0:c r="I15" s="227" t="n"/>
      <ns0:c r="J15" s="227" t="n"/>
      <ns0:c r="K15" s="227" t="n"/>
      <ns0:c r="L15" s="227" t="n"/>
      <ns0:c r="M15" s="227" t="n"/>
      <ns0:c r="N15" s="227" t="n"/>
      <ns0:c r="O15" s="227" t="n"/>
      <ns0:c r="P15" s="227" t="n"/>
      <ns0:c r="Q15" s="227" t="n"/>
      <ns0:c r="R15" s="228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</ns0:row>
    <ns0:row r="16" ht="40.5" customHeight="1">
      <ns0:c r="B16" s="222" t="inlineStr">
        <ns0:is>
          <ns0:t xml:space="preserve"> ++ Hearing check voltage increase 5 %, 10% compare hearing condition normal</ns0:t>
        </ns0:is>
      </ns0:c>
      <ns0:c r="C16" s="223" t="n"/>
      <ns0:c r="D16" s="223" t="n"/>
      <ns0:c r="E16" s="223" t="n"/>
      <ns0:c r="F16" s="223" t="n"/>
      <ns0:c r="G16" s="227" t="n"/>
      <ns0:c r="H16" s="227" t="n"/>
      <ns0:c r="I16" s="227" t="n"/>
      <ns0:c r="J16" s="227" t="n"/>
      <ns0:c r="K16" s="227" t="n"/>
      <ns0:c r="L16" s="227" t="n"/>
      <ns0:c r="M16" s="227" t="n"/>
      <ns0:c r="N16" s="227" t="n"/>
      <ns0:c r="O16" s="227" t="n"/>
      <ns0:c r="P16" s="227" t="n"/>
      <ns0:c r="Q16" s="227" t="n"/>
      <ns0:c r="R16" s="2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</ns0:row>
    <ns0:row r="17" ht="40.5" customHeight="1">
      <ns0:c r="A17" s="229" t="n"/>
      <ns0:c r="B17" s="218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</ns0:row>
    <ns0:row r="18" ht="50.25" customHeight="1">
      <ns0:c r="A18" s="229" t="n"/>
      <ns0:c r="B18" s="230" t="n"/>
      <ns0:c r="C18" s="231" t="inlineStr">
        <ns0:is>
          <ns0:t xml:space="preserve">1. RESULT CHECKING CHECK FUNCTION </ns0:t>
        </ns0:is>
      </ns0:c>
      <ns0:c r="D18" s="185" t="n"/>
      <ns0:c r="E18" s="186" t="n"/>
      <ns0:c r="F18" s="186" t="n"/>
      <ns0:c r="G18" s="185" t="n"/>
      <ns0:c r="H18" s="185" t="n"/>
      <ns0:c r="I18" s="185" t="n"/>
      <ns0:c r="J18" s="185" t="n"/>
      <ns0:c r="K18" s="232" t="n"/>
      <ns0:c r="L18" s="185" t="n"/>
      <ns0:c r="M18" s="185" t="n"/>
      <ns0:c r="N18" s="185" t="n"/>
      <ns0:c r="O18" s="185" t="n"/>
      <ns0:c r="P18" s="185" t="n"/>
      <ns0:c r="Q18" s="185" t="n"/>
      <ns0:c r="R18" s="233" t="n"/>
      <ns0:c r="S18" s="223" t="n"/>
      <ns0:c r="T18" s="223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  <ns0:c r="BJ18" s="28" t="n"/>
    </ns0:row>
    <ns0:row r="19" ht="50.25" customHeight="1">
      <ns0:c r="A19" s="185" t="n"/>
      <ns0:c r="B19" s="230" t="n"/>
      <ns0:c r="C19" s="234" t="inlineStr">
        <ns0:is>
          <ns0:t>No</ns0:t>
        </ns0:is>
      </ns0:c>
      <ns0:c r="D19" s="234" t="inlineStr">
        <ns0:is>
          <ns0:t xml:space="preserve">Date </ns0:t>
        </ns0:is>
      </ns0:c>
      <ns0:c r="E19" s="235" t="inlineStr">
        <ns0:is>
          <ns0:t xml:space="preserve">Type </ns0:t>
        </ns0:is>
      </ns0:c>
      <ns0:c r="F19" s="235" t="inlineStr">
        <ns0:is>
          <ns0:t xml:space="preserve">Input </ns0:t>
        </ns0:is>
      </ns0:c>
      <ns0:c r="G19" s="155" t="inlineStr">
        <ns0:is>
          <ns0:t xml:space="preserve">OK </ns0:t>
        </ns0:is>
      </ns0:c>
      <ns0:c r="H19" s="155" t="inlineStr">
        <ns0:is>
          <ns0:t xml:space="preserve">Air leak </ns0:t>
        </ns0:is>
      </ns0:c>
      <ns0:c r="I19" s="155" t="inlineStr">
        <ns0:is>
          <ns0:t xml:space="preserve">Vision VP </ns0:t>
        </ns0:is>
      </ns0:c>
      <ns0:c r="J19" s="155" t="inlineStr">
        <ns0:is>
          <ns0:t>Check height</ns0:t>
        </ns0:is>
      </ns0:c>
      <ns0:c r="K19" s="155" t="inlineStr">
        <ns0:is>
          <ns0:t>Vision FS</ns0:t>
        </ns0:is>
      </ns0:c>
      <ns0:c r="L19" s="155" t="inlineStr">
        <ns0:is>
          <ns0:t xml:space="preserve">Total NG </ns0:t>
        </ns0:is>
      </ns0:c>
      <ns0:c r="M19" s="155" t="inlineStr">
        <ns0:is>
          <ns0:t xml:space="preserve">NG Rate </ns0:t>
        </ns0:is>
      </ns0:c>
      <ns0:c r="N19" s="185" t="n"/>
      <ns0:c r="O19" s="185" t="n"/>
      <ns0:c r="P19" s="185" t="n"/>
      <ns0:c r="Q19" s="185" t="n"/>
      <ns0:c r="R19" s="233" t="n"/>
      <ns0:c r="S19" s="223" t="n"/>
      <ns0:c r="T19" s="223" t="n"/>
      <ns0:c r="U19" s="223" t="n"/>
      <ns0:c r="V19" s="223" t="n"/>
      <ns0:c r="W19" s="223" t="n"/>
      <ns0:c r="X19" s="223" t="n"/>
      <ns0:c r="Y19" s="223" t="n"/>
      <ns0:c r="Z19" s="223" t="n"/>
      <ns0:c r="AA19" s="223" t="n"/>
      <ns0:c r="AB19" s="223" t="n"/>
      <ns0:c r="AC19" s="223" t="n"/>
      <ns0:c r="AD19" s="223" t="n"/>
      <ns0:c r="AE19" s="223" t="n"/>
      <ns0:c r="AF19" s="223" t="n"/>
      <ns0:c r="AG19" s="223" t="n"/>
      <ns0:c r="AH19" s="223" t="n"/>
      <ns0:c r="AI19" s="223" t="n"/>
      <ns0:c r="AJ19" s="223" t="n"/>
      <ns0:c r="AK19" s="223" t="n"/>
      <ns0:c r="AL19" s="223" t="n"/>
      <ns0:c r="AM19" s="223" t="n"/>
      <ns0:c r="AN19" s="223" t="n"/>
      <ns0:c r="AO19" s="223" t="n"/>
      <ns0:c r="AP19" s="223" t="n"/>
      <ns0:c r="AQ19" s="223" t="n"/>
      <ns0:c r="AR19" s="223" t="n"/>
      <ns0:c r="AS19" s="223" t="n"/>
      <ns0:c r="AT19" s="223" t="n"/>
      <ns0:c r="AU19" s="223" t="n"/>
      <ns0:c r="AV19" s="223" t="n"/>
      <ns0:c r="AW19" s="223" t="n"/>
      <ns0:c r="AX19" s="223" t="n"/>
      <ns0:c r="AY19" s="223" t="n"/>
      <ns0:c r="AZ19" s="223" t="n"/>
      <ns0:c r="BA19" s="223" t="n"/>
      <ns0:c r="BB19" s="223" t="n"/>
      <ns0:c r="BC19" s="223" t="n"/>
      <ns0:c r="BD19" s="223" t="n"/>
      <ns0:c r="BE19" s="223" t="n"/>
      <ns0:c r="BF19" s="223" t="n"/>
      <ns0:c r="BG19" s="223" t="n"/>
      <ns0:c r="BH19" s="223" t="n"/>
      <ns0:c r="BI19" s="223" t="n"/>
      <ns0:c r="BJ19" s="223" t="n"/>
    </ns0:row>
    <ns0:row r="20" ht="50.25" customHeight="1">
      <ns0:c r="A20" s="185" t="n"/>
      <ns0:c r="B20" s="230" t="n"/>
      <ns0:c r="C20" s="49" t="n"/>
      <ns0:c r="D20" s="49" t="n"/>
      <ns0:c r="E20" s="49" t="n"/>
      <ns0:c r="F20" s="49" t="n"/>
      <ns0:c r="G20" s="49" t="n"/>
      <ns0:c r="H20" s="49" t="n"/>
      <ns0:c r="I20" s="49" t="n"/>
      <ns0:c r="J20" s="49" t="n"/>
      <ns0:c r="K20" s="49" t="n"/>
      <ns0:c r="L20" s="49" t="n"/>
      <ns0:c r="M20" s="49" t="n"/>
      <ns0:c r="R20" s="233" t="n"/>
      <ns0:c r="S20" s="223" t="n"/>
      <ns0:c r="T20" s="223" t="n"/>
      <ns0:c r="U20" s="223" t="n"/>
      <ns0:c r="V20" s="223" t="n"/>
      <ns0:c r="W20" s="223" t="n"/>
      <ns0:c r="X20" s="223" t="n"/>
      <ns0:c r="Y20" s="223" t="n"/>
      <ns0:c r="Z20" s="223" t="n"/>
      <ns0:c r="AA20" s="223" t="n"/>
      <ns0:c r="AB20" s="223" t="n"/>
      <ns0:c r="AC20" s="223" t="n"/>
      <ns0:c r="AD20" s="223" t="n"/>
      <ns0:c r="AE20" s="223" t="n"/>
      <ns0:c r="AF20" s="223" t="n"/>
      <ns0:c r="AG20" s="223" t="n"/>
      <ns0:c r="AH20" s="223" t="n"/>
      <ns0:c r="AI20" s="223" t="n"/>
      <ns0:c r="AJ20" s="223" t="n"/>
      <ns0:c r="AK20" s="223" t="n"/>
      <ns0:c r="AL20" s="223" t="n"/>
      <ns0:c r="AM20" s="223" t="n"/>
      <ns0:c r="AN20" s="223" t="n"/>
      <ns0:c r="AO20" s="223" t="n"/>
      <ns0:c r="AP20" s="223" t="n"/>
      <ns0:c r="AQ20" s="223" t="n"/>
      <ns0:c r="AR20" s="223" t="n"/>
      <ns0:c r="AS20" s="223" t="n"/>
      <ns0:c r="AT20" s="223" t="n"/>
      <ns0:c r="AU20" s="223" t="n"/>
      <ns0:c r="AV20" s="223" t="n"/>
      <ns0:c r="AW20" s="223" t="n"/>
      <ns0:c r="AX20" s="223" t="n"/>
      <ns0:c r="AY20" s="223" t="n"/>
      <ns0:c r="AZ20" s="223" t="n"/>
      <ns0:c r="BA20" s="223" t="n"/>
      <ns0:c r="BB20" s="223" t="n"/>
      <ns0:c r="BC20" s="223" t="n"/>
      <ns0:c r="BD20" s="223" t="n"/>
      <ns0:c r="BE20" s="223" t="n"/>
      <ns0:c r="BF20" s="223" t="n"/>
      <ns0:c r="BG20" s="223" t="n"/>
      <ns0:c r="BH20" s="223" t="n"/>
      <ns0:c r="BI20" s="223" t="n"/>
      <ns0:c r="BJ20" s="223" t="n"/>
    </ns0:row>
    <ns0:row r="21" ht="50.25" customHeight="1">
      <ns0:c r="A21" s="185" t="n"/>
      <ns0:c r="B21" s="230" t="n"/>
      <ns0:c r="C21" s="158" t="n">
        <ns0:v>1</ns0:v>
      </ns0:c>
      <ns0:c r="D21" s="236" t="n">
        <ns0:v>45576</ns0:v>
      </ns0:c>
      <ns0:c r="E21" s="171" t="inlineStr">
        <ns0:is>
          <ns0:t>Hearing repair</ns0:t>
        </ns0:is>
      </ns0:c>
      <ns0:c r="F21" s="171" t="n">
        <ns0:v>212</ns0:v>
      </ns0:c>
      <ns0:c r="G21" s="158" t="n">
        <ns0:v>211</ns0:v>
      </ns0:c>
      <ns0:c r="H21" s="158" t="n">
        <ns0:v>0</ns0:v>
      </ns0:c>
      <ns0:c r="I21" s="158" t="n">
        <ns0:v>0</ns0:v>
      </ns0:c>
      <ns0:c r="J21" s="158" t="n">
        <ns0:v>0</ns0:v>
      </ns0:c>
      <ns0:c r="K21" s="158" t="n">
        <ns0:v>1</ns0:v>
      </ns0:c>
      <ns0:c r="L21" s="158" t="n">
        <ns0:v>1</ns0:v>
      </ns0:c>
      <ns0:c r="M21" s="237" t="n">
        <ns0:v>0.004716981132075472</ns0:v>
      </ns0:c>
      <ns0:c r="N21" s="185" t="n"/>
      <ns0:c r="O21" s="185" t="n"/>
      <ns0:c r="P21" s="185" t="n"/>
      <ns0:c r="Q21" s="232" t="n"/>
      <ns0:c r="R21" s="233" t="n"/>
      <ns0:c r="S21" s="223" t="n"/>
      <ns0:c r="T21" s="223" t="n"/>
      <ns0:c r="U21" s="223" t="n"/>
      <ns0:c r="V21" s="223" t="n"/>
      <ns0:c r="W21" s="223" t="n"/>
      <ns0:c r="X21" s="223" t="n"/>
      <ns0:c r="Y21" s="223" t="n"/>
      <ns0:c r="Z21" s="223" t="n"/>
      <ns0:c r="AA21" s="223" t="n"/>
      <ns0:c r="AB21" s="223" t="n"/>
      <ns0:c r="AC21" s="223" t="n"/>
      <ns0:c r="AD21" s="223" t="n"/>
      <ns0:c r="AE21" s="223" t="n"/>
      <ns0:c r="AF21" s="223" t="n"/>
      <ns0:c r="AG21" s="223" t="n"/>
      <ns0:c r="AH21" s="223" t="n"/>
      <ns0:c r="AI21" s="223" t="n"/>
      <ns0:c r="AJ21" s="223" t="n"/>
      <ns0:c r="AK21" s="223" t="n"/>
      <ns0:c r="AL21" s="223" t="n"/>
      <ns0:c r="AM21" s="223" t="n"/>
      <ns0:c r="AN21" s="223" t="n"/>
      <ns0:c r="AO21" s="223" t="n"/>
      <ns0:c r="AP21" s="223" t="n"/>
      <ns0:c r="AQ21" s="223" t="n"/>
      <ns0:c r="AR21" s="223" t="n"/>
      <ns0:c r="AS21" s="223" t="n"/>
      <ns0:c r="AT21" s="223" t="n"/>
      <ns0:c r="AU21" s="223" t="n"/>
      <ns0:c r="AV21" s="223" t="n"/>
      <ns0:c r="AW21" s="223" t="n"/>
      <ns0:c r="AX21" s="223" t="n"/>
      <ns0:c r="AY21" s="223" t="n"/>
      <ns0:c r="AZ21" s="223" t="n"/>
      <ns0:c r="BA21" s="223" t="n"/>
      <ns0:c r="BB21" s="223" t="n"/>
      <ns0:c r="BC21" s="223" t="n"/>
      <ns0:c r="BD21" s="223" t="n"/>
      <ns0:c r="BE21" s="223" t="n"/>
      <ns0:c r="BF21" s="223" t="n"/>
      <ns0:c r="BG21" s="223" t="n"/>
      <ns0:c r="BH21" s="223" t="n"/>
      <ns0:c r="BI21" s="223" t="n"/>
      <ns0:c r="BJ21" s="223" t="n"/>
    </ns0:row>
    <ns0:row r="22" ht="50.25" customHeight="1">
      <ns0:c r="A22" s="185" t="n"/>
      <ns0:c r="B22" s="230" t="n"/>
      <ns0:c r="C22" s="49" t="n"/>
      <ns0:c r="D22" s="49" t="n"/>
      <ns0:c r="E22" s="49" t="n"/>
      <ns0:c r="F22" s="49" t="n"/>
      <ns0:c r="G22" s="49" t="n"/>
      <ns0:c r="H22" s="237" t="n">
        <ns0:v>0</ns0:v>
      </ns0:c>
      <ns0:c r="I22" s="237" t="n">
        <ns0:v>0</ns0:v>
      </ns0:c>
      <ns0:c r="J22" s="237" t="n">
        <ns0:v>0</ns0:v>
      </ns0:c>
      <ns0:c r="K22" s="237" t="n">
        <ns0:v>0.004716981132075472</ns0:v>
      </ns0:c>
      <ns0:c r="L22" s="49" t="n"/>
      <ns0:c r="M22" s="49" t="n"/>
      <ns0:c r="N22" s="232" t="n"/>
      <ns0:c r="O22" s="232" t="n"/>
      <ns0:c r="R22" s="233" t="n"/>
      <ns0:c r="S22" s="223" t="n"/>
      <ns0:c r="T22" s="223" t="n"/>
      <ns0:c r="U22" s="223" t="n"/>
      <ns0:c r="V22" s="223" t="n"/>
      <ns0:c r="W22" s="223" t="n"/>
      <ns0:c r="X22" s="223" t="n"/>
      <ns0:c r="Y22" s="223" t="n"/>
      <ns0:c r="Z22" s="223" t="n"/>
      <ns0:c r="AA22" s="223" t="n"/>
      <ns0:c r="AB22" s="223" t="n"/>
      <ns0:c r="AC22" s="223" t="n"/>
      <ns0:c r="AD22" s="223" t="n"/>
      <ns0:c r="AE22" s="223" t="n"/>
      <ns0:c r="AF22" s="223" t="n"/>
      <ns0:c r="AG22" s="223" t="n"/>
      <ns0:c r="AH22" s="223" t="n"/>
      <ns0:c r="AI22" s="223" t="n"/>
      <ns0:c r="AJ22" s="223" t="n"/>
      <ns0:c r="AK22" s="223" t="n"/>
      <ns0:c r="AL22" s="223" t="n"/>
      <ns0:c r="AM22" s="223" t="n"/>
      <ns0:c r="AN22" s="223" t="n"/>
      <ns0:c r="AO22" s="223" t="n"/>
      <ns0:c r="AP22" s="223" t="n"/>
      <ns0:c r="AQ22" s="223" t="n"/>
      <ns0:c r="AR22" s="223" t="n"/>
      <ns0:c r="AS22" s="223" t="n"/>
      <ns0:c r="AT22" s="223" t="n"/>
      <ns0:c r="AU22" s="223" t="n"/>
      <ns0:c r="AV22" s="223" t="n"/>
      <ns0:c r="AW22" s="223" t="n"/>
      <ns0:c r="AX22" s="223" t="n"/>
      <ns0:c r="AY22" s="223" t="n"/>
      <ns0:c r="AZ22" s="223" t="n"/>
      <ns0:c r="BA22" s="223" t="n"/>
      <ns0:c r="BB22" s="223" t="n"/>
      <ns0:c r="BC22" s="223" t="n"/>
      <ns0:c r="BD22" s="223" t="n"/>
      <ns0:c r="BE22" s="223" t="n"/>
      <ns0:c r="BF22" s="223" t="n"/>
      <ns0:c r="BG22" s="223" t="n"/>
      <ns0:c r="BH22" s="223" t="n"/>
      <ns0:c r="BI22" s="223" t="n"/>
      <ns0:c r="BJ22" s="223" t="n"/>
    </ns0:row>
    <ns0:row r="23" ht="50.25" customHeight="1">
      <ns0:c r="A23" s="185" t="n"/>
      <ns0:c r="B23" s="230" t="n"/>
      <ns0:c r="C23" s="158" t="n">
        <ns0:v>2</ns0:v>
      </ns0:c>
      <ns0:c r="D23" s="236" t="n">
        <ns0:v>45579</ns0:v>
      </ns0:c>
      <ns0:c r="E23" s="171" t="inlineStr">
        <ns0:is>
          <ns0:t>Hearing repair</ns0:t>
        </ns0:is>
      </ns0:c>
      <ns0:c r="F23" s="171" t="n">
        <ns0:v>517</ns0:v>
      </ns0:c>
      <ns0:c r="G23" s="158" t="n">
        <ns0:v>508</ns0:v>
      </ns0:c>
      <ns0:c r="H23" s="158" t="n">
        <ns0:v>0</ns0:v>
      </ns0:c>
      <ns0:c r="I23" s="158" t="n">
        <ns0:v>3</ns0:v>
      </ns0:c>
      <ns0:c r="J23" s="158" t="n">
        <ns0:v>3</ns0:v>
      </ns0:c>
      <ns0:c r="K23" s="158" t="n">
        <ns0:v>3</ns0:v>
      </ns0:c>
      <ns0:c r="L23" s="158" t="n">
        <ns0:v>9</ns0:v>
      </ns0:c>
      <ns0:c r="M23" s="237" t="n">
        <ns0:v>0.01740812379110251</ns0:v>
      </ns0:c>
      <ns0:c r="N23" s="232" t="n"/>
      <ns0:c r="O23" s="232" t="n"/>
      <ns0:c r="P23" s="185" t="n"/>
      <ns0:c r="Q23" s="232" t="n"/>
      <ns0:c r="R23" s="233" t="n"/>
      <ns0:c r="S23" s="223" t="n"/>
      <ns0:c r="T23" s="223" t="n"/>
      <ns0:c r="U23" s="223" t="n"/>
      <ns0:c r="V23" s="223" t="n"/>
      <ns0:c r="W23" s="223" t="n"/>
      <ns0:c r="X23" s="223" t="n"/>
      <ns0:c r="Y23" s="223" t="n"/>
      <ns0:c r="Z23" s="223" t="n"/>
      <ns0:c r="AA23" s="223" t="n"/>
      <ns0:c r="AB23" s="223" t="n"/>
      <ns0:c r="AC23" s="223" t="n"/>
      <ns0:c r="AD23" s="223" t="n"/>
      <ns0:c r="AE23" s="223" t="n"/>
      <ns0:c r="AF23" s="223" t="n"/>
      <ns0:c r="AG23" s="223" t="n"/>
      <ns0:c r="AH23" s="223" t="n"/>
      <ns0:c r="AI23" s="223" t="n"/>
      <ns0:c r="AJ23" s="223" t="n"/>
      <ns0:c r="AK23" s="223" t="n"/>
      <ns0:c r="AL23" s="223" t="n"/>
      <ns0:c r="AM23" s="223" t="n"/>
      <ns0:c r="AN23" s="223" t="n"/>
      <ns0:c r="AO23" s="223" t="n"/>
      <ns0:c r="AP23" s="223" t="n"/>
      <ns0:c r="AQ23" s="223" t="n"/>
      <ns0:c r="AR23" s="223" t="n"/>
      <ns0:c r="AS23" s="223" t="n"/>
      <ns0:c r="AT23" s="223" t="n"/>
      <ns0:c r="AU23" s="223" t="n"/>
      <ns0:c r="AV23" s="223" t="n"/>
      <ns0:c r="AW23" s="223" t="n"/>
      <ns0:c r="AX23" s="223" t="n"/>
      <ns0:c r="AY23" s="223" t="n"/>
      <ns0:c r="AZ23" s="223" t="n"/>
      <ns0:c r="BA23" s="223" t="n"/>
      <ns0:c r="BB23" s="223" t="n"/>
      <ns0:c r="BC23" s="223" t="n"/>
      <ns0:c r="BD23" s="223" t="n"/>
      <ns0:c r="BE23" s="223" t="n"/>
      <ns0:c r="BF23" s="223" t="n"/>
      <ns0:c r="BG23" s="223" t="n"/>
      <ns0:c r="BH23" s="223" t="n"/>
      <ns0:c r="BI23" s="223" t="n"/>
      <ns0:c r="BJ23" s="223" t="n"/>
    </ns0:row>
    <ns0:row r="24" ht="50.25" customHeight="1">
      <ns0:c r="A24" s="185" t="n"/>
      <ns0:c r="B24" s="230" t="n"/>
      <ns0:c r="C24" s="49" t="n"/>
      <ns0:c r="D24" s="49" t="n"/>
      <ns0:c r="E24" s="49" t="n"/>
      <ns0:c r="F24" s="49" t="n"/>
      <ns0:c r="G24" s="49" t="n"/>
      <ns0:c r="H24" s="237" t="n">
        <ns0:v>0</ns0:v>
      </ns0:c>
      <ns0:c r="I24" s="237" t="n">
        <ns0:v>0.005802707930367505</ns0:v>
      </ns0:c>
      <ns0:c r="J24" s="237" t="n">
        <ns0:v>0.005802707930367505</ns0:v>
      </ns0:c>
      <ns0:c r="K24" s="237" t="n">
        <ns0:v>0.005802707930367505</ns0:v>
      </ns0:c>
      <ns0:c r="L24" s="49" t="n"/>
      <ns0:c r="M24" s="49" t="n"/>
      <ns0:c r="N24" s="232" t="n"/>
      <ns0:c r="O24" s="232" t="n"/>
      <ns0:c r="P24" s="185" t="n"/>
      <ns0:c r="Q24" s="232" t="n"/>
      <ns0:c r="R24" s="233" t="n"/>
      <ns0:c r="S24" s="223" t="n"/>
      <ns0:c r="T24" s="223" t="n"/>
      <ns0:c r="U24" s="223" t="n"/>
      <ns0:c r="V24" s="223" t="n"/>
      <ns0:c r="W24" s="223" t="n"/>
      <ns0:c r="X24" s="223" t="n"/>
      <ns0:c r="Y24" s="223" t="n"/>
      <ns0:c r="Z24" s="223" t="n"/>
      <ns0:c r="AA24" s="223" t="n"/>
      <ns0:c r="AB24" s="223" t="n"/>
      <ns0:c r="AC24" s="223" t="n"/>
      <ns0:c r="AD24" s="223" t="n"/>
      <ns0:c r="AE24" s="223" t="n"/>
      <ns0:c r="AF24" s="223" t="n"/>
      <ns0:c r="AG24" s="223" t="n"/>
      <ns0:c r="AH24" s="223" t="n"/>
      <ns0:c r="AI24" s="223" t="n"/>
      <ns0:c r="AJ24" s="223" t="n"/>
      <ns0:c r="AK24" s="223" t="n"/>
      <ns0:c r="AL24" s="223" t="n"/>
      <ns0:c r="AM24" s="223" t="n"/>
      <ns0:c r="AN24" s="223" t="n"/>
      <ns0:c r="AO24" s="223" t="n"/>
      <ns0:c r="AP24" s="223" t="n"/>
      <ns0:c r="AQ24" s="223" t="n"/>
      <ns0:c r="AR24" s="223" t="n"/>
      <ns0:c r="AS24" s="223" t="n"/>
      <ns0:c r="AT24" s="223" t="n"/>
      <ns0:c r="AU24" s="223" t="n"/>
      <ns0:c r="AV24" s="223" t="n"/>
      <ns0:c r="AW24" s="223" t="n"/>
      <ns0:c r="AX24" s="223" t="n"/>
      <ns0:c r="AY24" s="223" t="n"/>
      <ns0:c r="AZ24" s="223" t="n"/>
      <ns0:c r="BA24" s="223" t="n"/>
      <ns0:c r="BB24" s="223" t="n"/>
      <ns0:c r="BC24" s="223" t="n"/>
      <ns0:c r="BD24" s="223" t="n"/>
      <ns0:c r="BE24" s="223" t="n"/>
      <ns0:c r="BF24" s="223" t="n"/>
      <ns0:c r="BG24" s="223" t="n"/>
      <ns0:c r="BH24" s="223" t="n"/>
      <ns0:c r="BI24" s="223" t="n"/>
      <ns0:c r="BJ24" s="223" t="n"/>
    </ns0:row>
    <ns0:row r="25" ht="50.25" customHeight="1">
      <ns0:c r="A25" s="185" t="n"/>
      <ns0:c r="B25" s="230" t="n"/>
      <ns0:c r="C25" s="158" t="n">
        <ns0:v>3</ns0:v>
      </ns0:c>
      <ns0:c r="D25" s="236" t="n">
        <ns0:v>45580</ns0:v>
      </ns0:c>
      <ns0:c r="E25" s="171" t="inlineStr">
        <ns0:is>
          <ns0:t>Hearing repair</ns0:t>
        </ns0:is>
      </ns0:c>
      <ns0:c r="F25" s="171" t="n">
        <ns0:v>180</ns0:v>
      </ns0:c>
      <ns0:c r="G25" s="158" t="n">
        <ns0:v>178</ns0:v>
      </ns0:c>
      <ns0:c r="H25" s="158" t="n">
        <ns0:v>0</ns0:v>
      </ns0:c>
      <ns0:c r="I25" s="158" t="n">
        <ns0:v>1</ns0:v>
      </ns0:c>
      <ns0:c r="J25" s="158" t="n">
        <ns0:v>0</ns0:v>
      </ns0:c>
      <ns0:c r="K25" s="158" t="n">
        <ns0:v>1</ns0:v>
      </ns0:c>
      <ns0:c r="L25" s="158" t="n">
        <ns0:v>2</ns0:v>
      </ns0:c>
      <ns0:c r="M25" s="237" t="n">
        <ns0:v>0.01111111111111111</ns0:v>
      </ns0:c>
      <ns0:c r="N25" s="232" t="n"/>
      <ns0:c r="O25" s="232" t="n"/>
      <ns0:c r="P25" s="185" t="n"/>
      <ns0:c r="Q25" s="232" t="n"/>
      <ns0:c r="R25" s="233" t="n"/>
      <ns0:c r="S25" s="223" t="n"/>
      <ns0:c r="T25" s="223" t="n"/>
      <ns0:c r="U25" s="223" t="n"/>
      <ns0:c r="V25" s="223" t="n"/>
      <ns0:c r="W25" s="223" t="n"/>
      <ns0:c r="X25" s="223" t="n"/>
      <ns0:c r="Y25" s="223" t="n"/>
      <ns0:c r="Z25" s="223" t="n"/>
      <ns0:c r="AA25" s="223" t="n"/>
      <ns0:c r="AB25" s="223" t="n"/>
      <ns0:c r="AC25" s="223" t="n"/>
      <ns0:c r="AD25" s="223" t="n"/>
      <ns0:c r="AE25" s="223" t="n"/>
      <ns0:c r="AF25" s="223" t="n"/>
      <ns0:c r="AG25" s="223" t="n"/>
      <ns0:c r="AH25" s="223" t="n"/>
      <ns0:c r="AI25" s="223" t="n"/>
      <ns0:c r="AJ25" s="223" t="n"/>
      <ns0:c r="AK25" s="223" t="n"/>
      <ns0:c r="AL25" s="223" t="n"/>
      <ns0:c r="AM25" s="223" t="n"/>
      <ns0:c r="AN25" s="223" t="n"/>
      <ns0:c r="AO25" s="223" t="n"/>
      <ns0:c r="AP25" s="223" t="n"/>
      <ns0:c r="AQ25" s="223" t="n"/>
      <ns0:c r="AR25" s="223" t="n"/>
      <ns0:c r="AS25" s="223" t="n"/>
      <ns0:c r="AT25" s="223" t="n"/>
      <ns0:c r="AU25" s="223" t="n"/>
      <ns0:c r="AV25" s="223" t="n"/>
      <ns0:c r="AW25" s="223" t="n"/>
      <ns0:c r="AX25" s="223" t="n"/>
      <ns0:c r="AY25" s="223" t="n"/>
      <ns0:c r="AZ25" s="223" t="n"/>
      <ns0:c r="BA25" s="223" t="n"/>
      <ns0:c r="BB25" s="223" t="n"/>
      <ns0:c r="BC25" s="223" t="n"/>
      <ns0:c r="BD25" s="223" t="n"/>
      <ns0:c r="BE25" s="223" t="n"/>
      <ns0:c r="BF25" s="223" t="n"/>
      <ns0:c r="BG25" s="223" t="n"/>
      <ns0:c r="BH25" s="223" t="n"/>
      <ns0:c r="BI25" s="223" t="n"/>
      <ns0:c r="BJ25" s="223" t="n"/>
    </ns0:row>
    <ns0:row r="26" ht="50.25" customHeight="1">
      <ns0:c r="A26" s="185" t="n"/>
      <ns0:c r="B26" s="230" t="n"/>
      <ns0:c r="C26" s="49" t="n"/>
      <ns0:c r="D26" s="49" t="n"/>
      <ns0:c r="E26" s="49" t="n"/>
      <ns0:c r="F26" s="49" t="n"/>
      <ns0:c r="G26" s="49" t="n"/>
      <ns0:c r="H26" s="237" t="n">
        <ns0:v>0</ns0:v>
      </ns0:c>
      <ns0:c r="I26" s="237" t="n">
        <ns0:v>0.005555555555555556</ns0:v>
      </ns0:c>
      <ns0:c r="J26" s="237" t="n">
        <ns0:v>0</ns0:v>
      </ns0:c>
      <ns0:c r="K26" s="237" t="n">
        <ns0:v>0.005555555555555556</ns0:v>
      </ns0:c>
      <ns0:c r="L26" s="49" t="n"/>
      <ns0:c r="M26" s="49" t="n"/>
      <ns0:c r="N26" s="232" t="n"/>
      <ns0:c r="O26" s="232" t="n"/>
      <ns0:c r="P26" s="185" t="n"/>
      <ns0:c r="Q26" s="232" t="n"/>
      <ns0:c r="R26" s="233" t="n"/>
      <ns0:c r="S26" s="223" t="n"/>
      <ns0:c r="T26" s="223" t="n"/>
      <ns0:c r="U26" s="223" t="n"/>
      <ns0:c r="V26" s="223" t="n"/>
      <ns0:c r="W26" s="223" t="n"/>
      <ns0:c r="X26" s="223" t="n"/>
      <ns0:c r="Y26" s="223" t="n"/>
      <ns0:c r="Z26" s="223" t="n"/>
      <ns0:c r="AA26" s="223" t="n"/>
      <ns0:c r="AB26" s="223" t="n"/>
      <ns0:c r="AC26" s="223" t="n"/>
      <ns0:c r="AD26" s="223" t="n"/>
      <ns0:c r="AE26" s="223" t="n"/>
      <ns0:c r="AF26" s="223" t="n"/>
      <ns0:c r="AG26" s="223" t="n"/>
      <ns0:c r="AH26" s="223" t="n"/>
      <ns0:c r="AI26" s="223" t="n"/>
      <ns0:c r="AJ26" s="223" t="n"/>
      <ns0:c r="AK26" s="223" t="n"/>
      <ns0:c r="AL26" s="223" t="n"/>
      <ns0:c r="AM26" s="223" t="n"/>
      <ns0:c r="AN26" s="223" t="n"/>
      <ns0:c r="AO26" s="223" t="n"/>
      <ns0:c r="AP26" s="223" t="n"/>
      <ns0:c r="AQ26" s="223" t="n"/>
      <ns0:c r="AR26" s="223" t="n"/>
      <ns0:c r="AS26" s="223" t="n"/>
      <ns0:c r="AT26" s="223" t="n"/>
      <ns0:c r="AU26" s="223" t="n"/>
      <ns0:c r="AV26" s="223" t="n"/>
      <ns0:c r="AW26" s="223" t="n"/>
      <ns0:c r="AX26" s="223" t="n"/>
      <ns0:c r="AY26" s="223" t="n"/>
      <ns0:c r="AZ26" s="223" t="n"/>
      <ns0:c r="BA26" s="223" t="n"/>
      <ns0:c r="BB26" s="223" t="n"/>
      <ns0:c r="BC26" s="223" t="n"/>
      <ns0:c r="BD26" s="223" t="n"/>
      <ns0:c r="BE26" s="223" t="n"/>
      <ns0:c r="BF26" s="223" t="n"/>
      <ns0:c r="BG26" s="223" t="n"/>
      <ns0:c r="BH26" s="223" t="n"/>
      <ns0:c r="BI26" s="223" t="n"/>
      <ns0:c r="BJ26" s="223" t="n"/>
    </ns0:row>
    <ns0:row r="27" ht="50.25" customHeight="1">
      <ns0:c r="A27" s="229" t="n"/>
      <ns0:c r="B27" s="230" t="n"/>
      <ns0:c r="C27" s="238" t="inlineStr">
        <ns0:is>
          <ns0:t> </ns0:t>
        </ns0:is>
      </ns0:c>
      <ns0:c r="D27" s="47" t="n"/>
      <ns0:c r="E27" s="47" t="n"/>
      <ns0:c r="F27" s="47" t="n"/>
      <ns0:c r="G27" s="47" t="n"/>
      <ns0:c r="H27" s="47" t="n"/>
      <ns0:c r="I27" s="47" t="n"/>
      <ns0:c r="J27" s="47" t="n"/>
      <ns0:c r="K27" s="47" t="n"/>
      <ns0:c r="L27" s="47" t="n"/>
      <ns0:c r="M27" s="47" t="n"/>
      <ns0:c r="N27" s="47" t="n"/>
      <ns0:c r="O27" s="47" t="n"/>
      <ns0:c r="P27" s="47" t="n"/>
      <ns0:c r="Q27" s="47" t="n"/>
      <ns0:c r="R27" s="239" t="n"/>
      <ns0:c r="S27" s="28" t="n"/>
      <ns0:c r="T27" s="28" t="n"/>
      <ns0:c r="U27" s="28" t="n"/>
      <ns0:c r="V27" s="28" t="n"/>
      <ns0:c r="W27" s="28" t="n"/>
      <ns0:c r="X27" s="28" t="n"/>
      <ns0:c r="Y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</ns0:row>
    <ns0:row r="28" ht="50.25" customHeight="1">
      <ns0:c r="A28" s="229" t="n"/>
      <ns0:c r="B28" s="230" t="n"/>
      <ns0:c r="C28" s="234" t="inlineStr">
        <ns0:is>
          <ns0:t>No</ns0:t>
        </ns0:is>
      </ns0:c>
      <ns0:c r="D28" s="234" t="inlineStr">
        <ns0:is>
          <ns0:t xml:space="preserve">Date </ns0:t>
        </ns0:is>
      </ns0:c>
      <ns0:c r="E28" s="235" t="inlineStr">
        <ns0:is>
          <ns0:t xml:space="preserve">Type </ns0:t>
        </ns0:is>
      </ns0:c>
      <ns0:c r="F28" s="235" t="inlineStr">
        <ns0:is>
          <ns0:t xml:space="preserve">Input </ns0:t>
        </ns0:is>
      </ns0:c>
      <ns0:c r="G28" s="155" t="inlineStr">
        <ns0:is>
          <ns0:t xml:space="preserve">OK </ns0:t>
        </ns0:is>
      </ns0:c>
      <ns0:c r="H28" s="155" t="inlineStr">
        <ns0:is>
          <ns0:t xml:space="preserve">Sigma </ns0:t>
        </ns0:is>
      </ns0:c>
      <ns0:c r="I28" s="60" t="n"/>
      <ns0:c r="J28" s="155" t="inlineStr">
        <ns0:is>
          <ns0:t xml:space="preserve">Input </ns0:t>
        </ns0:is>
      </ns0:c>
      <ns0:c r="K28" s="155" t="inlineStr">
        <ns0:is>
          <ns0:t>OK</ns0:t>
        </ns0:is>
      </ns0:c>
      <ns0:c r="L28" s="155" t="inlineStr">
        <ns0:is>
          <ns0:t>Hearing</ns0:t>
        </ns0:is>
      </ns0:c>
      <ns0:c r="M28" s="60" t="n"/>
      <ns0:c r="N28" s="155" t="inlineStr">
        <ns0:is>
          <ns0:t xml:space="preserve">Total NG </ns0:t>
        </ns0:is>
      </ns0:c>
      <ns0:c r="O28" s="155" t="inlineStr">
        <ns0:is>
          <ns0:t xml:space="preserve">NG Rate </ns0:t>
        </ns0:is>
      </ns0:c>
      <ns0:c r="P28" s="240" t="n"/>
      <ns0:c r="R28" s="239" t="n"/>
      <ns0:c r="S28" s="28" t="n"/>
      <ns0:c r="T28" s="28" t="n"/>
      <ns0:c r="U28" s="28" t="n"/>
      <ns0:c r="V28" s="28" t="n"/>
      <ns0:c r="W28" s="28" t="n"/>
      <ns0:c r="X28" s="28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</ns0:row>
    <ns0:row r="29" ht="50.25" customHeight="1">
      <ns0:c r="A29" s="229" t="n"/>
      <ns0:c r="B29" s="230" t="n"/>
      <ns0:c r="C29" s="49" t="n"/>
      <ns0:c r="D29" s="49" t="n"/>
      <ns0:c r="E29" s="49" t="n"/>
      <ns0:c r="F29" s="49" t="n"/>
      <ns0:c r="G29" s="49" t="n"/>
      <ns0:c r="H29" s="155" t="inlineStr">
        <ns0:is>
          <ns0:t xml:space="preserve">THD+SPL </ns0:t>
        </ns0:is>
      </ns0:c>
      <ns0:c r="I29" s="155" t="inlineStr">
        <ns0:is>
          <ns0:t>THD</ns0:t>
        </ns0:is>
      </ns0:c>
      <ns0:c r="J29" s="49" t="n"/>
      <ns0:c r="K29" s="49" t="n"/>
      <ns0:c r="L29" s="155" t="inlineStr">
        <ns0:is>
          <ns0:t xml:space="preserve">Noise </ns0:t>
        </ns0:is>
      </ns0:c>
      <ns0:c r="M29" s="155" t="inlineStr">
        <ns0:is>
          <ns0:t xml:space="preserve">Touch </ns0:t>
        </ns0:is>
      </ns0:c>
      <ns0:c r="N29" s="49" t="n"/>
      <ns0:c r="O29" s="49" t="n"/>
      <ns0:c r="P29" s="240" t="n"/>
      <ns0:c r="R29" s="239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</ns0:row>
    <ns0:row r="30" ht="50.25" customHeight="1">
      <ns0:c r="A30" s="229" t="n"/>
      <ns0:c r="B30" s="230" t="n"/>
      <ns0:c r="C30" s="158" t="n">
        <ns0:v>1</ns0:v>
      </ns0:c>
      <ns0:c r="D30" s="236" t="n">
        <ns0:v>45576</ns0:v>
      </ns0:c>
      <ns0:c r="E30" s="241" t="inlineStr">
        <ns0:is>
          <ns0:t xml:space="preserve">Hearing repair
( increase voltage 10%) </ns0:t>
        </ns0:is>
      </ns0:c>
      <ns0:c r="F30" s="241" t="n">
        <ns0:v>211</ns0:v>
      </ns0:c>
      <ns0:c r="G30" s="242" t="n">
        <ns0:v>207</ns0:v>
      </ns0:c>
      <ns0:c r="H30" s="242" t="n">
        <ns0:v>2</ns0:v>
      </ns0:c>
      <ns0:c r="I30" s="242" t="n">
        <ns0:v>2</ns0:v>
      </ns0:c>
      <ns0:c r="J30" s="242" t="n">
        <ns0:v>207</ns0:v>
      </ns0:c>
      <ns0:c r="K30" s="242" t="n">
        <ns0:v>117</ns0:v>
      </ns0:c>
      <ns0:c r="L30" s="242" t="n">
        <ns0:v>73</ns0:v>
      </ns0:c>
      <ns0:c r="M30" s="242" t="n">
        <ns0:v>17</ns0:v>
      </ns0:c>
      <ns0:c r="N30" s="242" t="n">
        <ns0:v>94</ns0:v>
      </ns0:c>
      <ns0:c r="O30" s="243" t="n">
        <ns0:v>0.4454976303317535</ns0:v>
      </ns0:c>
      <ns0:c r="P30" s="240" t="n"/>
      <ns0:c r="R30" s="239" t="n"/>
      <ns0:c r="S30" s="28" t="n"/>
      <ns0:c r="T30" s="28" t="n"/>
      <ns0:c r="U30" s="28" t="n"/>
      <ns0:c r="V30" s="28" t="n"/>
      <ns0:c r="W30" s="28" t="n"/>
      <ns0:c r="X30" s="28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</ns0:row>
    <ns0:row r="31" ht="50.25" customHeight="1">
      <ns0:c r="A31" s="229" t="n"/>
      <ns0:c r="B31" s="230" t="n"/>
      <ns0:c r="C31" s="49" t="n"/>
      <ns0:c r="D31" s="48" t="n"/>
      <ns0:c r="E31" s="49" t="n"/>
      <ns0:c r="F31" s="49" t="n"/>
      <ns0:c r="G31" s="49" t="n"/>
      <ns0:c r="H31" s="243" t="n">
        <ns0:v>0.009478672985781991</ns0:v>
      </ns0:c>
      <ns0:c r="I31" s="243" t="n">
        <ns0:v>0.009478672985781991</ns0:v>
      </ns0:c>
      <ns0:c r="J31" s="49" t="n"/>
      <ns0:c r="K31" s="244" t="n">
        <ns0:v>0.5652173913043478</ns0:v>
      </ns0:c>
      <ns0:c r="L31" s="243" t="n">
        <ns0:v>0.3459715639810427</ns0:v>
      </ns0:c>
      <ns0:c r="M31" s="243" t="n">
        <ns0:v>0.08056872037914692</ns0:v>
      </ns0:c>
      <ns0:c r="N31" s="49" t="n"/>
      <ns0:c r="O31" s="49" t="n"/>
      <ns0:c r="P31" s="240" t="n"/>
      <ns0:c r="R31" s="239" t="n"/>
      <ns0:c r="S31" s="28" t="n"/>
      <ns0:c r="T31" s="28" t="n"/>
      <ns0:c r="U31" s="28" t="n"/>
      <ns0:c r="V31" s="28" t="n"/>
      <ns0:c r="W31" s="28" t="n"/>
      <ns0:c r="X31" s="28" t="n"/>
      <ns0:c r="Y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</ns0:row>
    <ns0:row r="32" ht="50.25" customHeight="1">
      <ns0:c r="A32" s="229" t="n"/>
      <ns0:c r="B32" s="230" t="n"/>
      <ns0:c r="C32" s="158" t="n">
        <ns0:v>2</ns0:v>
      </ns0:c>
      <ns0:c r="D32" s="48" t="n"/>
      <ns0:c r="E32" s="171" t="inlineStr">
        <ns0:is>
          <ns0:t xml:space="preserve">Hearing repair
( spec normal) </ns0:t>
        </ns0:is>
      </ns0:c>
      <ns0:c r="F32" s="171" t="n"/>
      <ns0:c r="G32" s="47" t="n"/>
      <ns0:c r="H32" s="47" t="n"/>
      <ns0:c r="I32" s="45" t="n"/>
      <ns0:c r="J32" s="158" t="n">
        <ns0:v>207</ns0:v>
      </ns0:c>
      <ns0:c r="K32" s="245" t="n">
        <ns0:v>169</ns0:v>
      </ns0:c>
      <ns0:c r="L32" s="158" t="n">
        <ns0:v>28</ns0:v>
      </ns0:c>
      <ns0:c r="M32" s="158" t="n">
        <ns0:v>10</ns0:v>
      </ns0:c>
      <ns0:c r="N32" s="158" t="n">
        <ns0:v>38</ns0:v>
      </ns0:c>
      <ns0:c r="O32" s="237" t="n">
        <ns0:v>0.1835748792270532</ns0:v>
      </ns0:c>
      <ns0:c r="P32" s="240" t="n"/>
      <ns0:c r="R32" s="239" t="n"/>
      <ns0:c r="S32" s="28" t="n"/>
      <ns0:c r="T32" s="28" t="n"/>
      <ns0:c r="U32" s="28" t="n"/>
      <ns0:c r="V32" s="28" t="n"/>
      <ns0:c r="W32" s="28" t="n"/>
      <ns0:c r="X32" s="28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</ns0:row>
    <ns0:row r="33" ht="50.25" customHeight="1">
      <ns0:c r="A33" s="229" t="n"/>
      <ns0:c r="B33" s="230" t="n"/>
      <ns0:c r="C33" s="49" t="n"/>
      <ns0:c r="D33" s="49" t="n"/>
      <ns0:c r="E33" s="49" t="n"/>
      <ns0:c r="F33" s="13" t="n"/>
      <ns0:c r="G33" s="14" t="n"/>
      <ns0:c r="H33" s="14" t="n"/>
      <ns0:c r="I33" s="15" t="n"/>
      <ns0:c r="J33" s="49" t="n"/>
      <ns0:c r="K33" s="246" t="n">
        <ns0:v>0.8164251207729468</ns0:v>
      </ns0:c>
      <ns0:c r="L33" s="237" t="n">
        <ns0:v>0.1352657004830918</ns0:v>
      </ns0:c>
      <ns0:c r="M33" s="237" t="n">
        <ns0:v>0.04830917874396135</ns0:v>
      </ns0:c>
      <ns0:c r="N33" s="49" t="n"/>
      <ns0:c r="O33" s="49" t="n"/>
      <ns0:c r="P33" s="240" t="n"/>
      <ns0:c r="R33" s="239" t="n"/>
      <ns0:c r="S33" s="28" t="n"/>
      <ns0:c r="T33" s="28" t="n"/>
      <ns0:c r="U33" s="28" t="n"/>
      <ns0:c r="V33" s="28" t="n"/>
      <ns0:c r="W33" s="28" t="n"/>
      <ns0:c r="X33" s="28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</ns0:row>
    <ns0:row r="34" ht="50.25" customHeight="1">
      <ns0:c r="A34" s="229" t="n"/>
      <ns0:c r="B34" s="230" t="n"/>
      <ns0:c r="C34" s="158" t="n">
        <ns0:v>3</ns0:v>
      </ns0:c>
      <ns0:c r="D34" s="236" t="n">
        <ns0:v>45579</ns0:v>
      </ns0:c>
      <ns0:c r="E34" s="241" t="inlineStr">
        <ns0:is>
          <ns0:t xml:space="preserve">Hearing repair
( increase voltage 10%) </ns0:t>
        </ns0:is>
      </ns0:c>
      <ns0:c r="F34" s="241" t="n">
        <ns0:v>508</ns0:v>
      </ns0:c>
      <ns0:c r="G34" s="242" t="n">
        <ns0:v>500</ns0:v>
      </ns0:c>
      <ns0:c r="H34" s="242" t="n">
        <ns0:v>3</ns0:v>
      </ns0:c>
      <ns0:c r="I34" s="242" t="n">
        <ns0:v>5</ns0:v>
      </ns0:c>
      <ns0:c r="J34" s="242" t="n">
        <ns0:v>500</ns0:v>
      </ns0:c>
      <ns0:c r="K34" s="247" t="n">
        <ns0:v>257</ns0:v>
      </ns0:c>
      <ns0:c r="L34" s="242" t="n">
        <ns0:v>193</ns0:v>
      </ns0:c>
      <ns0:c r="M34" s="242" t="n">
        <ns0:v>50</ns0:v>
      </ns0:c>
      <ns0:c r="N34" s="242" t="n">
        <ns0:v>251</ns0:v>
      </ns0:c>
      <ns0:c r="O34" s="243" t="n">
        <ns0:v>0.4940944881889764</ns0:v>
      </ns0:c>
      <ns0:c r="P34" s="240" t="n"/>
      <ns0:c r="R34" s="239" t="n"/>
      <ns0:c r="S34" s="28" t="n"/>
      <ns0:c r="T34" s="28" t="n"/>
      <ns0:c r="U34" s="28" t="n"/>
      <ns0:c r="V34" s="28" t="n"/>
      <ns0:c r="W34" s="28" t="n"/>
      <ns0:c r="X34" s="28" t="n"/>
      <ns0:c r="Y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</ns0:row>
    <ns0:row r="35" ht="50.25" customHeight="1">
      <ns0:c r="A35" s="229" t="n"/>
      <ns0:c r="B35" s="230" t="n"/>
      <ns0:c r="C35" s="49" t="n"/>
      <ns0:c r="D35" s="48" t="n"/>
      <ns0:c r="E35" s="49" t="n"/>
      <ns0:c r="F35" s="49" t="n"/>
      <ns0:c r="G35" s="49" t="n"/>
      <ns0:c r="H35" s="243" t="n">
        <ns0:v>0.005905511811023622</ns0:v>
      </ns0:c>
      <ns0:c r="I35" s="243" t="n">
        <ns0:v>0.00984251968503937</ns0:v>
      </ns0:c>
      <ns0:c r="J35" s="49" t="n"/>
      <ns0:c r="K35" s="248" t="n">
        <ns0:v>0.514</ns0:v>
      </ns0:c>
      <ns0:c r="L35" s="243" t="n">
        <ns0:v>0.3799212598425197</ns0:v>
      </ns0:c>
      <ns0:c r="M35" s="243" t="n">
        <ns0:v>0.09842519685039371</ns0:v>
      </ns0:c>
      <ns0:c r="N35" s="49" t="n"/>
      <ns0:c r="O35" s="49" t="n"/>
      <ns0:c r="P35" s="240" t="n"/>
      <ns0:c r="R35" s="239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</ns0:row>
    <ns0:row r="36" ht="50.25" customHeight="1">
      <ns0:c r="A36" s="229" t="n"/>
      <ns0:c r="B36" s="230" t="n"/>
      <ns0:c r="C36" s="158" t="n">
        <ns0:v>4</ns0:v>
      </ns0:c>
      <ns0:c r="D36" s="48" t="n"/>
      <ns0:c r="E36" s="171" t="inlineStr">
        <ns0:is>
          <ns0:t xml:space="preserve">Hearing repair
( spec normal) </ns0:t>
        </ns0:is>
      </ns0:c>
      <ns0:c r="F36" s="171" t="n"/>
      <ns0:c r="G36" s="47" t="n"/>
      <ns0:c r="H36" s="47" t="n"/>
      <ns0:c r="I36" s="45" t="n"/>
      <ns0:c r="J36" s="158" t="n">
        <ns0:v>500</ns0:v>
      </ns0:c>
      <ns0:c r="K36" s="245" t="n">
        <ns0:v>332</ns0:v>
      </ns0:c>
      <ns0:c r="L36" s="158" t="n">
        <ns0:v>133</ns0:v>
      </ns0:c>
      <ns0:c r="M36" s="158" t="n">
        <ns0:v>35</ns0:v>
      </ns0:c>
      <ns0:c r="N36" s="158" t="n">
        <ns0:v>168</ns0:v>
      </ns0:c>
      <ns0:c r="O36" s="237" t="n">
        <ns0:v>0.336</ns0:v>
      </ns0:c>
      <ns0:c r="P36" s="240" t="n"/>
      <ns0:c r="R36" s="239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</ns0:row>
    <ns0:row r="37" ht="50.25" customHeight="1">
      <ns0:c r="A37" s="229" t="n"/>
      <ns0:c r="B37" s="230" t="n"/>
      <ns0:c r="C37" s="49" t="n"/>
      <ns0:c r="D37" s="49" t="n"/>
      <ns0:c r="E37" s="49" t="n"/>
      <ns0:c r="F37" s="13" t="n"/>
      <ns0:c r="G37" s="14" t="n"/>
      <ns0:c r="H37" s="14" t="n"/>
      <ns0:c r="I37" s="15" t="n"/>
      <ns0:c r="J37" s="49" t="n"/>
      <ns0:c r="K37" s="246" t="n">
        <ns0:v>0.664</ns0:v>
      </ns0:c>
      <ns0:c r="L37" s="237" t="n">
        <ns0:v>0.266</ns0:v>
      </ns0:c>
      <ns0:c r="M37" s="237" t="n">
        <ns0:v>0.07000000000000001</ns0:v>
      </ns0:c>
      <ns0:c r="N37" s="49" t="n"/>
      <ns0:c r="O37" s="49" t="n"/>
      <ns0:c r="P37" s="240" t="n"/>
      <ns0:c r="R37" s="239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</ns0:row>
    <ns0:row r="38" ht="50.25" customHeight="1">
      <ns0:c r="A38" s="229" t="n"/>
      <ns0:c r="B38" s="230" t="n"/>
      <ns0:c r="C38" s="249" t="n">
        <ns0:v>5</ns0:v>
      </ns0:c>
      <ns0:c r="D38" s="236" t="n">
        <ns0:v>45580</ns0:v>
      </ns0:c>
      <ns0:c r="E38" s="241" t="inlineStr">
        <ns0:is>
          <ns0:t xml:space="preserve">Hearing repair
( increase voltage 10%) </ns0:t>
        </ns0:is>
      </ns0:c>
      <ns0:c r="F38" s="241" t="n">
        <ns0:v>178</ns0:v>
      </ns0:c>
      <ns0:c r="G38" s="242" t="n">
        <ns0:v>174</ns0:v>
      </ns0:c>
      <ns0:c r="H38" s="242" t="n">
        <ns0:v>3</ns0:v>
      </ns0:c>
      <ns0:c r="I38" s="242" t="n">
        <ns0:v>1</ns0:v>
      </ns0:c>
      <ns0:c r="J38" s="242" t="n">
        <ns0:v>174</ns0:v>
      </ns0:c>
      <ns0:c r="K38" s="247" t="n">
        <ns0:v>110</ns0:v>
      </ns0:c>
      <ns0:c r="L38" s="242" t="n">
        <ns0:v>33</ns0:v>
      </ns0:c>
      <ns0:c r="M38" s="242" t="n">
        <ns0:v>31</ns0:v>
      </ns0:c>
      <ns0:c r="N38" s="242" t="n">
        <ns0:v>68</ns0:v>
      </ns0:c>
      <ns0:c r="O38" s="243" t="n">
        <ns0:v>0.3820224719101123</ns0:v>
      </ns0:c>
      <ns0:c r="P38" s="240" t="n"/>
      <ns0:c r="R38" s="239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</ns0:row>
    <ns0:row r="39" ht="50.25" customHeight="1">
      <ns0:c r="A39" s="229" t="n"/>
      <ns0:c r="B39" s="230" t="n"/>
      <ns0:c r="C39" s="13" t="n"/>
      <ns0:c r="D39" s="48" t="n"/>
      <ns0:c r="E39" s="49" t="n"/>
      <ns0:c r="F39" s="49" t="n"/>
      <ns0:c r="G39" s="49" t="n"/>
      <ns0:c r="H39" s="243" t="n">
        <ns0:v>0.01685393258426966</ns0:v>
      </ns0:c>
      <ns0:c r="I39" s="243" t="n">
        <ns0:v>0.005617977528089887</ns0:v>
      </ns0:c>
      <ns0:c r="J39" s="49" t="n"/>
      <ns0:c r="K39" s="248" t="n">
        <ns0:v>0.632183908045977</ns0:v>
      </ns0:c>
      <ns0:c r="L39" s="243" t="n">
        <ns0:v>0.1853932584269663</ns0:v>
      </ns0:c>
      <ns0:c r="M39" s="243" t="n">
        <ns0:v>0.1741573033707865</ns0:v>
      </ns0:c>
      <ns0:c r="N39" s="49" t="n"/>
      <ns0:c r="O39" s="49" t="n"/>
      <ns0:c r="P39" s="240" t="n"/>
      <ns0:c r="R39" s="239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</ns0:row>
    <ns0:row r="40" ht="50.25" customHeight="1">
      <ns0:c r="A40" s="229" t="n"/>
      <ns0:c r="B40" s="230" t="n"/>
      <ns0:c r="C40" s="249" t="n">
        <ns0:v>6</ns0:v>
      </ns0:c>
      <ns0:c r="D40" s="48" t="n"/>
      <ns0:c r="E40" s="250" t="inlineStr">
        <ns0:is>
          <ns0:t xml:space="preserve">Hearing repair
( increase voltage 5%) </ns0:t>
        </ns0:is>
      </ns0:c>
      <ns0:c r="F40" s="250" t="n"/>
      <ns0:c r="G40" s="47" t="n"/>
      <ns0:c r="H40" s="47" t="n"/>
      <ns0:c r="I40" s="45" t="n"/>
      <ns0:c r="J40" s="251" t="n">
        <ns0:v>174</ns0:v>
      </ns0:c>
      <ns0:c r="K40" s="252" t="n">
        <ns0:v>114</ns0:v>
      </ns0:c>
      <ns0:c r="L40" s="251" t="n">
        <ns0:v>29</ns0:v>
      </ns0:c>
      <ns0:c r="M40" s="251" t="n">
        <ns0:v>31</ns0:v>
      </ns0:c>
      <ns0:c r="N40" s="251" t="n">
        <ns0:v>60</ns0:v>
      </ns0:c>
      <ns0:c r="O40" s="253" t="n">
        <ns0:v>0.3448275862068966</ns0:v>
      </ns0:c>
      <ns0:c r="P40" s="240" t="n"/>
      <ns0:c r="R40" s="239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</ns0:row>
    <ns0:row r="41" ht="50.25" customHeight="1">
      <ns0:c r="A41" s="229" t="n"/>
      <ns0:c r="B41" s="230" t="n"/>
      <ns0:c r="C41" s="13" t="n"/>
      <ns0:c r="D41" s="48" t="n"/>
      <ns0:c r="E41" s="49" t="n"/>
      <ns0:c r="F41" s="13" t="n"/>
      <ns0:c r="G41" s="14" t="n"/>
      <ns0:c r="H41" s="14" t="n"/>
      <ns0:c r="I41" s="15" t="n"/>
      <ns0:c r="J41" s="49" t="n"/>
      <ns0:c r="K41" s="254" t="n">
        <ns0:v>0.6551724137931034</ns0:v>
      </ns0:c>
      <ns0:c r="L41" s="253" t="n">
        <ns0:v>0.1666666666666667</ns0:v>
      </ns0:c>
      <ns0:c r="M41" s="253" t="n">
        <ns0:v>0.1781609195402299</ns0:v>
      </ns0:c>
      <ns0:c r="N41" s="49" t="n"/>
      <ns0:c r="O41" s="49" t="n"/>
      <ns0:c r="P41" s="240" t="n"/>
      <ns0:c r="R41" s="239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</ns0:row>
    <ns0:row r="42" ht="50.25" customHeight="1">
      <ns0:c r="A42" s="229" t="n"/>
      <ns0:c r="B42" s="230" t="n"/>
      <ns0:c r="C42" s="249" t="n">
        <ns0:v>7</ns0:v>
      </ns0:c>
      <ns0:c r="D42" s="48" t="n"/>
      <ns0:c r="E42" s="171" t="inlineStr">
        <ns0:is>
          <ns0:t xml:space="preserve">Hearing repair
( spec normal) </ns0:t>
        </ns0:is>
      </ns0:c>
      <ns0:c r="F42" s="171" t="n"/>
      <ns0:c r="G42" s="47" t="n"/>
      <ns0:c r="H42" s="47" t="n"/>
      <ns0:c r="I42" s="45" t="n"/>
      <ns0:c r="J42" s="158" t="n">
        <ns0:v>174</ns0:v>
      </ns0:c>
      <ns0:c r="K42" s="245" t="n">
        <ns0:v>118</ns0:v>
      </ns0:c>
      <ns0:c r="L42" s="158" t="n">
        <ns0:v>44</ns0:v>
      </ns0:c>
      <ns0:c r="M42" s="158" t="n">
        <ns0:v>12</ns0:v>
      </ns0:c>
      <ns0:c r="N42" s="158" t="n">
        <ns0:v>56</ns0:v>
      </ns0:c>
      <ns0:c r="O42" s="237" t="n">
        <ns0:v>0.3218390804597701</ns0:v>
      </ns0:c>
      <ns0:c r="P42" s="240" t="n"/>
      <ns0:c r="R42" s="239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</ns0:row>
    <ns0:row r="43" ht="50.25" customHeight="1">
      <ns0:c r="A43" s="229" t="n"/>
      <ns0:c r="B43" s="230" t="n"/>
      <ns0:c r="C43" s="13" t="n"/>
      <ns0:c r="D43" s="49" t="n"/>
      <ns0:c r="E43" s="49" t="n"/>
      <ns0:c r="F43" s="13" t="n"/>
      <ns0:c r="G43" s="14" t="n"/>
      <ns0:c r="H43" s="14" t="n"/>
      <ns0:c r="I43" s="15" t="n"/>
      <ns0:c r="J43" s="49" t="n"/>
      <ns0:c r="K43" s="246" t="n">
        <ns0:v>0.6781609195402298</ns0:v>
      </ns0:c>
      <ns0:c r="L43" s="237" t="n">
        <ns0:v>0.2528735632183908</ns0:v>
      </ns0:c>
      <ns0:c r="M43" s="237" t="n">
        <ns0:v>0.06896551724137931</ns0:v>
      </ns0:c>
      <ns0:c r="N43" s="49" t="n"/>
      <ns0:c r="O43" s="49" t="n"/>
      <ns0:c r="P43" s="240" t="n"/>
      <ns0:c r="R43" s="239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</ns0:row>
    <ns0:row r="44" ht="50.25" customHeight="1">
      <ns0:c r="A44" s="229" t="n"/>
      <ns0:c r="B44" s="230" t="n"/>
      <ns0:c r="C44" s="255" t="n"/>
      <ns0:c r="D44" s="255" t="n"/>
      <ns0:c r="E44" s="186" t="n"/>
      <ns0:c r="F44" s="186" t="n"/>
      <ns0:c r="G44" s="185" t="n"/>
      <ns0:c r="H44" s="232" t="n"/>
      <ns0:c r="I44" s="232" t="n"/>
      <ns0:c r="J44" s="232" t="n"/>
      <ns0:c r="K44" s="232" t="n"/>
      <ns0:c r="L44" s="232" t="n"/>
      <ns0:c r="M44" s="232" t="n"/>
      <ns0:c r="N44" s="185" t="n"/>
      <ns0:c r="O44" s="256" t="n"/>
      <ns0:c r="P44" s="256" t="n"/>
      <ns0:c r="R44" s="239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</ns0:row>
    <ns0:row r="45" ht="50.25" customHeight="1">
      <ns0:c r="A45" s="229" t="n"/>
      <ns0:c r="B45" s="230" t="n"/>
      <ns0:c r="C45" s="255" t="n"/>
      <ns0:c r="D45" s="255" t="n"/>
      <ns0:c r="E45" s="186" t="n"/>
      <ns0:c r="F45" s="186" t="n"/>
      <ns0:c r="G45" s="185" t="n"/>
      <ns0:c r="H45" s="232" t="n"/>
      <ns0:c r="I45" s="232" t="n"/>
      <ns0:c r="J45" s="232" t="n"/>
      <ns0:c r="K45" s="232" t="n"/>
      <ns0:c r="L45" s="232" t="n"/>
      <ns0:c r="M45" s="232" t="n"/>
      <ns0:c r="N45" s="185" t="n"/>
      <ns0:c r="O45" s="256" t="n"/>
      <ns0:c r="P45" s="256" t="n"/>
      <ns0:c r="R45" s="239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</ns0:row>
    <ns0:row r="46" ht="39.75" customHeight="1">
      <ns0:c r="A46" s="229" t="n"/>
      <ns0:c r="B46" s="257" t="n"/>
      <ns0:c r="C46" s="258" t="n"/>
      <ns0:c r="D46" s="258" t="n"/>
      <ns0:c r="E46" s="258" t="n"/>
      <ns0:c r="F46" s="258" t="n"/>
      <ns0:c r="G46" s="258" t="n"/>
      <ns0:c r="H46" s="258" t="n"/>
      <ns0:c r="I46" s="258" t="n"/>
      <ns0:c r="J46" s="258" t="n"/>
      <ns0:c r="K46" s="258" t="n"/>
      <ns0:c r="L46" s="258" t="n"/>
      <ns0:c r="M46" s="258" t="n"/>
      <ns0:c r="N46" s="259" t="n"/>
      <ns0:c r="O46" s="259" t="n"/>
      <ns0:c r="P46" s="259" t="n"/>
      <ns0:c r="Q46" s="260" t="n"/>
      <ns0:c r="R46" s="261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</ns0:row>
    <ns0:row r="47" ht="40.5" customHeight="1">
      <ns0:c r="A47" s="229" t="n"/>
      <ns0:c r="B47" s="262" t="inlineStr">
        <ns0:is>
          <ns0:t>IV. Decision</ns0:t>
        </ns0:is>
      </ns0:c>
      <ns0:c r="C47" s="263" t="n"/>
      <ns0:c r="D47" s="263" t="n"/>
      <ns0:c r="E47" s="263" t="n"/>
      <ns0:c r="F47" s="263" t="n"/>
      <ns0:c r="G47" s="263" t="n"/>
      <ns0:c r="H47" s="263" t="n"/>
      <ns0:c r="I47" s="263" t="n"/>
      <ns0:c r="J47" s="263" t="n"/>
      <ns0:c r="K47" s="263" t="n"/>
      <ns0:c r="L47" s="263" t="n"/>
      <ns0:c r="M47" s="263" t="n"/>
      <ns0:c r="N47" s="263" t="n"/>
      <ns0:c r="O47" s="263" t="n"/>
      <ns0:c r="P47" s="263" t="n"/>
      <ns0:c r="Q47" s="263" t="n"/>
      <ns0:c r="R47" s="264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40.5" customHeight="1">
      <ns0:c r="A48" s="229" t="n"/>
      <ns0:c r="B48" s="265" t="n"/>
      <ns0:c r="C48" s="266" t="n"/>
      <ns0:c r="D48" s="266" t="n"/>
      <ns0:c r="E48" s="266" t="n"/>
      <ns0:c r="F48" s="266" t="n"/>
      <ns0:c r="G48" s="266" t="n"/>
      <ns0:c r="H48" s="266" t="n"/>
      <ns0:c r="I48" s="266" t="n"/>
      <ns0:c r="J48" s="266" t="n"/>
      <ns0:c r="K48" s="266" t="n"/>
      <ns0:c r="L48" s="266" t="n"/>
      <ns0:c r="M48" s="266" t="n"/>
      <ns0:c r="N48" s="266" t="n"/>
      <ns0:c r="O48" s="266" t="n"/>
      <ns0:c r="P48" s="266" t="n"/>
      <ns0:c r="Q48" s="266" t="n"/>
      <ns0:c r="R48" s="267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40.5" customHeight="1">
      <ns0:c r="A49" s="229" t="n"/>
      <ns0:c r="B49" s="268" t="n"/>
      <ns0:c r="C49" s="269" t="n"/>
      <ns0:c r="D49" s="269" t="n"/>
      <ns0:c r="E49" s="269" t="n"/>
      <ns0:c r="F49" s="269" t="n"/>
      <ns0:c r="G49" s="269" t="n"/>
      <ns0:c r="H49" s="269" t="n"/>
      <ns0:c r="I49" s="269" t="n"/>
      <ns0:c r="J49" s="269" t="n"/>
      <ns0:c r="K49" s="269" t="n"/>
      <ns0:c r="L49" s="269" t="n"/>
      <ns0:c r="M49" s="269" t="n"/>
      <ns0:c r="N49" s="269" t="n"/>
      <ns0:c r="O49" s="269" t="n"/>
      <ns0:c r="P49" s="269" t="n"/>
      <ns0:c r="Q49" s="269" t="n"/>
      <ns0:c r="R49" s="270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</ns0:row>
    <ns0:row r="50" ht="40.5" customHeight="1">
      <ns0:c r="B50" s="111" t="n"/>
      <ns0:c r="C50" s="111" t="n"/>
      <ns0:c r="D50" s="111" t="n"/>
      <ns0:c r="E50" s="111" t="n"/>
      <ns0:c r="F50" s="111" t="n"/>
      <ns0:c r="G50" s="111" t="n"/>
      <ns0:c r="H50" s="111" t="n"/>
      <ns0:c r="I50" s="111" t="n"/>
      <ns0:c r="J50" s="111" t="n"/>
      <ns0:c r="K50" s="111" t="n"/>
      <ns0:c r="L50" s="111" t="n"/>
      <ns0:c r="M50" s="111" t="n"/>
      <ns0:c r="N50" s="111" t="n"/>
      <ns0:c r="O50" s="111" t="n"/>
      <ns0:c r="P50" s="111" t="n"/>
      <ns0:c r="Q50" s="111" t="n"/>
      <ns0:c r="R50" s="111" t="n"/>
    </ns0:row>
  </ns0:sheetData>
  <ns0:mergeCells count="106">
    <ns0:mergeCell ref="C30:C31"/>
    <ns0:mergeCell ref="F40:I41"/>
    <ns0:mergeCell ref="Q21:Q22"/>
    <ns0:mergeCell ref="D21:D22"/>
    <ns0:mergeCell ref="F36:I37"/>
    <ns0:mergeCell ref="E23:E24"/>
    <ns0:mergeCell ref="P21:P22"/>
    <ns0:mergeCell ref="L28:M28"/>
    <ns0:mergeCell ref="F30:F31"/>
    <ns0:mergeCell ref="B2:C4"/>
    <ns0:mergeCell ref="J36:J37"/>
    <ns0:mergeCell ref="O40:O41"/>
    <ns0:mergeCell ref="J32:J33"/>
    <ns0:mergeCell ref="B17:R17"/>
    <ns0:mergeCell ref="N38:N39"/>
    <ns0:mergeCell ref="F28:F29"/>
    <ns0:mergeCell ref="O19:O20"/>
    <ns0:mergeCell ref="N40:N41"/>
    <ns0:mergeCell ref="E25:E26"/>
    <ns0:mergeCell ref="E21:E22"/>
    <ns0:mergeCell ref="G21:G22"/>
    <ns0:mergeCell ref="D38:D43"/>
    <ns0:mergeCell ref="F34:F35"/>
    <ns0:mergeCell ref="B5:R5"/>
    <ns0:mergeCell ref="G23:G24"/>
    <ns0:mergeCell ref="D34:D37"/>
    <ns0:mergeCell ref="J34:J35"/>
    <ns0:mergeCell ref="O36:O37"/>
    <ns0:mergeCell ref="O30:O31"/>
    <ns0:mergeCell ref="O32:O33"/>
    <ns0:mergeCell ref="E38:E39"/>
    <ns0:mergeCell ref="G7:H7"/>
    <ns0:mergeCell ref="N42:N43"/>
    <ns0:mergeCell ref="C40:C41"/>
    <ns0:mergeCell ref="E40:E41"/>
    <ns0:mergeCell ref="H19:H20"/>
    <ns0:mergeCell ref="B13:R13"/>
    <ns0:mergeCell ref="M21:M22"/>
    <ns0:mergeCell ref="D25:D26"/>
    <ns0:mergeCell ref="N28:N29"/>
    <ns0:mergeCell ref="D30:D33"/>
    <ns0:mergeCell ref="C32:C33"/>
    <ns0:mergeCell ref="L21:L22"/>
    <ns0:mergeCell ref="G25:G26"/>
    <ns0:mergeCell ref="I19:I20"/>
    <ns0:mergeCell ref="H28:I28"/>
    <ns0:mergeCell ref="M23:M24"/>
    <ns0:mergeCell ref="K19:K20"/>
    <ns0:mergeCell ref="C19:C20"/>
    <ns0:mergeCell ref="K28:K29"/>
    <ns0:mergeCell ref="N30:N31"/>
    <ns0:mergeCell ref="C34:C35"/>
    <ns0:mergeCell ref="D23:D24"/>
    <ns0:mergeCell ref="O34:O35"/>
    <ns0:mergeCell ref="C42:C43"/>
    <ns0:mergeCell ref="J38:J39"/>
    <ns0:mergeCell ref="E42:E43"/>
    <ns0:mergeCell ref="G38:G39"/>
    <ns0:mergeCell ref="J40:J41"/>
    <ns0:mergeCell ref="F21:F22"/>
    <ns0:mergeCell ref="F32:I33"/>
    <ns0:mergeCell ref="M25:M26"/>
    <ns0:mergeCell ref="E28:E29"/>
    <ns0:mergeCell ref="C27:Q27"/>
    <ns0:mergeCell ref="C21:C22"/>
    <ns0:mergeCell ref="Q19:Q20"/>
    <ns0:mergeCell ref="G28:G29"/>
    <ns0:mergeCell ref="F23:F24"/>
    <ns0:mergeCell ref="C36:C37"/>
    <ns0:mergeCell ref="L25:L26"/>
    <ns0:mergeCell ref="D28:D29"/>
    <ns0:mergeCell ref="N19:N20"/>
    <ns0:mergeCell ref="E30:E31"/>
    <ns0:mergeCell ref="P19:P20"/>
    <ns0:mergeCell ref="G30:G31"/>
    <ns0:mergeCell ref="C23:C24"/>
    <ns0:mergeCell ref="E32:E33"/>
    <ns0:mergeCell ref="C7:D7"/>
    <ns0:mergeCell ref="C38:C39"/>
    <ns0:mergeCell ref="E7:F7"/>
    <ns0:mergeCell ref="O38:O39"/>
    <ns0:mergeCell ref="J42:J43"/>
    <ns0:mergeCell ref="N36:N37"/>
    <ns0:mergeCell ref="N32:N33"/>
    <ns0:mergeCell ref="F25:F26"/>
    <ns0:mergeCell ref="J28:J29"/>
    <ns0:mergeCell ref="E19:E20"/>
    <ns0:mergeCell ref="E34:E35"/>
    <ns0:mergeCell ref="G19:G20"/>
    <ns0:mergeCell ref="G34:G35"/>
    <ns0:mergeCell ref="J30:J31"/>
    <ns0:mergeCell ref="C25:C26"/>
    <ns0:mergeCell ref="F42:I43"/>
    <ns0:mergeCell ref="L23:L24"/>
    <ns0:mergeCell ref="F38:F39"/>
    <ns0:mergeCell ref="E36:E37"/>
    <ns0:mergeCell ref="N34:N35"/>
    <ns0:mergeCell ref="O42:O43"/>
    <ns0:mergeCell ref="D19:D20"/>
    <ns0:mergeCell ref="D2:P4"/>
    <ns0:mergeCell ref="F19:F20"/>
    <ns0:mergeCell ref="C28:C29"/>
    <ns0:mergeCell ref="M19:M20"/>
    <ns0:mergeCell ref="O28:O29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2026-05-12T07:35:36Z</dcterms:created>
  <dcterms:modified xsi:type="dcterms:W3CDTF">2026-05-12T07:36:03Z</dcterms:modified>
</cp:coreProperties>
</file>