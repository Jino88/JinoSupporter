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  <sheet name="Test bond VP CD" sheetId="2" state="visible" r:id="rId2"/>
    <sheet name="Test RING" sheetId="3" state="visible" r:id="rId3"/>
    <sheet name="Test array Frame+SP by hand" sheetId="4" state="visible" r:id="rId4"/>
    <sheet name="Test Led UC SUb 1 5s" sheetId="5" state="visible" r:id="rId5"/>
    <sheet name="Test  VP CD of C2" sheetId="6" state="visible" r:id="rId6"/>
    <sheet name="Test CMG. SMG height 0.7T" sheetId="7" state="visible" r:id="rId7"/>
    <sheet name="Bonding Frame+VP" sheetId="8" state="visible" r:id="rId8"/>
    <sheet name="Test Coil of Korea" sheetId="9" state="visible" r:id="rId9"/>
    <sheet name="Test VP 55A" sheetId="10" state="visible" r:id="rId10"/>
    <sheet name="Test press Coil by hand" sheetId="11" state="visible" r:id="rId11"/>
    <sheet name="Test reduce led uv time" sheetId="12" state="visible" r:id="rId12"/>
    <sheet name="Test VP 201506-07" sheetId="13" state="visible" r:id="rId13"/>
    <sheet name="Test new frame+Coil+Yoke" sheetId="14" state="visible" r:id="rId14"/>
    <sheet name="Test VP change thickness" sheetId="15" state="visible" r:id="rId15"/>
    <sheet name="Test AWFchange dimension" sheetId="16" state="visible" r:id="rId16"/>
    <sheet name="Sub 1 jig repair" sheetId="17" state="visible" r:id="rId17"/>
    <sheet name="Bonding VP+CD" sheetId="18" state="visible" r:id="rId18"/>
    <sheet name="Test Plasma CD coil" sheetId="19" state="visible" r:id="rId19"/>
    <sheet name="Bonding Coil+VP" sheetId="20" state="visible" r:id="rId20"/>
    <sheet name="Improve AWF" sheetId="21" state="visible" r:id="rId21"/>
    <sheet name="Sheet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</font>
    <font>
      <name val="Times New Roman"/>
      <color rgb="FFFF0000"/>
      <sz val="16"/>
    </font>
    <font>
      <name val="맑은 고딕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14"/>
    </font>
    <font>
      <name val="Times New Roman"/>
      <sz val="18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3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166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0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worksheet" Target="/xl/worksheets/sheet15.xml" Id="rId15" /><ns0:Relationship Type="http://schemas.openxmlformats.org/officeDocument/2006/relationships/worksheet" Target="/xl/worksheets/sheet16.xml" Id="rId16" /><ns0:Relationship Type="http://schemas.openxmlformats.org/officeDocument/2006/relationships/worksheet" Target="/xl/worksheets/sheet17.xml" Id="rId17" /><ns0:Relationship Type="http://schemas.openxmlformats.org/officeDocument/2006/relationships/worksheet" Target="/xl/worksheets/sheet18.xml" Id="rId18" /><ns0:Relationship Type="http://schemas.openxmlformats.org/officeDocument/2006/relationships/worksheet" Target="/xl/worksheets/sheet19.xml" Id="rId19" /><ns0:Relationship Type="http://schemas.openxmlformats.org/officeDocument/2006/relationships/worksheet" Target="/xl/worksheets/sheet20.xml" Id="rId20" /><ns0:Relationship Type="http://schemas.openxmlformats.org/officeDocument/2006/relationships/worksheet" Target="/xl/worksheets/sheet21.xml" Id="rId21" /><ns0:Relationship Type="http://schemas.openxmlformats.org/officeDocument/2006/relationships/worksheet" Target="/xl/worksheets/sheet22.xml" Id="rId22" /><ns0:Relationship Type="http://schemas.openxmlformats.org/officeDocument/2006/relationships/styles" Target="styles.xml" Id="rId23" /><ns0:Relationship Type="http://schemas.openxmlformats.org/officeDocument/2006/relationships/theme" Target="theme/theme1.xml" Id="rId2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16.85714285714286" customWidth="1" min="3" max="3"/>
    <ns0:col width="16.85714285714286" customWidth="1" min="4" max="4"/>
    <ns0:col width="16.85714285714286" customWidth="1" min="5" max="5"/>
    <ns0:col width="16.85714285714286" customWidth="1" min="6" max="6"/>
    <ns0:col width="17.85714285714286" customWidth="1" min="7" max="7"/>
    <ns0:col width="17.85714285714286" customWidth="1" min="8" max="8"/>
    <ns0:col width="17.85714285714286" customWidth="1" min="9" max="9"/>
    <ns0:col width="17.85714285714286" customWidth="1" min="10" max="10"/>
    <ns0:col width="17.85714285714286" customWidth="1" min="11" max="11"/>
    <ns0:col width="17.85714285714286" customWidth="1" min="12" max="12"/>
    <ns0:col width="17.85714285714286" customWidth="1" min="13" max="13"/>
    <ns0:col width="17.85714285714286" customWidth="1" min="14" max="14"/>
    <ns0:col width="17.85714285714286" customWidth="1" min="15" max="15"/>
    <ns0:col width="17.85714285714286" customWidth="1" min="16" max="16"/>
    <ns0:col width="17.85714285714286" customWidth="1" min="17" max="17"/>
    <ns0:col width="17.85714285714286" customWidth="1" min="18" max="18"/>
    <ns0:col width="17.85714285714286" customWidth="1" min="19" max="19"/>
    <ns0:col width="17.85714285714286" customWidth="1" min="20" max="20"/>
    <ns0:col width="17.85714285714286" customWidth="1" min="21" max="21"/>
    <ns0:col width="17.85714285714286" customWidth="1" min="22" max="22"/>
  </ns0:cols>
  <ns0:sheetData>
    <ns0:row r="3" ht="20.25" customHeight="1">
      <ns0:c r="B3" s="1" t="inlineStr">
        <ns0:is>
          <ns0:t xml:space="preserve">RESULT CHECK FUNCTION </ns0:t>
        </ns0:is>
      </ns0:c>
      <ns0:c r="C3" s="2" t="n"/>
      <ns0:c r="D3" s="2" t="n"/>
      <ns0:c r="E3" s="2" t="n"/>
      <ns0:c r="F3" s="2" t="n"/>
      <ns0:c r="G3" s="2" t="n"/>
      <ns0:c r="H3" s="2" t="n"/>
      <ns0:c r="I3" s="2" t="n"/>
      <ns0:c r="J3" s="2" t="n"/>
      <ns0:c r="K3" s="2" t="n"/>
      <ns0:c r="L3" s="2" t="n"/>
      <ns0:c r="M3" s="2" t="n"/>
      <ns0:c r="N3" s="2" t="n"/>
      <ns0:c r="O3" s="2" t="n"/>
      <ns0:c r="P3" s="2" t="n"/>
      <ns0:c r="Q3" s="2" t="n"/>
      <ns0:c r="R3" s="2" t="n"/>
      <ns0:c r="S3" s="2" t="n"/>
      <ns0:c r="T3" s="2" t="n"/>
      <ns0:c r="U3" s="2" t="n"/>
      <ns0:c r="V3" s="2" t="n"/>
    </ns0:row>
    <ns0:row r="4" ht="35.25" customHeight="1">
      <ns0:c r="B4" s="3" t="inlineStr">
        <ns0:is>
          <ns0:t>Date</ns0:t>
        </ns0:is>
      </ns0:c>
      <ns0:c r="C4" s="4" t="inlineStr">
        <ns0:is>
          <ns0:t xml:space="preserve">Condition test </ns0:t>
        </ns0:is>
      </ns0:c>
      <ns0:c r="D4" s="5" t="n"/>
      <ns0:c r="E4" s="5" t="n"/>
      <ns0:c r="F4" s="6" t="n"/>
      <ns0:c r="G4" s="4" t="inlineStr">
        <ns0:is>
          <ns0:t xml:space="preserve">Input </ns0:t>
        </ns0:is>
      </ns0:c>
      <ns0:c r="H4" s="3" t="inlineStr">
        <ns0:is>
          <ns0:t xml:space="preserve">OK </ns0:t>
        </ns0:is>
      </ns0:c>
      <ns0:c r="I4" s="3" t="inlineStr">
        <ns0:is>
          <ns0:t xml:space="preserve">Sigma </ns0:t>
        </ns0:is>
      </ns0:c>
      <ns0:c r="J4" s="7" t="n"/>
      <ns0:c r="K4" s="7" t="n"/>
      <ns0:c r="L4" s="7" t="n"/>
      <ns0:c r="M4" s="7" t="n"/>
      <ns0:c r="N4" s="8" t="n"/>
      <ns0:c r="O4" s="3" t="inlineStr">
        <ns0:is>
          <ns0:t xml:space="preserve">Hearing  ( + 1V ) </ns0:t>
        </ns0:is>
      </ns0:c>
      <ns0:c r="P4" s="7" t="n"/>
      <ns0:c r="Q4" s="7" t="n"/>
      <ns0:c r="R4" s="8" t="n"/>
      <ns0:c r="S4" s="3" t="inlineStr">
        <ns0:is>
          <ns0:t xml:space="preserve">Hearing  ( + 0V ) </ns0:t>
        </ns0:is>
      </ns0:c>
      <ns0:c r="T4" s="7" t="n"/>
      <ns0:c r="U4" s="7" t="n"/>
      <ns0:c r="V4" s="8" t="n"/>
    </ns0:row>
    <ns0:row r="5" ht="35.25" customHeight="1">
      <ns0:c r="B5" s="9" t="n"/>
      <ns0:c r="C5" s="10" t="n"/>
      <ns0:c r="D5" s="11" t="n"/>
      <ns0:c r="E5" s="11" t="n"/>
      <ns0:c r="F5" s="12" t="n"/>
      <ns0:c r="G5" s="9" t="n"/>
      <ns0:c r="H5" s="9" t="n"/>
      <ns0:c r="I5" s="3" t="inlineStr">
        <ns0:is>
          <ns0:t xml:space="preserve">SPL </ns0:t>
        </ns0:is>
      </ns0:c>
      <ns0:c r="J5" s="3" t="inlineStr">
        <ns0:is>
          <ns0:t xml:space="preserve">THD </ns0:t>
        </ns0:is>
      </ns0:c>
      <ns0:c r="K5" s="3" t="inlineStr">
        <ns0:is>
          <ns0:t xml:space="preserve">SPL+THD </ns0:t>
        </ns0:is>
      </ns0:c>
      <ns0:c r="L5" s="4" t="inlineStr">
        <ns0:is>
          <ns0:t>SPL+THD+F0</ns0:t>
        </ns0:is>
      </ns0:c>
      <ns0:c r="M5" s="13" t="inlineStr">
        <ns0:is>
          <ns0:t>Total NG</ns0:t>
        </ns0:is>
      </ns0:c>
      <ns0:c r="N5" s="14" t="inlineStr">
        <ns0:is>
          <ns0:t>NG Rate</ns0:t>
        </ns0:is>
      </ns0:c>
      <ns0:c r="O5" s="3" t="inlineStr">
        <ns0:is>
          <ns0:t xml:space="preserve">Noise </ns0:t>
        </ns0:is>
      </ns0:c>
      <ns0:c r="P5" s="3" t="inlineStr">
        <ns0:is>
          <ns0:t xml:space="preserve">Touch </ns0:t>
        </ns0:is>
      </ns0:c>
      <ns0:c r="Q5" s="13" t="inlineStr">
        <ns0:is>
          <ns0:t>Total NG</ns0:t>
        </ns0:is>
      </ns0:c>
      <ns0:c r="R5" s="14" t="inlineStr">
        <ns0:is>
          <ns0:t>NG Rate</ns0:t>
        </ns0:is>
      </ns0:c>
      <ns0:c r="S5" s="3" t="inlineStr">
        <ns0:is>
          <ns0:t xml:space="preserve">Noise </ns0:t>
        </ns0:is>
      </ns0:c>
      <ns0:c r="T5" s="3" t="inlineStr">
        <ns0:is>
          <ns0:t xml:space="preserve">Touch </ns0:t>
        </ns0:is>
      </ns0:c>
      <ns0:c r="U5" s="13" t="inlineStr">
        <ns0:is>
          <ns0:t>Total NG</ns0:t>
        </ns0:is>
      </ns0:c>
      <ns0:c r="V5" s="14" t="inlineStr">
        <ns0:is>
          <ns0:t>NG Rate</ns0:t>
        </ns0:is>
      </ns0:c>
    </ns0:row>
    <ns0:row r="6" ht="54.75" customHeight="1">
      <ns0:c r="B6" s="15" t="n">
        <ns0:v>45715</ns0:v>
      </ns0:c>
      <ns0:c r="C6" s="16" t="inlineStr">
        <ns0:is>
          <ns0:t>Test Coil of Korea</ns0:t>
        </ns0:is>
      </ns0:c>
      <ns0:c r="D6" s="5" t="n"/>
      <ns0:c r="E6" s="5" t="n"/>
      <ns0:c r="F6" s="6" t="n"/>
      <ns0:c r="G6" s="16" t="n">
        <ns0:v>300</ns0:v>
      </ns0:c>
      <ns0:c r="H6" s="16" t="n">
        <ns0:v>256</ns0:v>
      </ns0:c>
      <ns0:c r="I6" s="17" t="n">
        <ns0:v>0</ns0:v>
      </ns0:c>
      <ns0:c r="J6" s="17" t="n">
        <ns0:v>0</ns0:v>
      </ns0:c>
      <ns0:c r="K6" s="17" t="n">
        <ns0:v>0</ns0:v>
      </ns0:c>
      <ns0:c r="L6" s="17" t="n">
        <ns0:v>0</ns0:v>
      </ns0:c>
      <ns0:c r="M6" s="17" t="n">
        <ns0:v>0</ns0:v>
      </ns0:c>
      <ns0:c r="N6" s="18" t="n">
        <ns0:v>0</ns0:v>
      </ns0:c>
      <ns0:c r="O6" s="17" t="n">
        <ns0:v>18</ns0:v>
      </ns0:c>
      <ns0:c r="P6" s="17" t="n">
        <ns0:v>26</ns0:v>
      </ns0:c>
      <ns0:c r="Q6" s="17" t="n">
        <ns0:v>44</ns0:v>
      </ns0:c>
      <ns0:c r="R6" s="18" t="n">
        <ns0:v>0.1466666666666667</ns0:v>
      </ns0:c>
      <ns0:c r="S6" s="17" t="n">
        <ns0:v>5</ns0:v>
      </ns0:c>
      <ns0:c r="T6" s="17" t="n">
        <ns0:v>7</ns0:v>
      </ns0:c>
      <ns0:c r="U6" s="17" t="n">
        <ns0:v>12</ns0:v>
      </ns0:c>
      <ns0:c r="V6" s="18" t="n">
        <ns0:v>0.04</ns0:v>
      </ns0:c>
    </ns0:row>
    <ns0:row r="7" ht="54.75" customHeight="1">
      <ns0:c r="B7" s="19" t="n"/>
      <ns0:c r="C7" s="10" t="n"/>
      <ns0:c r="D7" s="11" t="n"/>
      <ns0:c r="E7" s="11" t="n"/>
      <ns0:c r="F7" s="12" t="n"/>
      <ns0:c r="G7" s="9" t="n"/>
      <ns0:c r="H7" s="9" t="n"/>
      <ns0:c r="I7" s="20" t="n">
        <ns0:v>0</ns0:v>
      </ns0:c>
      <ns0:c r="J7" s="20" t="n">
        <ns0:v>0</ns0:v>
      </ns0:c>
      <ns0:c r="K7" s="20" t="n">
        <ns0:v>0</ns0:v>
      </ns0:c>
      <ns0:c r="L7" s="20" t="n">
        <ns0:v>0</ns0:v>
      </ns0:c>
      <ns0:c r="M7" s="9" t="n"/>
      <ns0:c r="N7" s="9" t="n"/>
      <ns0:c r="O7" s="20" t="n">
        <ns0:v>0.4090909090909091</ns0:v>
      </ns0:c>
      <ns0:c r="P7" s="20" t="n">
        <ns0:v>0.5909090909090909</ns0:v>
      </ns0:c>
      <ns0:c r="Q7" s="9" t="n"/>
      <ns0:c r="R7" s="9" t="n"/>
      <ns0:c r="S7" s="20" t="n">
        <ns0:v>0</ns0:v>
      </ns0:c>
      <ns0:c r="T7" s="20" t="n">
        <ns0:v>0</ns0:v>
      </ns0:c>
      <ns0:c r="U7" s="9" t="n"/>
      <ns0:c r="V7" s="9" t="n"/>
    </ns0:row>
    <ns0:row r="8" ht="54.75" customHeight="1">
      <ns0:c r="B8" s="19" t="n"/>
      <ns0:c r="C8" s="16" t="inlineStr">
        <ns0:is>
          <ns0:t>Normal Coil</ns0:t>
        </ns0:is>
      </ns0:c>
      <ns0:c r="D8" s="5" t="n"/>
      <ns0:c r="E8" s="5" t="n"/>
      <ns0:c r="F8" s="6" t="n"/>
      <ns0:c r="G8" s="16" t="n">
        <ns0:v>300</ns0:v>
      </ns0:c>
      <ns0:c r="H8" s="16" t="n">
        <ns0:v>268</ns0:v>
      </ns0:c>
      <ns0:c r="I8" s="17" t="n">
        <ns0:v>0</ns0:v>
      </ns0:c>
      <ns0:c r="J8" s="17" t="n">
        <ns0:v>0</ns0:v>
      </ns0:c>
      <ns0:c r="K8" s="17" t="n">
        <ns0:v>0</ns0:v>
      </ns0:c>
      <ns0:c r="L8" s="17" t="n">
        <ns0:v>0</ns0:v>
      </ns0:c>
      <ns0:c r="M8" s="17" t="n">
        <ns0:v>0</ns0:v>
      </ns0:c>
      <ns0:c r="N8" s="18" t="n">
        <ns0:v>0</ns0:v>
      </ns0:c>
      <ns0:c r="O8" s="17" t="n">
        <ns0:v>6</ns0:v>
      </ns0:c>
      <ns0:c r="P8" s="17" t="n">
        <ns0:v>26</ns0:v>
      </ns0:c>
      <ns0:c r="Q8" s="17" t="n">
        <ns0:v>32</ns0:v>
      </ns0:c>
      <ns0:c r="R8" s="18" t="n">
        <ns0:v>0.1066666666666667</ns0:v>
      </ns0:c>
      <ns0:c r="S8" s="17" t="n">
        <ns0:v>0</ns0:v>
      </ns0:c>
      <ns0:c r="T8" s="17" t="n">
        <ns0:v>3</ns0:v>
      </ns0:c>
      <ns0:c r="U8" s="17" t="n">
        <ns0:v>3</ns0:v>
      </ns0:c>
      <ns0:c r="V8" s="18" t="n">
        <ns0:v>0.01</ns0:v>
      </ns0:c>
    </ns0:row>
    <ns0:row r="9" ht="54.75" customHeight="1">
      <ns0:c r="B9" s="9" t="n"/>
      <ns0:c r="C9" s="10" t="n"/>
      <ns0:c r="D9" s="11" t="n"/>
      <ns0:c r="E9" s="11" t="n"/>
      <ns0:c r="F9" s="12" t="n"/>
      <ns0:c r="G9" s="9" t="n"/>
      <ns0:c r="H9" s="9" t="n"/>
      <ns0:c r="I9" s="20" t="n">
        <ns0:v>0</ns0:v>
      </ns0:c>
      <ns0:c r="J9" s="20" t="n">
        <ns0:v>0</ns0:v>
      </ns0:c>
      <ns0:c r="K9" s="20" t="n">
        <ns0:v>0</ns0:v>
      </ns0:c>
      <ns0:c r="L9" s="20" t="n">
        <ns0:v>0</ns0:v>
      </ns0:c>
      <ns0:c r="M9" s="9" t="n"/>
      <ns0:c r="N9" s="9" t="n"/>
      <ns0:c r="O9" s="20" t="n">
        <ns0:v>0.1875</ns0:v>
      </ns0:c>
      <ns0:c r="P9" s="20" t="n">
        <ns0:v>0.8125</ns0:v>
      </ns0:c>
      <ns0:c r="Q9" s="9" t="n"/>
      <ns0:c r="R9" s="9" t="n"/>
      <ns0:c r="S9" s="20" t="n">
        <ns0:v>0</ns0:v>
      </ns0:c>
      <ns0:c r="T9" s="20" t="n">
        <ns0:v>0</ns0:v>
      </ns0:c>
      <ns0:c r="U9" s="9" t="n"/>
      <ns0:c r="V9" s="9" t="n"/>
    </ns0:row>
  </ns0:sheetData>
  <ns0:mergeCells count="26">
    <ns0:mergeCell ref="G8:G9"/>
    <ns0:mergeCell ref="C4:F5"/>
    <ns0:mergeCell ref="Q8:Q9"/>
    <ns0:mergeCell ref="H6:H7"/>
    <ns0:mergeCell ref="R6:R7"/>
    <ns0:mergeCell ref="V6:V7"/>
    <ns0:mergeCell ref="S4:V4"/>
    <ns0:mergeCell ref="N8:N9"/>
    <ns0:mergeCell ref="G6:G7"/>
    <ns0:mergeCell ref="M6:M7"/>
    <ns0:mergeCell ref="Q6:Q7"/>
    <ns0:mergeCell ref="I4:N4"/>
    <ns0:mergeCell ref="U8:U9"/>
    <ns0:mergeCell ref="G4:G5"/>
    <ns0:mergeCell ref="C8:F9"/>
    <ns0:mergeCell ref="M8:M9"/>
    <ns0:mergeCell ref="B6:B9"/>
    <ns0:mergeCell ref="N6:N7"/>
    <ns0:mergeCell ref="O4:R4"/>
    <ns0:mergeCell ref="B4:B5"/>
    <ns0:mergeCell ref="H8:H9"/>
    <ns0:mergeCell ref="V8:V9"/>
    <ns0:mergeCell ref="H4:H5"/>
    <ns0:mergeCell ref="R8:R9"/>
    <ns0:mergeCell ref="C6:F7"/>
    <ns0:mergeCell ref="U6:U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T28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9" customWidth="1" min="3" max="3"/>
    <ns0:col width="19" customWidth="1" min="4" max="4"/>
    <ns0:col width="12.75" customWidth="1" min="5" max="5"/>
    <ns0:col width="12.75" customWidth="1" min="6" max="6"/>
    <ns0:col width="12.75" customWidth="1" min="7" max="7"/>
    <ns0:col width="12.75" customWidth="1" min="8" max="8"/>
    <ns0:col width="12.75" customWidth="1" min="9" max="9"/>
    <ns0:col width="12.75" customWidth="1" min="10" max="10"/>
    <ns0:col width="12.75" customWidth="1" min="11" max="11"/>
    <ns0:col width="12.75" customWidth="1" min="12" max="12"/>
    <ns0:col width="12.75" customWidth="1" min="13" max="13"/>
    <ns0:col width="12.75" customWidth="1" min="14" max="14"/>
    <ns0:col width="12.75" customWidth="1" min="15" max="15"/>
    <ns0:col width="12.75" customWidth="1" min="16" max="16"/>
    <ns0:col width="12.75" customWidth="1" min="17" max="17"/>
    <ns0:col width="12.75" customWidth="1" min="18" max="18"/>
    <ns0:col width="12.75" customWidth="1" min="19" max="19"/>
    <ns0:col width="12.75" customWidth="1" min="20" max="20"/>
  </ns0:cols>
  <ns0:sheetData>
    <ns0:row r="3" ht="20.25" customHeight="1">
      <ns0:c r="B3" s="21" t="inlineStr">
        <ns0:is>
          <ns0:t xml:space="preserve">RESULT CHECK FUNCTION OF LOT TEST BONDING AMOUNT VP+CD 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Condition test</ns0:t>
        </ns0:is>
      </ns0:c>
      <ns0:c r="E4" s="21" t="inlineStr">
        <ns0:is>
          <ns0:t xml:space="preserve">Input </ns0:t>
        </ns0:is>
      </ns0:c>
      <ns0:c r="F4" s="21" t="inlineStr">
        <ns0:is>
          <ns0:t xml:space="preserve">OK </ns0:t>
        </ns0:is>
      </ns0:c>
      <ns0:c r="G4" s="21" t="inlineStr">
        <ns0:is>
          <ns0:t xml:space="preserve">Sigma </ns0:t>
        </ns0:is>
      </ns0:c>
      <ns0:c r="M4" s="21" t="inlineStr">
        <ns0:is>
          <ns0:t xml:space="preserve">Hearing  ( + 1V ) </ns0:t>
        </ns0:is>
      </ns0:c>
      <ns0:c r="Q4" s="21" t="inlineStr">
        <ns0:is>
          <ns0:t xml:space="preserve">Hearing  ( + 0V ) </ns0:t>
        </ns0:is>
      </ns0:c>
    </ns0:row>
    <ns0:row r="5" ht="39.75" customHeight="1">
      <ns0:c r="C5" s="21" t="inlineStr">
        <ns0:is>
          <ns0:t>Bond VP+CD</ns0:t>
        </ns0:is>
      </ns0:c>
      <ns0:c r="D5" s="21" t="inlineStr">
        <ns0:is>
          <ns0:t>Bonding Frame+VP</ns0:t>
        </ns0:is>
      </ns0:c>
      <ns0:c r="G5" s="21" t="inlineStr">
        <ns0:is>
          <ns0:t xml:space="preserve">SPL </ns0:t>
        </ns0:is>
      </ns0:c>
      <ns0:c r="H5" s="21" t="inlineStr">
        <ns0:is>
          <ns0:t xml:space="preserve">THD </ns0:t>
        </ns0:is>
      </ns0:c>
      <ns0:c r="I5" s="21" t="inlineStr">
        <ns0:is>
          <ns0:t xml:space="preserve">SPL+THD </ns0:t>
        </ns0:is>
      </ns0:c>
      <ns0:c r="J5" s="21" t="inlineStr">
        <ns0:is>
          <ns0:t>SPL+THD+F0</ns0:t>
        </ns0:is>
      </ns0:c>
      <ns0:c r="K5" s="21" t="inlineStr">
        <ns0:is>
          <ns0:t>Total NG</ns0:t>
        </ns0:is>
      </ns0:c>
      <ns0:c r="L5" s="21" t="inlineStr">
        <ns0:is>
          <ns0:t>NG rate</ns0:t>
        </ns0:is>
      </ns0:c>
      <ns0:c r="M5" s="21" t="inlineStr">
        <ns0:is>
          <ns0:t xml:space="preserve">Noise </ns0:t>
        </ns0:is>
      </ns0:c>
      <ns0:c r="N5" s="21" t="inlineStr">
        <ns0:is>
          <ns0:t xml:space="preserve">Touch </ns0:t>
        </ns0:is>
      </ns0:c>
      <ns0:c r="O5" s="21" t="inlineStr">
        <ns0:is>
          <ns0:t>Total NG</ns0:t>
        </ns0:is>
      </ns0:c>
      <ns0:c r="P5" s="21" t="inlineStr">
        <ns0:is>
          <ns0:t>NG Rate</ns0:t>
        </ns0:is>
      </ns0:c>
      <ns0:c r="Q5" s="21" t="inlineStr">
        <ns0:is>
          <ns0:t xml:space="preserve">Noise </ns0:t>
        </ns0:is>
      </ns0:c>
      <ns0:c r="R5" s="21" t="inlineStr">
        <ns0:is>
          <ns0:t xml:space="preserve">Touch </ns0:t>
        </ns0:is>
      </ns0:c>
      <ns0:c r="S5" s="21" t="inlineStr">
        <ns0:is>
          <ns0:t>Total NG</ns0:t>
        </ns0:is>
      </ns0:c>
      <ns0:c r="T5" s="21" t="inlineStr">
        <ns0:is>
          <ns0:t>NG Rate</ns0:t>
        </ns0:is>
      </ns0:c>
    </ns0:row>
    <ns0:row r="6" ht="28.5" customHeight="1">
      <ns0:c r="B6" s="22" t="n">
        <ns0:v>45719</ns0:v>
      </ns0:c>
      <ns0:c r="C6" s="21" t="inlineStr">
        <ns0:is>
          <ns0:t>3.4 ~3.6mg</ns0:t>
        </ns0:is>
      </ns0:c>
      <ns0:c r="D6" s="21" t="inlineStr">
        <ns0:is>
          <ns0:t>Normal</ns0:t>
        </ns0:is>
      </ns0:c>
      <ns0:c r="E6" s="21" t="n">
        <ns0:v>260</ns0:v>
      </ns0:c>
      <ns0:c r="F6" s="21">
        <ns0:f>+E6-O6-K6</ns0:f>
        <ns0:v/>
      </ns0:c>
      <ns0:c r="G6" s="21" t="n">
        <ns0:v>0</ns0:v>
      </ns0:c>
      <ns0:c r="H6" s="21" t="n">
        <ns0:v>0</ns0:v>
      </ns0:c>
      <ns0:c r="I6" s="21" t="n">
        <ns0:v>0</ns0:v>
      </ns0:c>
      <ns0:c r="J6" s="21" t="n">
        <ns0:v>0</ns0:v>
      </ns0:c>
      <ns0:c r="K6" s="21">
        <ns0:f>SUM(G6:J6)</ns0:f>
        <ns0:v/>
      </ns0:c>
      <ns0:c r="L6" s="21">
        <ns0:f>K6/E6</ns0:f>
        <ns0:v/>
      </ns0:c>
      <ns0:c r="M6" s="21" t="n">
        <ns0:v>1</ns0:v>
      </ns0:c>
      <ns0:c r="N6" s="21" t="n">
        <ns0:v>24</ns0:v>
      </ns0:c>
      <ns0:c r="O6" s="21">
        <ns0:f>SUM(M6:N6)</ns0:f>
        <ns0:v/>
      </ns0:c>
      <ns0:c r="P6" s="21">
        <ns0:f>+O6/E6</ns0:f>
        <ns0:v/>
      </ns0:c>
      <ns0:c r="Q6" s="21" t="n">
        <ns0:v>1</ns0:v>
      </ns0:c>
      <ns0:c r="R6" s="21" t="n">
        <ns0:v>2</ns0:v>
      </ns0:c>
      <ns0:c r="S6" s="21">
        <ns0:f>SUM(Q6:R6)</ns0:f>
        <ns0:v/>
      </ns0:c>
      <ns0:c r="T6" s="21">
        <ns0:f>+S6/E6</ns0:f>
        <ns0:v/>
      </ns0:c>
    </ns0:row>
    <ns0:row r="7" ht="28.5" customHeight="1">
      <ns0:c r="G7" s="21">
        <ns0:f>+G6/K6</ns0:f>
        <ns0:v/>
      </ns0:c>
      <ns0:c r="H7" s="21">
        <ns0:f>+H6/K6</ns0:f>
        <ns0:v/>
      </ns0:c>
      <ns0:c r="I7" s="21">
        <ns0:f>+I6/K6</ns0:f>
        <ns0:v/>
      </ns0:c>
      <ns0:c r="J7" s="21">
        <ns0:f>+J6/K6</ns0:f>
        <ns0:v/>
      </ns0:c>
      <ns0:c r="M7" s="21">
        <ns0:f>+M6/O6</ns0:f>
        <ns0:v/>
      </ns0:c>
      <ns0:c r="N7" s="21">
        <ns0:f>+N6/O6</ns0:f>
        <ns0:v/>
      </ns0:c>
      <ns0:c r="Q7" s="21">
        <ns0:f>+Q6/S6</ns0:f>
        <ns0:v/>
      </ns0:c>
      <ns0:c r="R7" s="21">
        <ns0:f>+R6/S6</ns0:f>
        <ns0:v/>
      </ns0:c>
    </ns0:row>
    <ns0:row r="8" ht="35.25" customHeight="1">
      <ns0:c r="D8" s="21" t="inlineStr">
        <ns0:is>
          <ns0:t>Offset 0.13</ns0:t>
        </ns0:is>
      </ns0:c>
      <ns0:c r="E8" s="21" t="n">
        <ns0:v>258</ns0:v>
      </ns0:c>
      <ns0:c r="F8" s="21">
        <ns0:f>+E8-O8-K8</ns0:f>
        <ns0:v/>
      </ns0:c>
      <ns0:c r="G8" s="21" t="n">
        <ns0:v>0</ns0:v>
      </ns0:c>
      <ns0:c r="H8" s="21" t="n">
        <ns0:v>0</ns0:v>
      </ns0:c>
      <ns0:c r="I8" s="21" t="n">
        <ns0:v>0</ns0:v>
      </ns0:c>
      <ns0:c r="J8" s="21" t="n">
        <ns0:v>0</ns0:v>
      </ns0:c>
      <ns0:c r="K8" s="21">
        <ns0:f>SUM(G8:J8)</ns0:f>
        <ns0:v/>
      </ns0:c>
      <ns0:c r="L8" s="21">
        <ns0:f>K8/E8</ns0:f>
        <ns0:v/>
      </ns0:c>
      <ns0:c r="M8" s="21" t="n">
        <ns0:v>5</ns0:v>
      </ns0:c>
      <ns0:c r="N8" s="21" t="n">
        <ns0:v>25</ns0:v>
      </ns0:c>
      <ns0:c r="O8" s="21">
        <ns0:f>SUM(M8:N8)</ns0:f>
        <ns0:v/>
      </ns0:c>
      <ns0:c r="P8" s="21">
        <ns0:f>+O8/E8</ns0:f>
        <ns0:v/>
      </ns0:c>
      <ns0:c r="Q8" s="21" t="n">
        <ns0:v>2</ns0:v>
      </ns0:c>
      <ns0:c r="R8" s="21" t="n">
        <ns0:v>2</ns0:v>
      </ns0:c>
      <ns0:c r="S8" s="21">
        <ns0:f>SUM(Q8:R8)</ns0:f>
        <ns0:v/>
      </ns0:c>
      <ns0:c r="T8" s="21">
        <ns0:f>+S8/E8</ns0:f>
        <ns0:v/>
      </ns0:c>
    </ns0:row>
    <ns0:row r="9" ht="35.25" customHeight="1">
      <ns0:c r="G9" s="21">
        <ns0:f>+G8/K8</ns0:f>
        <ns0:v/>
      </ns0:c>
      <ns0:c r="H9" s="21">
        <ns0:f>+H8/K8</ns0:f>
        <ns0:v/>
      </ns0:c>
      <ns0:c r="I9" s="21">
        <ns0:f>+I8/K8</ns0:f>
        <ns0:v/>
      </ns0:c>
      <ns0:c r="J9" s="21">
        <ns0:f>+J8/K8</ns0:f>
        <ns0:v/>
      </ns0:c>
      <ns0:c r="M9" s="21">
        <ns0:f>+M8/O8</ns0:f>
        <ns0:v/>
      </ns0:c>
      <ns0:c r="N9" s="21">
        <ns0:f>+N8/O8</ns0:f>
        <ns0:v/>
      </ns0:c>
      <ns0:c r="Q9" s="21">
        <ns0:f>+Q8/S8</ns0:f>
        <ns0:v/>
      </ns0:c>
      <ns0:c r="R9" s="21">
        <ns0:f>+R8/S8</ns0:f>
        <ns0:v/>
      </ns0:c>
    </ns0:row>
    <ns0:row r="10" ht="35.25" customHeight="1">
      <ns0:c r="C10" s="21" t="inlineStr">
        <ns0:is>
          <ns0:t>Normal 
2.6 ~3.0mg</ns0:t>
        </ns0:is>
      </ns0:c>
      <ns0:c r="D10" s="21" t="inlineStr">
        <ns0:is>
          <ns0:t>Normal</ns0:t>
        </ns0:is>
      </ns0:c>
      <ns0:c r="E10" s="21" t="n">
        <ns0:v>264</ns0:v>
      </ns0:c>
      <ns0:c r="F10" s="21">
        <ns0:f>+E10-O10-K10</ns0:f>
        <ns0:v/>
      </ns0:c>
      <ns0:c r="G10" s="21" t="n">
        <ns0:v>0</ns0:v>
      </ns0:c>
      <ns0:c r="H10" s="21" t="n">
        <ns0:v>0</ns0:v>
      </ns0:c>
      <ns0:c r="I10" s="21" t="n">
        <ns0:v>0</ns0:v>
      </ns0:c>
      <ns0:c r="J10" s="21" t="n">
        <ns0:v>0</ns0:v>
      </ns0:c>
      <ns0:c r="K10" s="21">
        <ns0:f>SUM(G10:J10)</ns0:f>
        <ns0:v/>
      </ns0:c>
      <ns0:c r="L10" s="21">
        <ns0:f>K10/E10</ns0:f>
        <ns0:v/>
      </ns0:c>
      <ns0:c r="M10" s="21" t="n">
        <ns0:v>17</ns0:v>
      </ns0:c>
      <ns0:c r="N10" s="21" t="n">
        <ns0:v>78</ns0:v>
      </ns0:c>
      <ns0:c r="O10" s="21">
        <ns0:f>SUM(M10:N10)</ns0:f>
        <ns0:v/>
      </ns0:c>
      <ns0:c r="P10" s="21">
        <ns0:f>+O10/E10</ns0:f>
        <ns0:v/>
      </ns0:c>
      <ns0:c r="Q10" s="21" t="n">
        <ns0:v>5</ns0:v>
      </ns0:c>
      <ns0:c r="R10" s="21" t="n">
        <ns0:v>11</ns0:v>
      </ns0:c>
      <ns0:c r="S10" s="21">
        <ns0:f>SUM(Q10:R10)</ns0:f>
        <ns0:v/>
      </ns0:c>
      <ns0:c r="T10" s="21">
        <ns0:f>+S10/E10</ns0:f>
        <ns0:v/>
      </ns0:c>
    </ns0:row>
    <ns0:row r="11" ht="35.25" customHeight="1">
      <ns0:c r="G11" s="21">
        <ns0:f>+G10/K10</ns0:f>
        <ns0:v/>
      </ns0:c>
      <ns0:c r="H11" s="21">
        <ns0:f>+H10/K10</ns0:f>
        <ns0:v/>
      </ns0:c>
      <ns0:c r="I11" s="21">
        <ns0:f>+I10/K10</ns0:f>
        <ns0:v/>
      </ns0:c>
      <ns0:c r="J11" s="21">
        <ns0:f>+J10/K10</ns0:f>
        <ns0:v/>
      </ns0:c>
      <ns0:c r="M11" s="21">
        <ns0:f>+M10/O10</ns0:f>
        <ns0:v/>
      </ns0:c>
      <ns0:c r="N11" s="21">
        <ns0:f>+N10/O10</ns0:f>
        <ns0:v/>
      </ns0:c>
      <ns0:c r="Q11" s="21">
        <ns0:f>+Q10/S10</ns0:f>
        <ns0:v/>
      </ns0:c>
      <ns0:c r="R11" s="21">
        <ns0:f>+R10/S10</ns0:f>
        <ns0:v/>
      </ns0:c>
    </ns0:row>
    <ns0:row r="12" ht="28.5" customHeight="1">
      <ns0:c r="B12" s="22" t="n">
        <ns0:v>45725</ns0:v>
      </ns0:c>
      <ns0:c r="C12" s="21" t="inlineStr">
        <ns0:is>
          <ns0:t>3.3 ~3.4mg
min</ns0:t>
        </ns0:is>
      </ns0:c>
      <ns0:c r="D12" s="21" t="inlineStr">
        <ns0:is>
          <ns0:t>Normal</ns0:t>
        </ns0:is>
      </ns0:c>
      <ns0:c r="E12" s="21" t="n">
        <ns0:v>298</ns0:v>
      </ns0:c>
      <ns0:c r="F12" s="21">
        <ns0:f>+E12-O12-K12</ns0:f>
        <ns0:v/>
      </ns0:c>
      <ns0:c r="G12" s="21" t="n">
        <ns0:v>1</ns0:v>
      </ns0:c>
      <ns0:c r="H12" s="21" t="n">
        <ns0:v>0</ns0:v>
      </ns0:c>
      <ns0:c r="I12" s="21" t="n">
        <ns0:v>0</ns0:v>
      </ns0:c>
      <ns0:c r="J12" s="21" t="n">
        <ns0:v>0</ns0:v>
      </ns0:c>
      <ns0:c r="K12" s="21">
        <ns0:f>SUM(G12:J12)</ns0:f>
        <ns0:v/>
      </ns0:c>
      <ns0:c r="L12" s="21">
        <ns0:f>K12/E12</ns0:f>
        <ns0:v/>
      </ns0:c>
      <ns0:c r="M12" s="21" t="n">
        <ns0:v>14</ns0:v>
      </ns0:c>
      <ns0:c r="N12" s="21" t="n">
        <ns0:v>35</ns0:v>
      </ns0:c>
      <ns0:c r="O12" s="21">
        <ns0:f>SUM(M12:N12)</ns0:f>
        <ns0:v/>
      </ns0:c>
      <ns0:c r="P12" s="21">
        <ns0:f>+O12/E12</ns0:f>
        <ns0:v/>
      </ns0:c>
      <ns0:c r="Q12" s="21" t="n">
        <ns0:v>1</ns0:v>
      </ns0:c>
      <ns0:c r="R12" s="21" t="n">
        <ns0:v>6</ns0:v>
      </ns0:c>
      <ns0:c r="S12" s="21">
        <ns0:f>SUM(Q12:R12)</ns0:f>
        <ns0:v/>
      </ns0:c>
      <ns0:c r="T12" s="21">
        <ns0:f>+S12/E12</ns0:f>
        <ns0:v/>
      </ns0:c>
    </ns0:row>
    <ns0:row r="13" ht="28.5" customHeight="1">
      <ns0:c r="G13" s="21">
        <ns0:f>+G12/K12</ns0:f>
        <ns0:v/>
      </ns0:c>
      <ns0:c r="H13" s="21">
        <ns0:f>+H12/K12</ns0:f>
        <ns0:v/>
      </ns0:c>
      <ns0:c r="I13" s="21">
        <ns0:f>+I12/K12</ns0:f>
        <ns0:v/>
      </ns0:c>
      <ns0:c r="J13" s="21">
        <ns0:f>+J12/K12</ns0:f>
        <ns0:v/>
      </ns0:c>
      <ns0:c r="M13" s="21">
        <ns0:f>+M12/O12</ns0:f>
        <ns0:v/>
      </ns0:c>
      <ns0:c r="N13" s="21">
        <ns0:f>+N12/O12</ns0:f>
        <ns0:v/>
      </ns0:c>
      <ns0:c r="Q13" s="21">
        <ns0:f>+Q12/S12</ns0:f>
        <ns0:v/>
      </ns0:c>
      <ns0:c r="R13" s="21">
        <ns0:f>+R12/S12</ns0:f>
        <ns0:v/>
      </ns0:c>
    </ns0:row>
    <ns0:row r="14" ht="35.25" customHeight="1">
      <ns0:c r="C14" s="21" t="inlineStr">
        <ns0:is>
          <ns0:t>3.6 ~3.7mg
max</ns0:t>
        </ns0:is>
      </ns0:c>
      <ns0:c r="E14" s="21" t="n">
        <ns0:v>300</ns0:v>
      </ns0:c>
      <ns0:c r="F14" s="21">
        <ns0:f>+E14-O14-K14</ns0:f>
        <ns0:v/>
      </ns0:c>
      <ns0:c r="G14" s="21" t="n">
        <ns0:v>0</ns0:v>
      </ns0:c>
      <ns0:c r="H14" s="21" t="n">
        <ns0:v>0</ns0:v>
      </ns0:c>
      <ns0:c r="I14" s="21" t="n">
        <ns0:v>0</ns0:v>
      </ns0:c>
      <ns0:c r="J14" s="21" t="n">
        <ns0:v>0</ns0:v>
      </ns0:c>
      <ns0:c r="K14" s="21">
        <ns0:f>SUM(G14:J14)</ns0:f>
        <ns0:v/>
      </ns0:c>
      <ns0:c r="L14" s="21">
        <ns0:f>K14/E14</ns0:f>
        <ns0:v/>
      </ns0:c>
      <ns0:c r="M14" s="21" t="n">
        <ns0:v>25</ns0:v>
      </ns0:c>
      <ns0:c r="N14" s="21" t="n">
        <ns0:v>57</ns0:v>
      </ns0:c>
      <ns0:c r="O14" s="21">
        <ns0:f>SUM(M14:N14)</ns0:f>
        <ns0:v/>
      </ns0:c>
      <ns0:c r="P14" s="21">
        <ns0:f>+O14/E14</ns0:f>
        <ns0:v/>
      </ns0:c>
      <ns0:c r="Q14" s="21" t="n">
        <ns0:v>3</ns0:v>
      </ns0:c>
      <ns0:c r="R14" s="21" t="n">
        <ns0:v>6</ns0:v>
      </ns0:c>
      <ns0:c r="S14" s="21">
        <ns0:f>SUM(Q14:R14)</ns0:f>
        <ns0:v/>
      </ns0:c>
      <ns0:c r="T14" s="21">
        <ns0:f>+S14/E14</ns0:f>
        <ns0:v/>
      </ns0:c>
    </ns0:row>
    <ns0:row r="15" ht="35.25" customHeight="1">
      <ns0:c r="G15" s="21">
        <ns0:f>+G14/K14</ns0:f>
        <ns0:v/>
      </ns0:c>
      <ns0:c r="H15" s="21">
        <ns0:f>+H14/K14</ns0:f>
        <ns0:v/>
      </ns0:c>
      <ns0:c r="I15" s="21">
        <ns0:f>+I14/K14</ns0:f>
        <ns0:v/>
      </ns0:c>
      <ns0:c r="J15" s="21">
        <ns0:f>+J14/K14</ns0:f>
        <ns0:v/>
      </ns0:c>
      <ns0:c r="M15" s="21">
        <ns0:f>+M14/O14</ns0:f>
        <ns0:v/>
      </ns0:c>
      <ns0:c r="N15" s="21">
        <ns0:f>+N14/O14</ns0:f>
        <ns0:v/>
      </ns0:c>
      <ns0:c r="Q15" s="21">
        <ns0:f>+Q14/S14</ns0:f>
        <ns0:v/>
      </ns0:c>
      <ns0:c r="R15" s="21">
        <ns0:f>+R14/S14</ns0:f>
        <ns0:v/>
      </ns0:c>
    </ns0:row>
    <ns0:row r="16" ht="35.25" customHeight="1">
      <ns0:c r="C16" s="21" t="inlineStr">
        <ns0:is>
          <ns0:t>Normal 
3.5 ~3.6mg</ns0:t>
        </ns0:is>
      </ns0:c>
      <ns0:c r="E16" s="21" t="n">
        <ns0:v>300</ns0:v>
      </ns0:c>
      <ns0:c r="F16" s="21">
        <ns0:f>+E16-O16-K16</ns0:f>
        <ns0:v/>
      </ns0:c>
      <ns0:c r="G16" s="21" t="n">
        <ns0:v>0</ns0:v>
      </ns0:c>
      <ns0:c r="H16" s="21" t="n">
        <ns0:v>0</ns0:v>
      </ns0:c>
      <ns0:c r="I16" s="21" t="n">
        <ns0:v>0</ns0:v>
      </ns0:c>
      <ns0:c r="J16" s="21" t="n">
        <ns0:v>0</ns0:v>
      </ns0:c>
      <ns0:c r="K16" s="21">
        <ns0:f>SUM(G16:J16)</ns0:f>
        <ns0:v/>
      </ns0:c>
      <ns0:c r="L16" s="21">
        <ns0:f>K16/E16</ns0:f>
        <ns0:v/>
      </ns0:c>
      <ns0:c r="M16" s="21" t="n">
        <ns0:v>2</ns0:v>
      </ns0:c>
      <ns0:c r="N16" s="21" t="n">
        <ns0:v>17</ns0:v>
      </ns0:c>
      <ns0:c r="O16" s="21">
        <ns0:f>SUM(M16:N16)</ns0:f>
        <ns0:v/>
      </ns0:c>
      <ns0:c r="P16" s="21">
        <ns0:f>+O16/E16</ns0:f>
        <ns0:v/>
      </ns0:c>
      <ns0:c r="Q16" s="21" t="n">
        <ns0:v>2</ns0:v>
      </ns0:c>
      <ns0:c r="R16" s="21" t="n">
        <ns0:v>4</ns0:v>
      </ns0:c>
      <ns0:c r="S16" s="21">
        <ns0:f>SUM(Q16:R16)</ns0:f>
        <ns0:v/>
      </ns0:c>
      <ns0:c r="T16" s="21">
        <ns0:f>+S16/E16</ns0:f>
        <ns0:v/>
      </ns0:c>
    </ns0:row>
    <ns0:row r="17" ht="35.25" customHeight="1">
      <ns0:c r="G17" s="21">
        <ns0:f>+G16/K16</ns0:f>
        <ns0:v/>
      </ns0:c>
      <ns0:c r="H17" s="21">
        <ns0:f>+H16/K16</ns0:f>
        <ns0:v/>
      </ns0:c>
      <ns0:c r="I17" s="21">
        <ns0:f>+I16/K16</ns0:f>
        <ns0:v/>
      </ns0:c>
      <ns0:c r="J17" s="21">
        <ns0:f>+J16/K16</ns0:f>
        <ns0:v/>
      </ns0:c>
      <ns0:c r="M17" s="21">
        <ns0:f>+M16/O16</ns0:f>
        <ns0:v/>
      </ns0:c>
      <ns0:c r="N17" s="21">
        <ns0:f>+N16/O16</ns0:f>
        <ns0:v/>
      </ns0:c>
      <ns0:c r="Q17" s="21">
        <ns0:f>+Q16/S16</ns0:f>
        <ns0:v/>
      </ns0:c>
      <ns0:c r="R17" s="21">
        <ns0:f>+R16/S16</ns0:f>
        <ns0:v/>
      </ns0:c>
    </ns0:row>
    <ns0:row r="18" ht="18.75" customHeight="1"/>
    <ns0:row r="19" ht="18.75" customHeight="1"/>
    <ns0:row r="20" ht="20.25" customHeight="1">
      <ns0:c r="B20" s="21" t="inlineStr">
        <ns0:is>
          <ns0:t>RESULT CHECK FUNCTION OF LOT TEST VP+CD OF C2 LINE</ns0:t>
        </ns0:is>
      </ns0:c>
    </ns0:row>
    <ns0:row r="21" ht="20.25" customHeight="1">
      <ns0:c r="B21" s="21" t="inlineStr">
        <ns0:is>
          <ns0:t>Date</ns0:t>
        </ns0:is>
      </ns0:c>
      <ns0:c r="C21" s="21" t="inlineStr">
        <ns0:is>
          <ns0:t>Condition test</ns0:t>
        </ns0:is>
      </ns0:c>
      <ns0:c r="E21" s="21" t="inlineStr">
        <ns0:is>
          <ns0:t xml:space="preserve">Input </ns0:t>
        </ns0:is>
      </ns0:c>
      <ns0:c r="F21" s="21" t="inlineStr">
        <ns0:is>
          <ns0:t xml:space="preserve">OK </ns0:t>
        </ns0:is>
      </ns0:c>
      <ns0:c r="G21" s="21" t="inlineStr">
        <ns0:is>
          <ns0:t xml:space="preserve">Sigma </ns0:t>
        </ns0:is>
      </ns0:c>
      <ns0:c r="M21" s="21" t="inlineStr">
        <ns0:is>
          <ns0:t xml:space="preserve">Hearing  ( + 1V ) </ns0:t>
        </ns0:is>
      </ns0:c>
      <ns0:c r="Q21" s="21" t="inlineStr">
        <ns0:is>
          <ns0:t xml:space="preserve">Hearing  ( + 0V ) </ns0:t>
        </ns0:is>
      </ns0:c>
    </ns0:row>
    <ns0:row r="22" ht="40.5" customHeight="1">
      <ns0:c r="G22" s="21" t="inlineStr">
        <ns0:is>
          <ns0:t xml:space="preserve">SPL </ns0:t>
        </ns0:is>
      </ns0:c>
      <ns0:c r="H22" s="21" t="inlineStr">
        <ns0:is>
          <ns0:t xml:space="preserve">THD </ns0:t>
        </ns0:is>
      </ns0:c>
      <ns0:c r="I22" s="21" t="inlineStr">
        <ns0:is>
          <ns0:t xml:space="preserve">SPL+THD </ns0:t>
        </ns0:is>
      </ns0:c>
      <ns0:c r="J22" s="21" t="inlineStr">
        <ns0:is>
          <ns0:t>SPL+THD+F0</ns0:t>
        </ns0:is>
      </ns0:c>
      <ns0:c r="K22" s="21" t="inlineStr">
        <ns0:is>
          <ns0:t>Total NG</ns0:t>
        </ns0:is>
      </ns0:c>
      <ns0:c r="L22" s="21" t="inlineStr">
        <ns0:is>
          <ns0:t>NG rate</ns0:t>
        </ns0:is>
      </ns0:c>
      <ns0:c r="M22" s="21" t="inlineStr">
        <ns0:is>
          <ns0:t xml:space="preserve">Noise </ns0:t>
        </ns0:is>
      </ns0:c>
      <ns0:c r="N22" s="21" t="inlineStr">
        <ns0:is>
          <ns0:t xml:space="preserve">Touch </ns0:t>
        </ns0:is>
      </ns0:c>
      <ns0:c r="O22" s="21" t="inlineStr">
        <ns0:is>
          <ns0:t>Total NG</ns0:t>
        </ns0:is>
      </ns0:c>
      <ns0:c r="P22" s="21" t="inlineStr">
        <ns0:is>
          <ns0:t>NG Rate</ns0:t>
        </ns0:is>
      </ns0:c>
      <ns0:c r="Q22" s="21" t="inlineStr">
        <ns0:is>
          <ns0:t xml:space="preserve">Noise </ns0:t>
        </ns0:is>
      </ns0:c>
      <ns0:c r="R22" s="21" t="inlineStr">
        <ns0:is>
          <ns0:t xml:space="preserve">Touch </ns0:t>
        </ns0:is>
      </ns0:c>
      <ns0:c r="S22" s="21" t="inlineStr">
        <ns0:is>
          <ns0:t>Total NG</ns0:t>
        </ns0:is>
      </ns0:c>
      <ns0:c r="T22" s="21" t="inlineStr">
        <ns0:is>
          <ns0:t>NG Rate</ns0:t>
        </ns0:is>
      </ns0:c>
    </ns0:row>
    <ns0:row r="23" ht="20.25" customHeight="1">
      <ns0:c r="B23" s="22" t="n">
        <ns0:v>45719</ns0:v>
      </ns0:c>
      <ns0:c r="C23" s="21" t="inlineStr">
        <ns0:is>
          <ns0:t>Test VP+CD of C2 line</ns0:t>
        </ns0:is>
      </ns0:c>
      <ns0:c r="E23" s="21" t="n">
        <ns0:v>240</ns0:v>
      </ns0:c>
      <ns0:c r="F23" s="21">
        <ns0:f>+E23-O23-K23</ns0:f>
        <ns0:v/>
      </ns0:c>
      <ns0:c r="G23" s="21" t="n">
        <ns0:v>0</ns0:v>
      </ns0:c>
      <ns0:c r="H23" s="21" t="n">
        <ns0:v>0</ns0:v>
      </ns0:c>
      <ns0:c r="I23" s="21" t="n">
        <ns0:v>0</ns0:v>
      </ns0:c>
      <ns0:c r="J23" s="21" t="n">
        <ns0:v>0</ns0:v>
      </ns0:c>
      <ns0:c r="K23" s="21">
        <ns0:f>SUM(G23:J23)</ns0:f>
        <ns0:v/>
      </ns0:c>
      <ns0:c r="L23" s="21">
        <ns0:f>K23/E23</ns0:f>
        <ns0:v/>
      </ns0:c>
      <ns0:c r="M23" s="21" t="n">
        <ns0:v>10</ns0:v>
      </ns0:c>
      <ns0:c r="N23" s="21" t="n">
        <ns0:v>22</ns0:v>
      </ns0:c>
      <ns0:c r="O23" s="21">
        <ns0:f>SUM(M23:N23)</ns0:f>
        <ns0:v/>
      </ns0:c>
      <ns0:c r="P23" s="21">
        <ns0:f>+O23/E23</ns0:f>
        <ns0:v/>
      </ns0:c>
      <ns0:c r="Q23" s="21" t="n">
        <ns0:v>7</ns0:v>
      </ns0:c>
      <ns0:c r="R23" s="21" t="n">
        <ns0:v>9</ns0:v>
      </ns0:c>
      <ns0:c r="S23" s="21">
        <ns0:f>SUM(Q23:R23)</ns0:f>
        <ns0:v/>
      </ns0:c>
      <ns0:c r="T23" s="21">
        <ns0:f>+S23/E23</ns0:f>
        <ns0:v/>
      </ns0:c>
    </ns0:row>
    <ns0:row r="24" ht="20.25" customHeight="1">
      <ns0:c r="G24" s="21">
        <ns0:f>+G23/K23</ns0:f>
        <ns0:v/>
      </ns0:c>
      <ns0:c r="H24" s="21">
        <ns0:f>+H23/K23</ns0:f>
        <ns0:v/>
      </ns0:c>
      <ns0:c r="I24" s="21">
        <ns0:f>+I23/K23</ns0:f>
        <ns0:v/>
      </ns0:c>
      <ns0:c r="J24" s="21">
        <ns0:f>+J23/K23</ns0:f>
        <ns0:v/>
      </ns0:c>
      <ns0:c r="M24" s="21">
        <ns0:f>+M23/O23</ns0:f>
        <ns0:v/>
      </ns0:c>
      <ns0:c r="N24" s="21">
        <ns0:f>+N23/O23</ns0:f>
        <ns0:v/>
      </ns0:c>
      <ns0:c r="Q24" s="21">
        <ns0:f>+Q23/S23</ns0:f>
        <ns0:v/>
      </ns0:c>
      <ns0:c r="R24" s="21">
        <ns0:f>+R23/S23</ns0:f>
        <ns0:v/>
      </ns0:c>
    </ns0:row>
    <ns0:row r="25" ht="20.25" customHeight="1">
      <ns0:c r="B25" s="22" t="n">
        <ns0:v>45720</ns0:v>
      </ns0:c>
      <ns0:c r="C25" s="21" t="inlineStr">
        <ns0:is>
          <ns0:t>Test VP+CD of C2 line</ns0:t>
        </ns0:is>
      </ns0:c>
      <ns0:c r="E25" s="21" t="n">
        <ns0:v>794</ns0:v>
      </ns0:c>
      <ns0:c r="F25" s="21">
        <ns0:f>+E25-O25-K25</ns0:f>
        <ns0:v/>
      </ns0:c>
      <ns0:c r="G25" s="21" t="n">
        <ns0:v>0</ns0:v>
      </ns0:c>
      <ns0:c r="H25" s="21" t="n">
        <ns0:v>1</ns0:v>
      </ns0:c>
      <ns0:c r="I25" s="21" t="n">
        <ns0:v>0</ns0:v>
      </ns0:c>
      <ns0:c r="J25" s="21" t="n">
        <ns0:v>0</ns0:v>
      </ns0:c>
      <ns0:c r="K25" s="21">
        <ns0:f>SUM(G25:J25)</ns0:f>
        <ns0:v/>
      </ns0:c>
      <ns0:c r="L25" s="21">
        <ns0:f>K25/E25</ns0:f>
        <ns0:v/>
      </ns0:c>
      <ns0:c r="M25" s="21" t="n">
        <ns0:v>5</ns0:v>
      </ns0:c>
      <ns0:c r="N25" s="21" t="n">
        <ns0:v>75</ns0:v>
      </ns0:c>
      <ns0:c r="O25" s="21">
        <ns0:f>SUM(M25:N25)</ns0:f>
        <ns0:v/>
      </ns0:c>
      <ns0:c r="P25" s="21">
        <ns0:f>+O25/E25</ns0:f>
        <ns0:v/>
      </ns0:c>
      <ns0:c r="Q25" s="21" t="n">
        <ns0:v>4</ns0:v>
      </ns0:c>
      <ns0:c r="R25" s="21" t="n">
        <ns0:v>18</ns0:v>
      </ns0:c>
      <ns0:c r="S25" s="21">
        <ns0:f>SUM(Q25:R25)</ns0:f>
        <ns0:v/>
      </ns0:c>
      <ns0:c r="T25" s="21">
        <ns0:f>+S25/E25</ns0:f>
        <ns0:v/>
      </ns0:c>
    </ns0:row>
    <ns0:row r="26" ht="20.25" customHeight="1">
      <ns0:c r="G26" s="21">
        <ns0:f>+G25/K25</ns0:f>
        <ns0:v/>
      </ns0:c>
      <ns0:c r="H26" s="21">
        <ns0:f>+H25/K25</ns0:f>
        <ns0:v/>
      </ns0:c>
      <ns0:c r="I26" s="21">
        <ns0:f>+I25/K25</ns0:f>
        <ns0:v/>
      </ns0:c>
      <ns0:c r="J26" s="21">
        <ns0:f>+J25/K25</ns0:f>
        <ns0:v/>
      </ns0:c>
      <ns0:c r="M26" s="21">
        <ns0:f>+M25/O25</ns0:f>
        <ns0:v/>
      </ns0:c>
      <ns0:c r="N26" s="21">
        <ns0:f>+N25/O25</ns0:f>
        <ns0:v/>
      </ns0:c>
      <ns0:c r="Q26" s="21">
        <ns0:f>+Q25/S25</ns0:f>
        <ns0:v/>
      </ns0:c>
      <ns0:c r="R26" s="21">
        <ns0:f>+R25/S25</ns0:f>
        <ns0:v/>
      </ns0:c>
    </ns0:row>
    <ns0:row r="27" ht="20.25" customHeight="1">
      <ns0:c r="B27" s="22" t="n">
        <ns0:v>45721</ns0:v>
      </ns0:c>
      <ns0:c r="C27" s="21" t="inlineStr">
        <ns0:is>
          <ns0:t>Test VP+CD of C2 line</ns0:t>
        </ns0:is>
      </ns0:c>
      <ns0:c r="F27" s="21">
        <ns0:f>+E27-O27-K27</ns0:f>
        <ns0:v/>
      </ns0:c>
      <ns0:c r="G27" s="21" t="n">
        <ns0:v>0</ns0:v>
      </ns0:c>
      <ns0:c r="I27" s="21" t="n">
        <ns0:v>0</ns0:v>
      </ns0:c>
      <ns0:c r="J27" s="21" t="n">
        <ns0:v>0</ns0:v>
      </ns0:c>
      <ns0:c r="K27" s="21">
        <ns0:f>SUM(G27:J27)</ns0:f>
        <ns0:v/>
      </ns0:c>
      <ns0:c r="L27" s="21">
        <ns0:f>K27/E27</ns0:f>
        <ns0:v/>
      </ns0:c>
      <ns0:c r="O27" s="21">
        <ns0:f>SUM(M27:N27)</ns0:f>
        <ns0:v/>
      </ns0:c>
      <ns0:c r="P27" s="21">
        <ns0:f>+O27/E27</ns0:f>
        <ns0:v/>
      </ns0:c>
      <ns0:c r="S27" s="23">
        <ns0:f>SUM(Q27:R27)</ns0:f>
        <ns0:v/>
      </ns0:c>
      <ns0:c r="T27" s="21">
        <ns0:f>+S27/E27</ns0:f>
        <ns0:v/>
      </ns0:c>
    </ns0:row>
    <ns0:row r="28" ht="20.25" customHeight="1">
      <ns0:c r="G28" s="21">
        <ns0:f>+G27/K27</ns0:f>
        <ns0:v/>
      </ns0:c>
      <ns0:c r="H28" s="21">
        <ns0:f>+H27/K27</ns0:f>
        <ns0:v/>
      </ns0:c>
      <ns0:c r="I28" s="21">
        <ns0:f>+I27/K27</ns0:f>
        <ns0:v/>
      </ns0:c>
      <ns0:c r="J28" s="21">
        <ns0:f>+J27/K27</ns0:f>
        <ns0:v/>
      </ns0:c>
      <ns0:c r="M28" s="21">
        <ns0:f>+M27/O27</ns0:f>
        <ns0:v/>
      </ns0:c>
      <ns0:c r="N28" s="21">
        <ns0:f>+N27/O27</ns0:f>
        <ns0:v/>
      </ns0:c>
      <ns0:c r="Q28" s="21">
        <ns0:f>+Q27/S27</ns0:f>
        <ns0:v/>
      </ns0:c>
      <ns0:c r="R28" s="21">
        <ns0:f>+R27/S27</ns0:f>
        <ns0:v/>
      </ns0:c>
    </ns0:row>
  </ns0:sheetData>
  <ns0:mergeCells count="2">
    <ns0:mergeCell ref="S27:S28"/>
    <ns0:mergeCell ref="T14:T1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3:P19"/>
  <ns0:sheetViews>
    <ns0:sheetView workbookViewId="0">
      <ns0:selection activeCell="A1" sqref="A1"/>
    </ns0:sheetView>
  </ns0:sheetViews>
  <ns0:sheetFormatPr baseColWidth="8" defaultRowHeight="15"/>
  <ns0:cols>
    <ns0:col width="22.38" customWidth="1" min="2" max="2"/>
    <ns0:col width="14.13" customWidth="1" min="3" max="3"/>
    <ns0:col width="15.75" customWidth="1" min="4" max="4"/>
    <ns0:col width="14.13" customWidth="1" min="5" max="5"/>
    <ns0:col width="14.13" customWidth="1" min="6" max="6"/>
    <ns0:col width="14.13" customWidth="1" min="7" max="7"/>
    <ns0:col width="14.13" customWidth="1" min="8" max="8"/>
    <ns0:col width="14.13" customWidth="1" min="9" max="9"/>
    <ns0:col width="14.13" customWidth="1" min="10" max="10"/>
    <ns0:col width="14.13" customWidth="1" min="11" max="11"/>
    <ns0:col width="14.13" customWidth="1" min="12" max="12"/>
    <ns0:col width="14.13" customWidth="1" min="13" max="13"/>
    <ns0:col width="14.13" customWidth="1" min="14" max="14"/>
    <ns0:col width="14.13" customWidth="1" min="15" max="15"/>
    <ns0:col width="14.13" customWidth="1" min="16" max="16"/>
  </ns0:cols>
  <ns0:sheetData>
    <ns0:row r="3" ht="40.5" customHeight="1">
      <ns0:c r="B3" t="inlineStr">
        <ns0:is>
          <ns0:t>RESULT TEST GRIND CD LOT 3/17</ns0:t>
        </ns0:is>
      </ns0:c>
    </ns0:row>
    <ns0:row r="4" ht="35.25" customHeight="1">
      <ns0:c r="B4" t="inlineStr">
        <ns0:is>
          <ns0:t>CD LOT</ns0:t>
        </ns0:is>
      </ns0:c>
      <ns0:c r="C4" t="inlineStr">
        <ns0:is>
          <ns0:t>Condition test</ns0:t>
        </ns0:is>
      </ns0:c>
      <ns0:c r="E4" t="inlineStr">
        <ns0:is>
          <ns0:t xml:space="preserve">Input </ns0:t>
        </ns0:is>
      </ns0:c>
      <ns0:c r="F4" t="inlineStr">
        <ns0:is>
          <ns0:t xml:space="preserve">OK </ns0:t>
        </ns0:is>
      </ns0:c>
      <ns0:c r="G4" t="inlineStr">
        <ns0:is>
          <ns0:t>SIGMA</ns0:t>
        </ns0:is>
      </ns0:c>
      <ns0:c r="M4" t="inlineStr">
        <ns0:is>
          <ns0:t>HEARING</ns0:t>
        </ns0:is>
      </ns0:c>
    </ns0:row>
    <ns0:row r="5" ht="39.75" customHeight="1">
      <ns0:c r="G5" t="inlineStr">
        <ns0:is>
          <ns0:t xml:space="preserve">SPL </ns0:t>
        </ns0:is>
      </ns0:c>
      <ns0:c r="H5" t="inlineStr">
        <ns0:is>
          <ns0:t xml:space="preserve">THD </ns0:t>
        </ns0:is>
      </ns0:c>
      <ns0:c r="I5" t="inlineStr">
        <ns0:is>
          <ns0:t xml:space="preserve">SPL+THD </ns0:t>
        </ns0:is>
      </ns0:c>
      <ns0:c r="J5" t="inlineStr">
        <ns0:is>
          <ns0:t>SPL+THD+F0</ns0:t>
        </ns0:is>
      </ns0:c>
      <ns0:c r="K5" t="inlineStr">
        <ns0:is>
          <ns0:t>Total NG</ns0:t>
        </ns0:is>
      </ns0:c>
      <ns0:c r="L5" t="inlineStr">
        <ns0:is>
          <ns0:t>NG rate</ns0:t>
        </ns0:is>
      </ns0:c>
      <ns0:c r="M5" t="inlineStr">
        <ns0:is>
          <ns0:t xml:space="preserve">Noise </ns0:t>
        </ns0:is>
      </ns0:c>
      <ns0:c r="N5" t="inlineStr">
        <ns0:is>
          <ns0:t xml:space="preserve">Touch </ns0:t>
        </ns0:is>
      </ns0:c>
      <ns0:c r="O5" t="inlineStr">
        <ns0:is>
          <ns0:t>Total NG</ns0:t>
        </ns0:is>
      </ns0:c>
      <ns0:c r="P5" t="inlineStr">
        <ns0:is>
          <ns0:t>NG Rate</ns0:t>
        </ns0:is>
      </ns0:c>
    </ns0:row>
    <ns0:row r="6" ht="31.5" customHeight="1">
      <ns0:c r="B6" s="24" t="n">
        <ns0:v>45733</ns0:v>
      </ns0:c>
      <ns0:c r="C6" t="inlineStr">
        <ns0:is>
          <ns0:t>Dome laser</ns0:t>
        </ns0:is>
      </ns0:c>
      <ns0:c r="E6" t="n">
        <ns0:v>21</ns0:v>
      </ns0:c>
      <ns0:c r="F6">
        <ns0:f>+E6-O6-K6</ns0:f>
        <ns0:v/>
      </ns0:c>
      <ns0:c r="G6" t="n">
        <ns0:v>0</ns0:v>
      </ns0:c>
      <ns0:c r="H6" t="n">
        <ns0:v>0</ns0:v>
      </ns0:c>
      <ns0:c r="I6" t="n">
        <ns0:v>0</ns0:v>
      </ns0:c>
      <ns0:c r="J6" t="n">
        <ns0:v>0</ns0:v>
      </ns0:c>
      <ns0:c r="K6">
        <ns0:f>SUM(G6:J6)</ns0:f>
        <ns0:v/>
      </ns0:c>
      <ns0:c r="L6">
        <ns0:f>K6/E6</ns0:f>
        <ns0:v/>
      </ns0:c>
      <ns0:c r="M6" t="n">
        <ns0:v>7</ns0:v>
      </ns0:c>
      <ns0:c r="N6" t="n">
        <ns0:v>0</ns0:v>
      </ns0:c>
      <ns0:c r="O6">
        <ns0:f>SUM(M6:N6)</ns0:f>
        <ns0:v/>
      </ns0:c>
      <ns0:c r="P6">
        <ns0:f>+O6/E6</ns0:f>
        <ns0:v/>
      </ns0:c>
    </ns0:row>
    <ns0:row r="7" ht="31.5" customHeight="1">
      <ns0:c r="G7">
        <ns0:f>+G6/K6</ns0:f>
        <ns0:v/>
      </ns0:c>
      <ns0:c r="H7">
        <ns0:f>+H6/K6</ns0:f>
        <ns0:v/>
      </ns0:c>
      <ns0:c r="I7">
        <ns0:f>+I6/K6</ns0:f>
        <ns0:v/>
      </ns0:c>
      <ns0:c r="J7">
        <ns0:f>+J6/K6</ns0:f>
        <ns0:v/>
      </ns0:c>
      <ns0:c r="M7">
        <ns0:f>+M6/O6</ns0:f>
        <ns0:v/>
      </ns0:c>
      <ns0:c r="N7">
        <ns0:f>+N6/O6</ns0:f>
        <ns0:v/>
      </ns0:c>
    </ns0:row>
    <ns0:row r="8" ht="31.5" customHeight="1">
      <ns0:c r="C8" t="inlineStr">
        <ns0:is>
          <ns0:t>Dome laser(Marking)</ns0:t>
        </ns0:is>
      </ns0:c>
      <ns0:c r="E8" t="n">
        <ns0:v>9</ns0:v>
      </ns0:c>
      <ns0:c r="F8">
        <ns0:f>+E8-O8-K8</ns0:f>
        <ns0:v/>
      </ns0:c>
      <ns0:c r="G8" t="n">
        <ns0:v>0</ns0:v>
      </ns0:c>
      <ns0:c r="H8" t="n">
        <ns0:v>0</ns0:v>
      </ns0:c>
      <ns0:c r="I8" t="n">
        <ns0:v>0</ns0:v>
      </ns0:c>
      <ns0:c r="J8" t="n">
        <ns0:v>0</ns0:v>
      </ns0:c>
      <ns0:c r="K8">
        <ns0:f>SUM(G8:J8)</ns0:f>
        <ns0:v/>
      </ns0:c>
      <ns0:c r="L8">
        <ns0:f>K8/E8</ns0:f>
        <ns0:v/>
      </ns0:c>
      <ns0:c r="M8" t="n">
        <ns0:v>3</ns0:v>
      </ns0:c>
      <ns0:c r="N8" t="n">
        <ns0:v>0</ns0:v>
      </ns0:c>
      <ns0:c r="O8">
        <ns0:f>SUM(M8:N8)</ns0:f>
        <ns0:v/>
      </ns0:c>
      <ns0:c r="P8">
        <ns0:f>+O8/E8</ns0:f>
        <ns0:v/>
      </ns0:c>
    </ns0:row>
    <ns0:row r="9" ht="31.5" customHeight="1">
      <ns0:c r="G9">
        <ns0:f>+G8/K8</ns0:f>
        <ns0:v/>
      </ns0:c>
      <ns0:c r="H9">
        <ns0:f>+H8/K8</ns0:f>
        <ns0:v/>
      </ns0:c>
      <ns0:c r="I9">
        <ns0:f>+I8/K8</ns0:f>
        <ns0:v/>
      </ns0:c>
      <ns0:c r="J9">
        <ns0:f>+J8/K8</ns0:f>
        <ns0:v/>
      </ns0:c>
      <ns0:c r="M9">
        <ns0:f>+M8/O8</ns0:f>
        <ns0:v/>
      </ns0:c>
      <ns0:c r="N9">
        <ns0:f>+N8/O8</ns0:f>
        <ns0:v/>
      </ns0:c>
    </ns0:row>
    <ns0:row r="10" ht="31.5" customHeight="1">
      <ns0:c r="C10" t="inlineStr">
        <ns0:is>
          <ns0:t>Total (CD Grind)</ns0:t>
        </ns0:is>
      </ns0:c>
      <ns0:c r="E10">
        <ns0:f>+E8+E6</ns0:f>
        <ns0:v/>
      </ns0:c>
      <ns0:c r="F10">
        <ns0:f>+E10-O10-K10</ns0:f>
        <ns0:v/>
      </ns0:c>
      <ns0:c r="G10">
        <ns0:f>+G8+G6</ns0:f>
        <ns0:v/>
      </ns0:c>
      <ns0:c r="H10">
        <ns0:f>+H8+H6</ns0:f>
        <ns0:v/>
      </ns0:c>
      <ns0:c r="I10">
        <ns0:f>+I8+I6</ns0:f>
        <ns0:v/>
      </ns0:c>
      <ns0:c r="J10">
        <ns0:f>+J8+J6</ns0:f>
        <ns0:v/>
      </ns0:c>
      <ns0:c r="K10">
        <ns0:f>SUM(G10:J10)</ns0:f>
        <ns0:v/>
      </ns0:c>
      <ns0:c r="L10">
        <ns0:f>K10/E10</ns0:f>
        <ns0:v/>
      </ns0:c>
      <ns0:c r="M10">
        <ns0:f>+M8+M6</ns0:f>
        <ns0:v/>
      </ns0:c>
      <ns0:c r="N10">
        <ns0:f>+N8+N6</ns0:f>
        <ns0:v/>
      </ns0:c>
      <ns0:c r="O10">
        <ns0:f>SUM(M10:N10)</ns0:f>
        <ns0:v/>
      </ns0:c>
      <ns0:c r="P10" s="25">
        <ns0:f>+O10/E10</ns0:f>
        <ns0:v/>
      </ns0:c>
    </ns0:row>
    <ns0:row r="11" ht="31.5" customHeight="1">
      <ns0:c r="G11">
        <ns0:f>+G10/K10</ns0:f>
        <ns0:v/>
      </ns0:c>
      <ns0:c r="H11">
        <ns0:f>+H10/K10</ns0:f>
        <ns0:v/>
      </ns0:c>
      <ns0:c r="I11">
        <ns0:f>+I10/K10</ns0:f>
        <ns0:v/>
      </ns0:c>
      <ns0:c r="J11">
        <ns0:f>+J10/K10</ns0:f>
        <ns0:v/>
      </ns0:c>
      <ns0:c r="M11">
        <ns0:f>+M10/O10</ns0:f>
        <ns0:v/>
      </ns0:c>
      <ns0:c r="N11">
        <ns0:f>+N10/O10</ns0:f>
        <ns0:v/>
      </ns0:c>
    </ns0:row>
    <ns0:row r="12" ht="18.75" customHeight="1"/>
    <ns0:row r="13" ht="18.75" customHeight="1"/>
    <ns0:row r="14" ht="18.75" customHeight="1">
      <ns0:c r="B14" t="inlineStr">
        <ns0:is>
          <ns0:t>No</ns0:t>
        </ns0:is>
      </ns0:c>
      <ns0:c r="C14" t="inlineStr">
        <ns0:is>
          <ns0:t>Date</ns0:t>
        </ns0:is>
      </ns0:c>
      <ns0:c r="D14" t="inlineStr">
        <ns0:is>
          <ns0:t xml:space="preserve">Type check </ns0:t>
        </ns0:is>
      </ns0:c>
      <ns0:c r="H14" t="inlineStr">
        <ns0:is>
          <ns0:t>Q'Ty check</ns0:t>
        </ns0:is>
      </ns0:c>
      <ns0:c r="I14" t="inlineStr">
        <ns0:is>
          <ns0:t>NG separate VP + CD</ns0:t>
        </ns0:is>
      </ns0:c>
      <ns0:c r="J14" t="inlineStr">
        <ns0:is>
          <ns0:t>NG Rate</ns0:t>
        </ns0:is>
      </ns0:c>
    </ns0:row>
    <ns0:row r="15" ht="18.75" customHeight="1"/>
    <ns0:row r="16" ht="20.25" customHeight="1">
      <ns0:c r="B16" t="n">
        <ns0:v>1</ns0:v>
      </ns0:c>
      <ns0:c r="C16" s="24" t="n">
        <ns0:v>45766</ns0:v>
      </ns0:c>
      <ns0:c r="D16" t="inlineStr">
        <ns0:is>
          <ns0:t>Lot CD 
( 3/17 )</ns0:t>
        </ns0:is>
      </ns0:c>
      <ns0:c r="E16" t="inlineStr">
        <ns0:is>
          <ns0:t>Normal</ns0:t>
        </ns0:is>
      </ns0:c>
      <ns0:c r="G16" t="inlineStr">
        <ns0:is>
          <ns0:t>NG noise</ns0:t>
        </ns0:is>
      </ns0:c>
      <ns0:c r="H16" t="n">
        <ns0:v>5</ns0:v>
      </ns0:c>
      <ns0:c r="I16" t="n">
        <ns0:v>5</ns0:v>
      </ns0:c>
      <ns0:c r="J16">
        <ns0:f>+I16/H16</ns0:f>
        <ns0:v/>
      </ns0:c>
    </ns0:row>
    <ns0:row r="17" ht="20.25" customHeight="1">
      <ns0:c r="G17" t="inlineStr">
        <ns0:is>
          <ns0:t>OK hearing</ns0:t>
        </ns0:is>
      </ns0:c>
      <ns0:c r="H17" t="n">
        <ns0:v>16</ns0:v>
      </ns0:c>
      <ns0:c r="I17" t="n">
        <ns0:v>1</ns0:v>
      </ns0:c>
      <ns0:c r="J17">
        <ns0:f>+I17/H17</ns0:f>
        <ns0:v/>
      </ns0:c>
    </ns0:row>
    <ns0:row r="18" ht="21" customHeight="1">
      <ns0:c r="E18" t="inlineStr">
        <ns0:is>
          <ns0:t>đánh dấu</ns0:t>
        </ns0:is>
      </ns0:c>
      <ns0:c r="G18" t="inlineStr">
        <ns0:is>
          <ns0:t>NG noise</ns0:t>
        </ns0:is>
      </ns0:c>
      <ns0:c r="H18" t="n">
        <ns0:v>3</ns0:v>
      </ns0:c>
      <ns0:c r="I18" t="n">
        <ns0:v>3</ns0:v>
      </ns0:c>
      <ns0:c r="J18">
        <ns0:f>+I18/H18</ns0:f>
        <ns0:v/>
      </ns0:c>
    </ns0:row>
    <ns0:row r="19" ht="21" customHeight="1">
      <ns0:c r="G19" t="inlineStr">
        <ns0:is>
          <ns0:t>OK hearing</ns0:t>
        </ns0:is>
      </ns0:c>
      <ns0:c r="H19" t="n">
        <ns0:v>6</ns0:v>
      </ns0:c>
      <ns0:c r="I19" t="n">
        <ns0:v>0</ns0:v>
      </ns0:c>
      <ns0:c r="J19">
        <ns0:f>+I19/H19</ns0:f>
        <ns0:v/>
      </ns0:c>
    </ns0:row>
  </ns0:sheetData>
  <ns0:mergeCells count="1">
    <ns0:mergeCell ref="P10:P1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3:T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9" customWidth="1" min="3" max="3"/>
    <ns0:col width="19" customWidth="1" min="4" max="4"/>
    <ns0:col width="12.75" customWidth="1" min="5" max="5"/>
    <ns0:col width="12.75" customWidth="1" min="6" max="6"/>
    <ns0:col width="12.75" customWidth="1" min="7" max="7"/>
    <ns0:col width="12.75" customWidth="1" min="8" max="8"/>
    <ns0:col width="12.75" customWidth="1" min="9" max="9"/>
    <ns0:col width="12.75" customWidth="1" min="10" max="10"/>
    <ns0:col width="12.75" customWidth="1" min="11" max="11"/>
    <ns0:col width="12.75" customWidth="1" min="12" max="12"/>
    <ns0:col width="12.75" customWidth="1" min="13" max="13"/>
    <ns0:col width="12.75" customWidth="1" min="14" max="14"/>
    <ns0:col width="12.75" customWidth="1" min="15" max="15"/>
    <ns0:col width="12.75" customWidth="1" min="16" max="16"/>
    <ns0:col width="12.75" customWidth="1" min="17" max="17"/>
    <ns0:col width="12.75" customWidth="1" min="18" max="18"/>
    <ns0:col width="12.75" customWidth="1" min="19" max="19"/>
    <ns0:col width="12.75" customWidth="1" min="20" max="20"/>
  </ns0:cols>
  <ns0:sheetData>
    <ns0:row r="3" ht="20.25" customHeight="1">
      <ns0:c r="B3" s="21" t="inlineStr">
        <ns0:is>
          <ns0:t>RESULT CHECK FUNCTION OF LOT TEST CHANGE LED UC VP+CD FROM 3S TO 5S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Condition test</ns0:t>
        </ns0:is>
      </ns0:c>
      <ns0:c r="E4" s="21" t="inlineStr">
        <ns0:is>
          <ns0:t xml:space="preserve">Input </ns0:t>
        </ns0:is>
      </ns0:c>
      <ns0:c r="F4" s="21" t="inlineStr">
        <ns0:is>
          <ns0:t xml:space="preserve">OK </ns0:t>
        </ns0:is>
      </ns0:c>
      <ns0:c r="G4" s="21" t="inlineStr">
        <ns0:is>
          <ns0:t xml:space="preserve">Sigma </ns0:t>
        </ns0:is>
      </ns0:c>
      <ns0:c r="M4" s="21" t="inlineStr">
        <ns0:is>
          <ns0:t xml:space="preserve">Hearing  ( + 1V ) </ns0:t>
        </ns0:is>
      </ns0:c>
      <ns0:c r="Q4" s="21" t="inlineStr">
        <ns0:is>
          <ns0:t xml:space="preserve">Hearing  ( + 0V ) </ns0:t>
        </ns0:is>
      </ns0:c>
    </ns0:row>
    <ns0:row r="5" ht="39.75" customHeight="1">
      <ns0:c r="G5" s="21" t="inlineStr">
        <ns0:is>
          <ns0:t xml:space="preserve">SPL </ns0:t>
        </ns0:is>
      </ns0:c>
      <ns0:c r="H5" s="21" t="inlineStr">
        <ns0:is>
          <ns0:t xml:space="preserve">THD </ns0:t>
        </ns0:is>
      </ns0:c>
      <ns0:c r="I5" s="21" t="inlineStr">
        <ns0:is>
          <ns0:t xml:space="preserve">SPL+THD </ns0:t>
        </ns0:is>
      </ns0:c>
      <ns0:c r="J5" s="21" t="inlineStr">
        <ns0:is>
          <ns0:t>SPL+THD+F0</ns0:t>
        </ns0:is>
      </ns0:c>
      <ns0:c r="K5" s="21" t="inlineStr">
        <ns0:is>
          <ns0:t>Total NG</ns0:t>
        </ns0:is>
      </ns0:c>
      <ns0:c r="L5" s="21" t="inlineStr">
        <ns0:is>
          <ns0:t>NG rate</ns0:t>
        </ns0:is>
      </ns0:c>
      <ns0:c r="M5" s="21" t="inlineStr">
        <ns0:is>
          <ns0:t xml:space="preserve">Noise </ns0:t>
        </ns0:is>
      </ns0:c>
      <ns0:c r="N5" s="21" t="inlineStr">
        <ns0:is>
          <ns0:t xml:space="preserve">Touch </ns0:t>
        </ns0:is>
      </ns0:c>
      <ns0:c r="O5" s="21" t="inlineStr">
        <ns0:is>
          <ns0:t>Total NG</ns0:t>
        </ns0:is>
      </ns0:c>
      <ns0:c r="P5" s="21" t="inlineStr">
        <ns0:is>
          <ns0:t>NG Rate</ns0:t>
        </ns0:is>
      </ns0:c>
      <ns0:c r="Q5" s="21" t="inlineStr">
        <ns0:is>
          <ns0:t xml:space="preserve">Noise </ns0:t>
        </ns0:is>
      </ns0:c>
      <ns0:c r="R5" s="21" t="inlineStr">
        <ns0:is>
          <ns0:t xml:space="preserve">Touch </ns0:t>
        </ns0:is>
      </ns0:c>
      <ns0:c r="S5" s="21" t="inlineStr">
        <ns0:is>
          <ns0:t>Total NG</ns0:t>
        </ns0:is>
      </ns0:c>
      <ns0:c r="T5" s="21" t="inlineStr">
        <ns0:is>
          <ns0:t>NG Rate</ns0:t>
        </ns0:is>
      </ns0:c>
    </ns0:row>
    <ns0:row r="6" ht="31.5" customHeight="1">
      <ns0:c r="B6" s="22" t="n">
        <ns0:v>45721</ns0:v>
      </ns0:c>
      <ns0:c r="C6" s="21" t="inlineStr">
        <ns0:is>
          <ns0:t>Test array Frame+SP by hand</ns0:t>
        </ns0:is>
      </ns0:c>
      <ns0:c r="E6" s="21" t="n">
        <ns0:v>400</ns0:v>
      </ns0:c>
      <ns0:c r="F6" s="21">
        <ns0:f>+E6-O6-K6</ns0:f>
        <ns0:v/>
      </ns0:c>
      <ns0:c r="G6" s="21" t="n">
        <ns0:v>2</ns0:v>
      </ns0:c>
      <ns0:c r="H6" s="21" t="n">
        <ns0:v>0</ns0:v>
      </ns0:c>
      <ns0:c r="I6" s="21" t="n">
        <ns0:v>1</ns0:v>
      </ns0:c>
      <ns0:c r="J6" s="21" t="n">
        <ns0:v>0</ns0:v>
      </ns0:c>
      <ns0:c r="K6" s="21">
        <ns0:f>SUM(G6:J6)</ns0:f>
        <ns0:v/>
      </ns0:c>
      <ns0:c r="L6" s="21">
        <ns0:f>K6/E6</ns0:f>
        <ns0:v/>
      </ns0:c>
      <ns0:c r="M6" s="21" t="n">
        <ns0:v>7</ns0:v>
      </ns0:c>
      <ns0:c r="N6" s="21" t="n">
        <ns0:v>116</ns0:v>
      </ns0:c>
      <ns0:c r="O6" s="21">
        <ns0:f>SUM(M6:N6)</ns0:f>
        <ns0:v/>
      </ns0:c>
      <ns0:c r="P6" s="21">
        <ns0:f>+O6/E6</ns0:f>
        <ns0:v/>
      </ns0:c>
      <ns0:c r="Q6" s="21" t="n">
        <ns0:v>4</ns0:v>
      </ns0:c>
      <ns0:c r="R6" s="21" t="n">
        <ns0:v>14</ns0:v>
      </ns0:c>
      <ns0:c r="S6" s="21">
        <ns0:f>SUM(Q6:R6)</ns0:f>
        <ns0:v/>
      </ns0:c>
      <ns0:c r="T6" s="21">
        <ns0:f>+S6/E6</ns0:f>
        <ns0:v/>
      </ns0:c>
    </ns0:row>
    <ns0:row r="7" ht="31.5" customHeight="1">
      <ns0:c r="G7" s="21">
        <ns0:f>+G6/K6</ns0:f>
        <ns0:v/>
      </ns0:c>
      <ns0:c r="H7" s="21">
        <ns0:f>+H6/K6</ns0:f>
        <ns0:v/>
      </ns0:c>
      <ns0:c r="I7" s="21">
        <ns0:f>+I6/K6</ns0:f>
        <ns0:v/>
      </ns0:c>
      <ns0:c r="J7" s="21">
        <ns0:f>+J6/K6</ns0:f>
        <ns0:v/>
      </ns0:c>
      <ns0:c r="M7" s="21">
        <ns0:f>+M6/O6</ns0:f>
        <ns0:v/>
      </ns0:c>
      <ns0:c r="N7" s="21">
        <ns0:f>+N6/O6</ns0:f>
        <ns0:v/>
      </ns0:c>
      <ns0:c r="Q7" s="21">
        <ns0:f>+Q6/S6</ns0:f>
        <ns0:v/>
      </ns0:c>
      <ns0:c r="R7" s="21">
        <ns0:f>+R6/S6</ns0:f>
        <ns0:v/>
      </ns0:c>
    </ns0:row>
    <ns0:row r="8" ht="31.5" customHeight="1">
      <ns0:c r="C8" s="21" t="inlineStr">
        <ns0:is>
          <ns0:t xml:space="preserve">Normal </ns0:t>
        </ns0:is>
      </ns0:c>
      <ns0:c r="E8" s="21" t="n">
        <ns0:v>799</ns0:v>
      </ns0:c>
      <ns0:c r="F8" s="21">
        <ns0:f>+E8-O8-K8</ns0:f>
        <ns0:v/>
      </ns0:c>
      <ns0:c r="G8" s="21" t="n">
        <ns0:v>0</ns0:v>
      </ns0:c>
      <ns0:c r="H8" s="21" t="n">
        <ns0:v>2</ns0:v>
      </ns0:c>
      <ns0:c r="I8" s="21" t="n">
        <ns0:v>0</ns0:v>
      </ns0:c>
      <ns0:c r="J8" s="21" t="n">
        <ns0:v>0</ns0:v>
      </ns0:c>
      <ns0:c r="K8" s="21">
        <ns0:f>SUM(G8:J8)</ns0:f>
        <ns0:v/>
      </ns0:c>
      <ns0:c r="L8" s="21">
        <ns0:f>K8/E8</ns0:f>
        <ns0:v/>
      </ns0:c>
      <ns0:c r="M8" s="21" t="n">
        <ns0:v>16</ns0:v>
      </ns0:c>
      <ns0:c r="N8" s="21" t="n">
        <ns0:v>228</ns0:v>
      </ns0:c>
      <ns0:c r="O8" s="21">
        <ns0:f>SUM(M8:N8)</ns0:f>
        <ns0:v/>
      </ns0:c>
      <ns0:c r="P8" s="21">
        <ns0:f>+O8/E8</ns0:f>
        <ns0:v/>
      </ns0:c>
      <ns0:c r="Q8" s="21" t="n">
        <ns0:v>5</ns0:v>
      </ns0:c>
      <ns0:c r="R8" s="21" t="n">
        <ns0:v>15</ns0:v>
      </ns0:c>
      <ns0:c r="S8" s="23">
        <ns0:f>SUM(Q8:R8)</ns0:f>
        <ns0:v/>
      </ns0:c>
      <ns0:c r="T8" s="21">
        <ns0:f>+S8/E8</ns0:f>
        <ns0:v/>
      </ns0:c>
    </ns0:row>
    <ns0:row r="9" ht="31.5" customHeight="1">
      <ns0:c r="G9" s="21">
        <ns0:f>+G8/K8</ns0:f>
        <ns0:v/>
      </ns0:c>
      <ns0:c r="H9" s="21">
        <ns0:f>+H8/K8</ns0:f>
        <ns0:v/>
      </ns0:c>
      <ns0:c r="I9" s="21">
        <ns0:f>+I8/K8</ns0:f>
        <ns0:v/>
      </ns0:c>
      <ns0:c r="J9" s="26">
        <ns0:f>+J8/K8</ns0:f>
        <ns0:v/>
      </ns0:c>
      <ns0:c r="M9" s="21">
        <ns0:f>+M8/O8</ns0:f>
        <ns0:v/>
      </ns0:c>
      <ns0:c r="N9" s="21">
        <ns0:f>+N8/O8</ns0:f>
        <ns0:v/>
      </ns0:c>
      <ns0:c r="Q9" s="21">
        <ns0:f>+Q8/S8</ns0:f>
        <ns0:v/>
      </ns0:c>
      <ns0:c r="R9" s="21">
        <ns0:f>+R8/S8</ns0:f>
        <ns0:v/>
      </ns0:c>
    </ns0:row>
  </ns0:sheetData>
  <ns0:mergeCells count="1">
    <ns0:mergeCell ref="S8:S9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T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9" customWidth="1" min="3" max="3"/>
    <ns0:col width="19" customWidth="1" min="4" max="4"/>
    <ns0:col width="12.75" customWidth="1" min="5" max="5"/>
    <ns0:col width="12.75" customWidth="1" min="6" max="6"/>
    <ns0:col width="12.75" customWidth="1" min="7" max="7"/>
    <ns0:col width="12.75" customWidth="1" min="8" max="8"/>
    <ns0:col width="12.75" customWidth="1" min="9" max="9"/>
    <ns0:col width="12.75" customWidth="1" min="10" max="10"/>
    <ns0:col width="12.75" customWidth="1" min="11" max="11"/>
    <ns0:col width="12.75" customWidth="1" min="12" max="12"/>
    <ns0:col width="12.75" customWidth="1" min="13" max="13"/>
    <ns0:col width="12.75" customWidth="1" min="14" max="14"/>
    <ns0:col width="12.75" customWidth="1" min="15" max="15"/>
    <ns0:col width="12.75" customWidth="1" min="16" max="16"/>
    <ns0:col width="12.75" customWidth="1" min="17" max="17"/>
    <ns0:col width="12.75" customWidth="1" min="18" max="18"/>
    <ns0:col width="12.75" customWidth="1" min="19" max="19"/>
    <ns0:col width="12.75" customWidth="1" min="20" max="20"/>
  </ns0:cols>
  <ns0:sheetData>
    <ns0:row r="3" ht="20.25" customHeight="1">
      <ns0:c r="B3" s="21" t="inlineStr">
        <ns0:is>
          <ns0:t>RESULT CHECK FUNCTION OF LOT TEST CHANGE LED UC VP+CD FROM 3S TO 5S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Condition test</ns0:t>
        </ns0:is>
      </ns0:c>
      <ns0:c r="E4" s="21" t="inlineStr">
        <ns0:is>
          <ns0:t xml:space="preserve">Input </ns0:t>
        </ns0:is>
      </ns0:c>
      <ns0:c r="F4" s="21" t="inlineStr">
        <ns0:is>
          <ns0:t xml:space="preserve">OK </ns0:t>
        </ns0:is>
      </ns0:c>
      <ns0:c r="G4" s="21" t="inlineStr">
        <ns0:is>
          <ns0:t xml:space="preserve">Sigma </ns0:t>
        </ns0:is>
      </ns0:c>
      <ns0:c r="M4" s="21" t="inlineStr">
        <ns0:is>
          <ns0:t xml:space="preserve">Hearing  ( + 1V ) </ns0:t>
        </ns0:is>
      </ns0:c>
      <ns0:c r="Q4" s="21" t="inlineStr">
        <ns0:is>
          <ns0:t xml:space="preserve">Hearing  ( + 0V ) </ns0:t>
        </ns0:is>
      </ns0:c>
    </ns0:row>
    <ns0:row r="5" ht="39.75" customHeight="1">
      <ns0:c r="G5" s="21" t="inlineStr">
        <ns0:is>
          <ns0:t xml:space="preserve">SPL </ns0:t>
        </ns0:is>
      </ns0:c>
      <ns0:c r="H5" s="21" t="inlineStr">
        <ns0:is>
          <ns0:t xml:space="preserve">THD </ns0:t>
        </ns0:is>
      </ns0:c>
      <ns0:c r="I5" s="21" t="inlineStr">
        <ns0:is>
          <ns0:t xml:space="preserve">SPL+THD </ns0:t>
        </ns0:is>
      </ns0:c>
      <ns0:c r="J5" s="21" t="inlineStr">
        <ns0:is>
          <ns0:t>SPL+THD+F0</ns0:t>
        </ns0:is>
      </ns0:c>
      <ns0:c r="K5" s="21" t="inlineStr">
        <ns0:is>
          <ns0:t>Total NG</ns0:t>
        </ns0:is>
      </ns0:c>
      <ns0:c r="L5" s="21" t="inlineStr">
        <ns0:is>
          <ns0:t>NG rate</ns0:t>
        </ns0:is>
      </ns0:c>
      <ns0:c r="M5" s="21" t="inlineStr">
        <ns0:is>
          <ns0:t xml:space="preserve">Noise </ns0:t>
        </ns0:is>
      </ns0:c>
      <ns0:c r="N5" s="21" t="inlineStr">
        <ns0:is>
          <ns0:t xml:space="preserve">Touch </ns0:t>
        </ns0:is>
      </ns0:c>
      <ns0:c r="O5" s="21" t="inlineStr">
        <ns0:is>
          <ns0:t>Total NG</ns0:t>
        </ns0:is>
      </ns0:c>
      <ns0:c r="P5" s="21" t="inlineStr">
        <ns0:is>
          <ns0:t>NG Rate</ns0:t>
        </ns0:is>
      </ns0:c>
      <ns0:c r="Q5" s="21" t="inlineStr">
        <ns0:is>
          <ns0:t xml:space="preserve">Noise </ns0:t>
        </ns0:is>
      </ns0:c>
      <ns0:c r="R5" s="21" t="inlineStr">
        <ns0:is>
          <ns0:t xml:space="preserve">Touch </ns0:t>
        </ns0:is>
      </ns0:c>
      <ns0:c r="S5" s="21" t="inlineStr">
        <ns0:is>
          <ns0:t>Total NG</ns0:t>
        </ns0:is>
      </ns0:c>
      <ns0:c r="T5" s="21" t="inlineStr">
        <ns0:is>
          <ns0:t>NG Rate</ns0:t>
        </ns0:is>
      </ns0:c>
    </ns0:row>
    <ns0:row r="6" ht="28.5" customHeight="1">
      <ns0:c r="B6" s="22" t="n">
        <ns0:v>45721</ns0:v>
      </ns0:c>
      <ns0:c r="C6" s="21" t="inlineStr">
        <ns0:is>
          <ns0:t>Test Led UC (VP+CD) 5s</ns0:t>
        </ns0:is>
      </ns0:c>
      <ns0:c r="E6" s="21" t="n">
        <ns0:v>500</ns0:v>
      </ns0:c>
      <ns0:c r="F6" s="21">
        <ns0:f>+E6-O6-K6</ns0:f>
        <ns0:v/>
      </ns0:c>
      <ns0:c r="G6" s="21" t="n">
        <ns0:v>1</ns0:v>
      </ns0:c>
      <ns0:c r="H6" s="21" t="n">
        <ns0:v>1</ns0:v>
      </ns0:c>
      <ns0:c r="I6" s="21" t="n">
        <ns0:v>0</ns0:v>
      </ns0:c>
      <ns0:c r="J6" s="21" t="n">
        <ns0:v>0</ns0:v>
      </ns0:c>
      <ns0:c r="K6" s="21">
        <ns0:f>SUM(G6:J6)</ns0:f>
        <ns0:v/>
      </ns0:c>
      <ns0:c r="L6" s="21">
        <ns0:f>K6/E6</ns0:f>
        <ns0:v/>
      </ns0:c>
      <ns0:c r="M6" s="21" t="n">
        <ns0:v>10</ns0:v>
      </ns0:c>
      <ns0:c r="N6" s="21" t="n">
        <ns0:v>109</ns0:v>
      </ns0:c>
      <ns0:c r="O6" s="21">
        <ns0:f>SUM(M6:N6)</ns0:f>
        <ns0:v/>
      </ns0:c>
      <ns0:c r="P6" s="21">
        <ns0:f>+O6/E6</ns0:f>
        <ns0:v/>
      </ns0:c>
      <ns0:c r="Q6" s="21" t="n">
        <ns0:v>7</ns0:v>
      </ns0:c>
      <ns0:c r="R6" s="21" t="n">
        <ns0:v>3</ns0:v>
      </ns0:c>
      <ns0:c r="S6" s="21">
        <ns0:f>SUM(Q6:R6)</ns0:f>
        <ns0:v/>
      </ns0:c>
      <ns0:c r="T6" s="21">
        <ns0:f>+S6/E6</ns0:f>
        <ns0:v/>
      </ns0:c>
    </ns0:row>
    <ns0:row r="7" ht="28.5" customHeight="1">
      <ns0:c r="G7" s="21">
        <ns0:f>+G6/K6</ns0:f>
        <ns0:v/>
      </ns0:c>
      <ns0:c r="H7" s="21">
        <ns0:f>+H6/K6</ns0:f>
        <ns0:v/>
      </ns0:c>
      <ns0:c r="I7" s="21">
        <ns0:f>+I6/K6</ns0:f>
        <ns0:v/>
      </ns0:c>
      <ns0:c r="J7" s="21">
        <ns0:f>+J6/K6</ns0:f>
        <ns0:v/>
      </ns0:c>
      <ns0:c r="M7" s="21">
        <ns0:f>+M6/O6</ns0:f>
        <ns0:v/>
      </ns0:c>
      <ns0:c r="N7" s="21">
        <ns0:f>+N6/O6</ns0:f>
        <ns0:v/>
      </ns0:c>
      <ns0:c r="Q7" s="21">
        <ns0:f>+Q6/S6</ns0:f>
        <ns0:v/>
      </ns0:c>
      <ns0:c r="R7" s="21">
        <ns0:f>+R6/S6</ns0:f>
        <ns0:v/>
      </ns0:c>
    </ns0:row>
    <ns0:row r="8" ht="35.25" customHeight="1">
      <ns0:c r="C8" s="21" t="inlineStr">
        <ns0:is>
          <ns0:t>Normal  Led UC (VP+CD) 3s</ns0:t>
        </ns0:is>
      </ns0:c>
      <ns0:c r="E8" s="21" t="n">
        <ns0:v>1120</ns0:v>
      </ns0:c>
      <ns0:c r="F8" s="21">
        <ns0:f>+E8-O8-K8</ns0:f>
        <ns0:v/>
      </ns0:c>
      <ns0:c r="G8" s="21" t="n">
        <ns0:v>1</ns0:v>
      </ns0:c>
      <ns0:c r="H8" s="21" t="n">
        <ns0:v>0</ns0:v>
      </ns0:c>
      <ns0:c r="I8" s="21" t="n">
        <ns0:v>2</ns0:v>
      </ns0:c>
      <ns0:c r="J8" s="21" t="n">
        <ns0:v>0</ns0:v>
      </ns0:c>
      <ns0:c r="K8" s="21">
        <ns0:f>SUM(G8:J8)</ns0:f>
        <ns0:v/>
      </ns0:c>
      <ns0:c r="L8" s="21">
        <ns0:f>K8/E8</ns0:f>
        <ns0:v/>
      </ns0:c>
      <ns0:c r="M8" s="21" t="n">
        <ns0:v>33</ns0:v>
      </ns0:c>
      <ns0:c r="N8" s="21" t="n">
        <ns0:v>186</ns0:v>
      </ns0:c>
      <ns0:c r="O8" s="21">
        <ns0:f>SUM(M8:N8)</ns0:f>
        <ns0:v/>
      </ns0:c>
      <ns0:c r="P8" s="21">
        <ns0:f>+O8/E8</ns0:f>
        <ns0:v/>
      </ns0:c>
      <ns0:c r="Q8" s="21" t="n">
        <ns0:v>15</ns0:v>
      </ns0:c>
      <ns0:c r="R8" s="21" t="n">
        <ns0:v>19</ns0:v>
      </ns0:c>
      <ns0:c r="S8" s="23">
        <ns0:f>SUM(Q8:R8)</ns0:f>
        <ns0:v/>
      </ns0:c>
      <ns0:c r="T8" s="21">
        <ns0:f>+S8/E8</ns0:f>
        <ns0:v/>
      </ns0:c>
    </ns0:row>
    <ns0:row r="9" ht="35.25" customHeight="1">
      <ns0:c r="G9" s="21">
        <ns0:f>+G8/K8</ns0:f>
        <ns0:v/>
      </ns0:c>
      <ns0:c r="H9" s="21">
        <ns0:f>+H8/K8</ns0:f>
        <ns0:v/>
      </ns0:c>
      <ns0:c r="I9" s="21">
        <ns0:f>+I8/K8</ns0:f>
        <ns0:v/>
      </ns0:c>
      <ns0:c r="J9" s="26">
        <ns0:f>+J8/K8</ns0:f>
        <ns0:v/>
      </ns0:c>
      <ns0:c r="M9" s="21">
        <ns0:f>+M8/O8</ns0:f>
        <ns0:v/>
      </ns0:c>
      <ns0:c r="N9" s="21">
        <ns0:f>+N8/O8</ns0:f>
        <ns0:v/>
      </ns0:c>
      <ns0:c r="Q9" s="21">
        <ns0:f>+Q8/S8</ns0:f>
        <ns0:v/>
      </ns0:c>
      <ns0:c r="R9" s="21">
        <ns0:f>+R8/S8</ns0:f>
        <ns0:v/>
      </ns0:c>
    </ns0:row>
  </ns0:sheetData>
  <ns0:mergeCells count="1">
    <ns0:mergeCell ref="S8:S9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5:T13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9" customWidth="1" min="3" max="3"/>
    <ns0:col width="19" customWidth="1" min="4" max="4"/>
    <ns0:col width="12.75" customWidth="1" min="5" max="5"/>
    <ns0:col width="12.75" customWidth="1" min="6" max="6"/>
    <ns0:col width="12.75" customWidth="1" min="7" max="7"/>
    <ns0:col width="12.75" customWidth="1" min="8" max="8"/>
    <ns0:col width="12.75" customWidth="1" min="9" max="9"/>
    <ns0:col width="12.75" customWidth="1" min="10" max="10"/>
    <ns0:col width="12.75" customWidth="1" min="11" max="11"/>
    <ns0:col width="12.75" customWidth="1" min="12" max="12"/>
    <ns0:col width="12.75" customWidth="1" min="13" max="13"/>
    <ns0:col width="12.75" customWidth="1" min="14" max="14"/>
    <ns0:col width="12.75" customWidth="1" min="15" max="15"/>
    <ns0:col width="12.75" customWidth="1" min="16" max="16"/>
    <ns0:col width="12.75" customWidth="1" min="17" max="17"/>
    <ns0:col width="12.75" customWidth="1" min="18" max="18"/>
    <ns0:col width="12.75" customWidth="1" min="19" max="19"/>
    <ns0:col width="12.75" customWidth="1" min="20" max="20"/>
  </ns0:cols>
  <ns0:sheetData>
    <ns0:row r="5" ht="20.25" customHeight="1">
      <ns0:c r="B5" s="21" t="inlineStr">
        <ns0:is>
          <ns0:t>RESULT CHECK FUNCTION OF LOT TEST VP+CD OF C2 LINE</ns0:t>
        </ns0:is>
      </ns0:c>
    </ns0:row>
    <ns0:row r="6" ht="20.25" customHeight="1">
      <ns0:c r="B6" s="21" t="inlineStr">
        <ns0:is>
          <ns0:t>Date</ns0:t>
        </ns0:is>
      </ns0:c>
      <ns0:c r="C6" s="21" t="inlineStr">
        <ns0:is>
          <ns0:t>Condition test</ns0:t>
        </ns0:is>
      </ns0:c>
      <ns0:c r="E6" s="21" t="inlineStr">
        <ns0:is>
          <ns0:t xml:space="preserve">Input </ns0:t>
        </ns0:is>
      </ns0:c>
      <ns0:c r="F6" s="21" t="inlineStr">
        <ns0:is>
          <ns0:t xml:space="preserve">OK </ns0:t>
        </ns0:is>
      </ns0:c>
      <ns0:c r="G6" s="21" t="inlineStr">
        <ns0:is>
          <ns0:t xml:space="preserve">Sigma </ns0:t>
        </ns0:is>
      </ns0:c>
      <ns0:c r="M6" s="21" t="inlineStr">
        <ns0:is>
          <ns0:t xml:space="preserve">Hearing  ( + 1V ) </ns0:t>
        </ns0:is>
      </ns0:c>
      <ns0:c r="Q6" s="21" t="inlineStr">
        <ns0:is>
          <ns0:t xml:space="preserve">Hearing  ( + 0V ) </ns0:t>
        </ns0:is>
      </ns0:c>
    </ns0:row>
    <ns0:row r="7" ht="40.5" customHeight="1">
      <ns0:c r="G7" s="21" t="inlineStr">
        <ns0:is>
          <ns0:t xml:space="preserve">SPL </ns0:t>
        </ns0:is>
      </ns0:c>
      <ns0:c r="H7" s="21" t="inlineStr">
        <ns0:is>
          <ns0:t xml:space="preserve">THD </ns0:t>
        </ns0:is>
      </ns0:c>
      <ns0:c r="I7" s="21" t="inlineStr">
        <ns0:is>
          <ns0:t xml:space="preserve">SPL+THD </ns0:t>
        </ns0:is>
      </ns0:c>
      <ns0:c r="J7" s="21" t="inlineStr">
        <ns0:is>
          <ns0:t>SPL+THD+F0</ns0:t>
        </ns0:is>
      </ns0:c>
      <ns0:c r="K7" s="21" t="inlineStr">
        <ns0:is>
          <ns0:t>Total NG</ns0:t>
        </ns0:is>
      </ns0:c>
      <ns0:c r="L7" s="21" t="inlineStr">
        <ns0:is>
          <ns0:t>NG rate</ns0:t>
        </ns0:is>
      </ns0:c>
      <ns0:c r="M7" s="21" t="inlineStr">
        <ns0:is>
          <ns0:t xml:space="preserve">Noise </ns0:t>
        </ns0:is>
      </ns0:c>
      <ns0:c r="N7" s="21" t="inlineStr">
        <ns0:is>
          <ns0:t xml:space="preserve">Touch </ns0:t>
        </ns0:is>
      </ns0:c>
      <ns0:c r="O7" s="21" t="inlineStr">
        <ns0:is>
          <ns0:t>Total NG</ns0:t>
        </ns0:is>
      </ns0:c>
      <ns0:c r="P7" s="21" t="inlineStr">
        <ns0:is>
          <ns0:t>NG Rate</ns0:t>
        </ns0:is>
      </ns0:c>
      <ns0:c r="Q7" s="21" t="inlineStr">
        <ns0:is>
          <ns0:t xml:space="preserve">Noise </ns0:t>
        </ns0:is>
      </ns0:c>
      <ns0:c r="R7" s="21" t="inlineStr">
        <ns0:is>
          <ns0:t xml:space="preserve">Touch </ns0:t>
        </ns0:is>
      </ns0:c>
      <ns0:c r="S7" s="21" t="inlineStr">
        <ns0:is>
          <ns0:t>Total NG</ns0:t>
        </ns0:is>
      </ns0:c>
      <ns0:c r="T7" s="21" t="inlineStr">
        <ns0:is>
          <ns0:t>NG Rate</ns0:t>
        </ns0:is>
      </ns0:c>
    </ns0:row>
    <ns0:row r="8" ht="20.25" customHeight="1">
      <ns0:c r="B8" s="22" t="n">
        <ns0:v>45719</ns0:v>
      </ns0:c>
      <ns0:c r="C8" s="21" t="inlineStr">
        <ns0:is>
          <ns0:t>Test VP+CD of C2 line</ns0:t>
        </ns0:is>
      </ns0:c>
      <ns0:c r="E8" s="21" t="n">
        <ns0:v>240</ns0:v>
      </ns0:c>
      <ns0:c r="F8" s="21">
        <ns0:f>+E8-O8-K8</ns0:f>
        <ns0:v/>
      </ns0:c>
      <ns0:c r="G8" s="21" t="n">
        <ns0:v>0</ns0:v>
      </ns0:c>
      <ns0:c r="H8" s="21" t="n">
        <ns0:v>0</ns0:v>
      </ns0:c>
      <ns0:c r="I8" s="21" t="n">
        <ns0:v>0</ns0:v>
      </ns0:c>
      <ns0:c r="J8" s="21" t="n">
        <ns0:v>0</ns0:v>
      </ns0:c>
      <ns0:c r="K8" s="21">
        <ns0:f>SUM(G8:J8)</ns0:f>
        <ns0:v/>
      </ns0:c>
      <ns0:c r="L8" s="21">
        <ns0:f>K8/E8</ns0:f>
        <ns0:v/>
      </ns0:c>
      <ns0:c r="M8" s="21" t="n">
        <ns0:v>10</ns0:v>
      </ns0:c>
      <ns0:c r="N8" s="21" t="n">
        <ns0:v>22</ns0:v>
      </ns0:c>
      <ns0:c r="O8" s="21">
        <ns0:f>SUM(M8:N8)</ns0:f>
        <ns0:v/>
      </ns0:c>
      <ns0:c r="P8" s="21">
        <ns0:f>+O8/E8</ns0:f>
        <ns0:v/>
      </ns0:c>
      <ns0:c r="Q8" s="21" t="n">
        <ns0:v>7</ns0:v>
      </ns0:c>
      <ns0:c r="R8" s="21" t="n">
        <ns0:v>9</ns0:v>
      </ns0:c>
      <ns0:c r="S8" s="21">
        <ns0:f>SUM(Q8:R8)</ns0:f>
        <ns0:v/>
      </ns0:c>
      <ns0:c r="T8" s="21">
        <ns0:f>+S8/E8</ns0:f>
        <ns0:v/>
      </ns0:c>
    </ns0:row>
    <ns0:row r="9" ht="20.25" customHeight="1">
      <ns0:c r="G9" s="21">
        <ns0:f>+G8/K8</ns0:f>
        <ns0:v/>
      </ns0:c>
      <ns0:c r="H9" s="21">
        <ns0:f>+H8/K8</ns0:f>
        <ns0:v/>
      </ns0:c>
      <ns0:c r="I9" s="21">
        <ns0:f>+I8/K8</ns0:f>
        <ns0:v/>
      </ns0:c>
      <ns0:c r="J9" s="21">
        <ns0:f>+J8/K8</ns0:f>
        <ns0:v/>
      </ns0:c>
      <ns0:c r="M9" s="21">
        <ns0:f>+M8/O8</ns0:f>
        <ns0:v/>
      </ns0:c>
      <ns0:c r="N9" s="21">
        <ns0:f>+N8/O8</ns0:f>
        <ns0:v/>
      </ns0:c>
      <ns0:c r="Q9" s="21">
        <ns0:f>+Q8/S8</ns0:f>
        <ns0:v/>
      </ns0:c>
      <ns0:c r="R9" s="21">
        <ns0:f>+R8/S8</ns0:f>
        <ns0:v/>
      </ns0:c>
    </ns0:row>
    <ns0:row r="10" ht="20.25" customHeight="1">
      <ns0:c r="B10" s="22" t="n">
        <ns0:v>45720</ns0:v>
      </ns0:c>
      <ns0:c r="C10" s="21" t="inlineStr">
        <ns0:is>
          <ns0:t>Test VP+CD of C2 line</ns0:t>
        </ns0:is>
      </ns0:c>
      <ns0:c r="E10" s="21" t="n">
        <ns0:v>794</ns0:v>
      </ns0:c>
      <ns0:c r="F10" s="21">
        <ns0:f>+E10-O10-K10</ns0:f>
        <ns0:v/>
      </ns0:c>
      <ns0:c r="G10" s="21" t="n">
        <ns0:v>0</ns0:v>
      </ns0:c>
      <ns0:c r="H10" s="21" t="n">
        <ns0:v>1</ns0:v>
      </ns0:c>
      <ns0:c r="I10" s="21" t="n">
        <ns0:v>0</ns0:v>
      </ns0:c>
      <ns0:c r="J10" s="21" t="n">
        <ns0:v>0</ns0:v>
      </ns0:c>
      <ns0:c r="K10" s="21">
        <ns0:f>SUM(G10:J10)</ns0:f>
        <ns0:v/>
      </ns0:c>
      <ns0:c r="L10" s="21">
        <ns0:f>K10/E10</ns0:f>
        <ns0:v/>
      </ns0:c>
      <ns0:c r="M10" s="21" t="n">
        <ns0:v>5</ns0:v>
      </ns0:c>
      <ns0:c r="N10" s="21" t="n">
        <ns0:v>75</ns0:v>
      </ns0:c>
      <ns0:c r="O10" s="21">
        <ns0:f>SUM(M10:N10)</ns0:f>
        <ns0:v/>
      </ns0:c>
      <ns0:c r="P10" s="21">
        <ns0:f>+O10/E10</ns0:f>
        <ns0:v/>
      </ns0:c>
      <ns0:c r="Q10" s="21" t="n">
        <ns0:v>4</ns0:v>
      </ns0:c>
      <ns0:c r="R10" s="21" t="n">
        <ns0:v>18</ns0:v>
      </ns0:c>
      <ns0:c r="S10" s="21">
        <ns0:f>SUM(Q10:R10)</ns0:f>
        <ns0:v/>
      </ns0:c>
      <ns0:c r="T10" s="21">
        <ns0:f>+S10/E10</ns0:f>
        <ns0:v/>
      </ns0:c>
    </ns0:row>
    <ns0:row r="11" ht="20.25" customHeight="1">
      <ns0:c r="G11" s="21">
        <ns0:f>+G10/K10</ns0:f>
        <ns0:v/>
      </ns0:c>
      <ns0:c r="H11" s="21">
        <ns0:f>+H10/K10</ns0:f>
        <ns0:v/>
      </ns0:c>
      <ns0:c r="I11" s="21">
        <ns0:f>+I10/K10</ns0:f>
        <ns0:v/>
      </ns0:c>
      <ns0:c r="J11" s="21">
        <ns0:f>+J10/K10</ns0:f>
        <ns0:v/>
      </ns0:c>
      <ns0:c r="M11" s="21">
        <ns0:f>+M10/O10</ns0:f>
        <ns0:v/>
      </ns0:c>
      <ns0:c r="N11" s="21">
        <ns0:f>+N10/O10</ns0:f>
        <ns0:v/>
      </ns0:c>
      <ns0:c r="Q11" s="21">
        <ns0:f>+Q10/S10</ns0:f>
        <ns0:v/>
      </ns0:c>
      <ns0:c r="R11" s="21">
        <ns0:f>+R10/S10</ns0:f>
        <ns0:v/>
      </ns0:c>
    </ns0:row>
    <ns0:row r="12" ht="20.25" customHeight="1">
      <ns0:c r="B12" s="22" t="n">
        <ns0:v>45721</ns0:v>
      </ns0:c>
      <ns0:c r="C12" s="21" t="inlineStr">
        <ns0:is>
          <ns0:t>Test VP+CD of C2 line</ns0:t>
        </ns0:is>
      </ns0:c>
      <ns0:c r="E12" s="21" t="n">
        <ns0:v>800</ns0:v>
      </ns0:c>
      <ns0:c r="F12" s="21">
        <ns0:f>+E12-O12-K12</ns0:f>
        <ns0:v/>
      </ns0:c>
      <ns0:c r="G12" s="21" t="n">
        <ns0:v>0</ns0:v>
      </ns0:c>
      <ns0:c r="H12" s="21" t="n">
        <ns0:v>4</ns0:v>
      </ns0:c>
      <ns0:c r="I12" s="21" t="n">
        <ns0:v>1</ns0:v>
      </ns0:c>
      <ns0:c r="J12" s="21" t="n">
        <ns0:v>0</ns0:v>
      </ns0:c>
      <ns0:c r="K12" s="21">
        <ns0:f>SUM(G12:J12)</ns0:f>
        <ns0:v/>
      </ns0:c>
      <ns0:c r="L12" s="21">
        <ns0:f>K12/E12</ns0:f>
        <ns0:v/>
      </ns0:c>
      <ns0:c r="M12" s="21" t="n">
        <ns0:v>54</ns0:v>
      </ns0:c>
      <ns0:c r="N12" s="21" t="n">
        <ns0:v>105</ns0:v>
      </ns0:c>
      <ns0:c r="O12" s="21">
        <ns0:f>SUM(M12:N12)</ns0:f>
        <ns0:v/>
      </ns0:c>
      <ns0:c r="P12" s="21">
        <ns0:f>+O12/E12</ns0:f>
        <ns0:v/>
      </ns0:c>
      <ns0:c r="Q12" s="21" t="n">
        <ns0:v>18</ns0:v>
      </ns0:c>
      <ns0:c r="R12" s="21" t="n">
        <ns0:v>13</ns0:v>
      </ns0:c>
      <ns0:c r="S12" s="23">
        <ns0:f>SUM(Q12:R12)</ns0:f>
        <ns0:v/>
      </ns0:c>
      <ns0:c r="T12" s="21">
        <ns0:f>+S12/E12</ns0:f>
        <ns0:v/>
      </ns0:c>
    </ns0:row>
    <ns0:row r="13" ht="20.25" customHeight="1">
      <ns0:c r="G13" s="21">
        <ns0:f>+G12/K12</ns0:f>
        <ns0:v/>
      </ns0:c>
      <ns0:c r="H13" s="21">
        <ns0:f>+H12/K12</ns0:f>
        <ns0:v/>
      </ns0:c>
      <ns0:c r="I13" s="21">
        <ns0:f>+I12/K12</ns0:f>
        <ns0:v/>
      </ns0:c>
      <ns0:c r="J13" s="26">
        <ns0:f>+J12/K12</ns0:f>
        <ns0:v/>
      </ns0:c>
      <ns0:c r="M13" s="21">
        <ns0:f>+M12/O12</ns0:f>
        <ns0:v/>
      </ns0:c>
      <ns0:c r="N13" s="21">
        <ns0:f>+N12/O12</ns0:f>
        <ns0:v/>
      </ns0:c>
      <ns0:c r="Q13" s="21">
        <ns0:f>+Q12/S12</ns0:f>
        <ns0:v/>
      </ns0:c>
      <ns0:c r="R13" s="21">
        <ns0:f>+R12/S12</ns0:f>
        <ns0:v/>
      </ns0:c>
    </ns0:row>
  </ns0:sheetData>
  <ns0:mergeCells count="1">
    <ns0:mergeCell ref="S12:S13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3:W20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2.75" customWidth="1" min="8" max="8"/>
    <ns0:col width="12.75" customWidth="1" min="9" max="9"/>
    <ns0:col width="12.75" customWidth="1" min="10" max="10"/>
    <ns0:col width="12.75" customWidth="1" min="11" max="11"/>
    <ns0:col width="12.75" customWidth="1" min="12" max="12"/>
    <ns0:col width="12.75" customWidth="1" min="13" max="13"/>
    <ns0:col width="12.75" customWidth="1" min="14" max="14"/>
    <ns0:col width="12.75" customWidth="1" min="15" max="15"/>
    <ns0:col width="12.75" customWidth="1" min="16" max="16"/>
    <ns0:col width="12.75" customWidth="1" min="17" max="17"/>
    <ns0:col width="12.75" customWidth="1" min="18" max="18"/>
    <ns0:col width="12.75" customWidth="1" min="19" max="19"/>
    <ns0:col width="12.75" customWidth="1" min="20" max="20"/>
    <ns0:col width="12.75" customWidth="1" min="21" max="21"/>
    <ns0:col width="12.75" customWidth="1" min="22" max="22"/>
    <ns0:col width="12.75" customWidth="1" min="23" max="23"/>
  </ns0:cols>
  <ns0:sheetData>
    <ns0:row r="3" ht="20.25" customHeight="1">
      <ns0:c r="B3" s="21" t="inlineStr">
        <ns0:is>
          <ns0:t>RESULT CHECK FUNCTION OF LOT TEST CMG/SMG HEIGHT 0.7T ( SMG USE NEW JIG OPEN 0.03)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Condition test</ns0:t>
        </ns0:is>
      </ns0:c>
      <ns0:c r="H4" s="21" t="inlineStr">
        <ns0:is>
          <ns0:t xml:space="preserve">Input </ns0:t>
        </ns0:is>
      </ns0:c>
      <ns0:c r="I4" s="21" t="inlineStr">
        <ns0:is>
          <ns0:t xml:space="preserve">OK </ns0:t>
        </ns0:is>
      </ns0:c>
      <ns0:c r="J4" s="21" t="inlineStr">
        <ns0:is>
          <ns0:t xml:space="preserve">Sigma </ns0:t>
        </ns0:is>
      </ns0:c>
      <ns0:c r="P4" s="21" t="inlineStr">
        <ns0:is>
          <ns0:t xml:space="preserve">Hearing  ( + 1V ) </ns0:t>
        </ns0:is>
      </ns0:c>
      <ns0:c r="T4" s="21" t="inlineStr">
        <ns0:is>
          <ns0:t xml:space="preserve">Hearing  ( + 0V ) </ns0:t>
        </ns0:is>
      </ns0:c>
    </ns0:row>
    <ns0:row r="5" ht="39.75" customHeight="1">
      <ns0:c r="C5" s="21" t="inlineStr">
        <ns0:is>
          <ns0:t>VP+CD</ns0:t>
        </ns0:is>
      </ns0:c>
      <ns0:c r="D5" s="21" t="inlineStr">
        <ns0:is>
          <ns0:t>Coil</ns0:t>
        </ns0:is>
      </ns0:c>
      <ns0:c r="E5" s="21" t="inlineStr">
        <ns0:is>
          <ns0:t>Bonding Frame+VP</ns0:t>
        </ns0:is>
      </ns0:c>
      <ns0:c r="F5" s="21" t="inlineStr">
        <ns0:is>
          <ns0:t>CMG</ns0:t>
        </ns0:is>
      </ns0:c>
      <ns0:c r="G5" s="21" t="inlineStr">
        <ns0:is>
          <ns0:t>S-MG( new jig open 0.03)</ns0:t>
        </ns0:is>
      </ns0:c>
      <ns0:c r="J5" s="21" t="inlineStr">
        <ns0:is>
          <ns0:t xml:space="preserve">SPL </ns0:t>
        </ns0:is>
      </ns0:c>
      <ns0:c r="K5" s="21" t="inlineStr">
        <ns0:is>
          <ns0:t xml:space="preserve">THD </ns0:t>
        </ns0:is>
      </ns0:c>
      <ns0:c r="L5" s="21" t="inlineStr">
        <ns0:is>
          <ns0:t xml:space="preserve">SPL+THD </ns0:t>
        </ns0:is>
      </ns0:c>
      <ns0:c r="M5" s="21" t="inlineStr">
        <ns0:is>
          <ns0:t>SPL+THD+F0</ns0:t>
        </ns0:is>
      </ns0:c>
      <ns0:c r="N5" s="21" t="inlineStr">
        <ns0:is>
          <ns0:t>Total NG</ns0:t>
        </ns0:is>
      </ns0:c>
      <ns0:c r="O5" s="21" t="inlineStr">
        <ns0:is>
          <ns0:t>NG rate</ns0:t>
        </ns0:is>
      </ns0:c>
      <ns0:c r="P5" s="21" t="inlineStr">
        <ns0:is>
          <ns0:t xml:space="preserve">Noise </ns0:t>
        </ns0:is>
      </ns0:c>
      <ns0:c r="Q5" s="21" t="inlineStr">
        <ns0:is>
          <ns0:t xml:space="preserve">Touch </ns0:t>
        </ns0:is>
      </ns0:c>
      <ns0:c r="R5" s="21" t="inlineStr">
        <ns0:is>
          <ns0:t>Total NG</ns0:t>
        </ns0:is>
      </ns0:c>
      <ns0:c r="S5" s="21" t="inlineStr">
        <ns0:is>
          <ns0:t>NG Rate</ns0:t>
        </ns0:is>
      </ns0:c>
      <ns0:c r="T5" s="21" t="inlineStr">
        <ns0:is>
          <ns0:t xml:space="preserve">Noise </ns0:t>
        </ns0:is>
      </ns0:c>
      <ns0:c r="U5" s="21" t="inlineStr">
        <ns0:is>
          <ns0:t xml:space="preserve">Touch </ns0:t>
        </ns0:is>
      </ns0:c>
      <ns0:c r="V5" s="21" t="inlineStr">
        <ns0:is>
          <ns0:t>Total NG</ns0:t>
        </ns0:is>
      </ns0:c>
      <ns0:c r="W5" s="21" t="inlineStr">
        <ns0:is>
          <ns0:t>NG Rate</ns0:t>
        </ns0:is>
      </ns0:c>
    </ns0:row>
    <ns0:row r="6" ht="28.5" customHeight="1">
      <ns0:c r="B6" s="22" t="n">
        <ns0:v>45717</ns0:v>
      </ns0:c>
      <ns0:c r="C6" s="21" t="inlineStr">
        <ns0:is>
          <ns0:t>VP 70A</ns0:t>
        </ns0:is>
      </ns0:c>
      <ns0:c r="D6" s="21" t="n">
        <ns0:v>0.097</ns0:v>
      </ns0:c>
      <ns0:c r="E6" s="21" t="inlineStr">
        <ns0:is>
          <ns0:t>Offset 0.13</ns0:t>
        </ns0:is>
      </ns0:c>
      <ns0:c r="F6" s="21" t="inlineStr">
        <ns0:is>
          <ns0:t xml:space="preserve">Normal </ns0:t>
        </ns0:is>
      </ns0:c>
      <ns0:c r="G6" s="21" t="inlineStr">
        <ns0:is>
          <ns0:t xml:space="preserve">Normal </ns0:t>
        </ns0:is>
      </ns0:c>
      <ns0:c r="H6" s="21" t="n">
        <ns0:v>110</ns0:v>
      </ns0:c>
      <ns0:c r="I6" s="21">
        <ns0:f>+H6-R6-N6</ns0:f>
        <ns0:v/>
      </ns0:c>
      <ns0:c r="J6" s="21" t="n">
        <ns0:v>0</ns0:v>
      </ns0:c>
      <ns0:c r="K6" s="21" t="n">
        <ns0:v>0</ns0:v>
      </ns0:c>
      <ns0:c r="L6" s="21" t="n">
        <ns0:v>0</ns0:v>
      </ns0:c>
      <ns0:c r="M6" s="21" t="n">
        <ns0:v>0</ns0:v>
      </ns0:c>
      <ns0:c r="N6" s="21">
        <ns0:f>SUM(J6:M6)</ns0:f>
        <ns0:v/>
      </ns0:c>
      <ns0:c r="O6" s="21">
        <ns0:f>N6/H6</ns0:f>
        <ns0:v/>
      </ns0:c>
      <ns0:c r="P6" s="21" t="n">
        <ns0:v>4</ns0:v>
      </ns0:c>
      <ns0:c r="Q6" s="21" t="n">
        <ns0:v>1</ns0:v>
      </ns0:c>
      <ns0:c r="R6" s="21">
        <ns0:f>SUM(P6:Q6)</ns0:f>
        <ns0:v/>
      </ns0:c>
      <ns0:c r="S6" s="21">
        <ns0:f>+R6/H6</ns0:f>
        <ns0:v/>
      </ns0:c>
      <ns0:c r="T6" s="21" t="n">
        <ns0:v>1</ns0:v>
      </ns0:c>
      <ns0:c r="U6" s="21" t="n">
        <ns0:v>0</ns0:v>
      </ns0:c>
      <ns0:c r="V6" s="21">
        <ns0:f>SUM(T6:U6)</ns0:f>
        <ns0:v/>
      </ns0:c>
      <ns0:c r="W6" s="21">
        <ns0:f>+V6/H6</ns0:f>
        <ns0:v/>
      </ns0:c>
    </ns0:row>
    <ns0:row r="7" ht="28.5" customHeight="1">
      <ns0:c r="J7" s="21">
        <ns0:f>+J6/N6</ns0:f>
        <ns0:v/>
      </ns0:c>
      <ns0:c r="K7" s="21">
        <ns0:f>+K6/N6</ns0:f>
        <ns0:v/>
      </ns0:c>
      <ns0:c r="L7" s="21">
        <ns0:f>+L6/N6</ns0:f>
        <ns0:v/>
      </ns0:c>
      <ns0:c r="M7" s="21">
        <ns0:f>+M6/N6</ns0:f>
        <ns0:v/>
      </ns0:c>
      <ns0:c r="P7" s="21">
        <ns0:f>+P6/R6</ns0:f>
        <ns0:v/>
      </ns0:c>
      <ns0:c r="Q7" s="21">
        <ns0:f>+Q6/R6</ns0:f>
        <ns0:v/>
      </ns0:c>
      <ns0:c r="T7" s="21">
        <ns0:f>+T6/V6</ns0:f>
        <ns0:v/>
      </ns0:c>
      <ns0:c r="U7" s="21">
        <ns0:f>+U6/V6</ns0:f>
        <ns0:v/>
      </ns0:c>
    </ns0:row>
    <ns0:row r="8" ht="35.25" customHeight="1">
      <ns0:c r="F8" s="21" t="inlineStr">
        <ns0:is>
          <ns0:t>0.7T</ns0:t>
        </ns0:is>
      </ns0:c>
      <ns0:c r="G8" s="21" t="inlineStr">
        <ns0:is>
          <ns0:t xml:space="preserve">Normal </ns0:t>
        </ns0:is>
      </ns0:c>
      <ns0:c r="H8" s="21" t="n">
        <ns0:v>110</ns0:v>
      </ns0:c>
      <ns0:c r="I8" s="21">
        <ns0:f>+H8-R8-N8</ns0:f>
        <ns0:v/>
      </ns0:c>
      <ns0:c r="J8" s="21" t="n">
        <ns0:v>0</ns0:v>
      </ns0:c>
      <ns0:c r="K8" s="21" t="n">
        <ns0:v>2</ns0:v>
      </ns0:c>
      <ns0:c r="L8" s="21" t="n">
        <ns0:v>0</ns0:v>
      </ns0:c>
      <ns0:c r="M8" s="21" t="n">
        <ns0:v>0</ns0:v>
      </ns0:c>
      <ns0:c r="N8" s="21">
        <ns0:f>SUM(J8:M8)</ns0:f>
        <ns0:v/>
      </ns0:c>
      <ns0:c r="O8" s="21">
        <ns0:f>N8/H8</ns0:f>
        <ns0:v/>
      </ns0:c>
      <ns0:c r="P8" s="21" t="n">
        <ns0:v>4</ns0:v>
      </ns0:c>
      <ns0:c r="Q8" s="21" t="n">
        <ns0:v>2</ns0:v>
      </ns0:c>
      <ns0:c r="R8" s="21">
        <ns0:f>SUM(P8:Q8)</ns0:f>
        <ns0:v/>
      </ns0:c>
      <ns0:c r="S8" s="21">
        <ns0:f>+R8/H8</ns0:f>
        <ns0:v/>
      </ns0:c>
      <ns0:c r="T8" s="21" t="n">
        <ns0:v>2</ns0:v>
      </ns0:c>
      <ns0:c r="U8" s="21" t="n">
        <ns0:v>1</ns0:v>
      </ns0:c>
      <ns0:c r="V8" s="21">
        <ns0:f>SUM(T8:U8)</ns0:f>
        <ns0:v/>
      </ns0:c>
      <ns0:c r="W8" s="21">
        <ns0:f>+V8/H8</ns0:f>
        <ns0:v/>
      </ns0:c>
    </ns0:row>
    <ns0:row r="9" ht="35.25" customHeight="1">
      <ns0:c r="J9" s="21">
        <ns0:f>+J8/N8</ns0:f>
        <ns0:v/>
      </ns0:c>
      <ns0:c r="K9" s="21">
        <ns0:f>+K8/N8</ns0:f>
        <ns0:v/>
      </ns0:c>
      <ns0:c r="L9" s="21">
        <ns0:f>+L8/N8</ns0:f>
        <ns0:v/>
      </ns0:c>
      <ns0:c r="M9" s="21">
        <ns0:f>+M8/N8</ns0:f>
        <ns0:v/>
      </ns0:c>
      <ns0:c r="P9" s="21">
        <ns0:f>+P8/R8</ns0:f>
        <ns0:v/>
      </ns0:c>
      <ns0:c r="Q9" s="21">
        <ns0:f>+Q8/R8</ns0:f>
        <ns0:v/>
      </ns0:c>
      <ns0:c r="T9" s="21">
        <ns0:f>+T8/V8</ns0:f>
        <ns0:v/>
      </ns0:c>
      <ns0:c r="U9" s="21">
        <ns0:f>+U8/V8</ns0:f>
        <ns0:v/>
      </ns0:c>
    </ns0:row>
    <ns0:row r="10" ht="35.25" customHeight="1">
      <ns0:c r="F10" s="21" t="inlineStr">
        <ns0:is>
          <ns0:t xml:space="preserve">Normal </ns0:t>
        </ns0:is>
      </ns0:c>
      <ns0:c r="G10" s="21" t="inlineStr">
        <ns0:is>
          <ns0:t>0.7T</ns0:t>
        </ns0:is>
      </ns0:c>
      <ns0:c r="H10" s="21" t="n">
        <ns0:v>110</ns0:v>
      </ns0:c>
      <ns0:c r="I10" s="21">
        <ns0:f>+H10-R10-N10</ns0:f>
        <ns0:v/>
      </ns0:c>
      <ns0:c r="J10" s="21" t="n">
        <ns0:v>0</ns0:v>
      </ns0:c>
      <ns0:c r="K10" s="21" t="n">
        <ns0:v>2</ns0:v>
      </ns0:c>
      <ns0:c r="L10" s="21" t="n">
        <ns0:v>0</ns0:v>
      </ns0:c>
      <ns0:c r="M10" s="21" t="n">
        <ns0:v>0</ns0:v>
      </ns0:c>
      <ns0:c r="N10" s="21">
        <ns0:f>SUM(J10:M10)</ns0:f>
        <ns0:v/>
      </ns0:c>
      <ns0:c r="O10" s="21">
        <ns0:f>N10/H10</ns0:f>
        <ns0:v/>
      </ns0:c>
      <ns0:c r="P10" s="21" t="n">
        <ns0:v>4</ns0:v>
      </ns0:c>
      <ns0:c r="Q10" s="21" t="n">
        <ns0:v>29</ns0:v>
      </ns0:c>
      <ns0:c r="R10" s="21">
        <ns0:f>SUM(P10:Q10)</ns0:f>
        <ns0:v/>
      </ns0:c>
      <ns0:c r="S10" s="21">
        <ns0:f>+R10/H10</ns0:f>
        <ns0:v/>
      </ns0:c>
      <ns0:c r="T10" s="21" t="n">
        <ns0:v>1</ns0:v>
      </ns0:c>
      <ns0:c r="U10" s="21" t="n">
        <ns0:v>1</ns0:v>
      </ns0:c>
      <ns0:c r="V10" s="21">
        <ns0:f>SUM(T10:U10)</ns0:f>
        <ns0:v/>
      </ns0:c>
      <ns0:c r="W10" s="21">
        <ns0:f>+V10/H10</ns0:f>
        <ns0:v/>
      </ns0:c>
    </ns0:row>
    <ns0:row r="11" ht="35.25" customHeight="1">
      <ns0:c r="J11" s="21">
        <ns0:f>+J10/N10</ns0:f>
        <ns0:v/>
      </ns0:c>
      <ns0:c r="K11" s="21">
        <ns0:f>+K10/N10</ns0:f>
        <ns0:v/>
      </ns0:c>
      <ns0:c r="L11" s="21">
        <ns0:f>+L10/N10</ns0:f>
        <ns0:v/>
      </ns0:c>
      <ns0:c r="M11" s="21">
        <ns0:f>+M10/N10</ns0:f>
        <ns0:v/>
      </ns0:c>
      <ns0:c r="P11" s="21">
        <ns0:f>+P10/R10</ns0:f>
        <ns0:v/>
      </ns0:c>
      <ns0:c r="Q11" s="21">
        <ns0:f>+Q10/R10</ns0:f>
        <ns0:v/>
      </ns0:c>
      <ns0:c r="T11" s="21">
        <ns0:f>+T10/V10</ns0:f>
        <ns0:v/>
      </ns0:c>
      <ns0:c r="U11" s="21">
        <ns0:f>+U10/V10</ns0:f>
        <ns0:v/>
      </ns0:c>
    </ns0:row>
    <ns0:row r="12" ht="35.25" customHeight="1">
      <ns0:c r="F12" s="21" t="inlineStr">
        <ns0:is>
          <ns0:t>0.7T</ns0:t>
        </ns0:is>
      </ns0:c>
      <ns0:c r="G12" s="21" t="inlineStr">
        <ns0:is>
          <ns0:t>0.7T</ns0:t>
        </ns0:is>
      </ns0:c>
      <ns0:c r="H12" s="21" t="n">
        <ns0:v>110</ns0:v>
      </ns0:c>
      <ns0:c r="I12" s="21">
        <ns0:f>+H12-R12-N12</ns0:f>
        <ns0:v/>
      </ns0:c>
      <ns0:c r="J12" s="21" t="n">
        <ns0:v>0</ns0:v>
      </ns0:c>
      <ns0:c r="K12" s="21" t="n">
        <ns0:v>5</ns0:v>
      </ns0:c>
      <ns0:c r="L12" s="21" t="n">
        <ns0:v>0</ns0:v>
      </ns0:c>
      <ns0:c r="M12" s="21" t="n">
        <ns0:v>0</ns0:v>
      </ns0:c>
      <ns0:c r="N12" s="21">
        <ns0:f>SUM(J12:M12)</ns0:f>
        <ns0:v/>
      </ns0:c>
      <ns0:c r="O12" s="21">
        <ns0:f>N12/H12</ns0:f>
        <ns0:v/>
      </ns0:c>
      <ns0:c r="P12" s="21" t="n">
        <ns0:v>6</ns0:v>
      </ns0:c>
      <ns0:c r="Q12" s="21" t="n">
        <ns0:v>23</ns0:v>
      </ns0:c>
      <ns0:c r="R12" s="21">
        <ns0:f>SUM(P12:Q12)</ns0:f>
        <ns0:v/>
      </ns0:c>
      <ns0:c r="S12" s="21">
        <ns0:f>+R12/H12</ns0:f>
        <ns0:v/>
      </ns0:c>
      <ns0:c r="T12" s="21" t="n">
        <ns0:v>0</ns0:v>
      </ns0:c>
      <ns0:c r="U12" s="21" t="n">
        <ns0:v>1</ns0:v>
      </ns0:c>
      <ns0:c r="V12" s="21">
        <ns0:f>SUM(T12:U12)</ns0:f>
        <ns0:v/>
      </ns0:c>
      <ns0:c r="W12" s="21">
        <ns0:f>+V12/H12</ns0:f>
        <ns0:v/>
      </ns0:c>
    </ns0:row>
    <ns0:row r="13" ht="35.25" customHeight="1">
      <ns0:c r="J13" s="21">
        <ns0:f>+J12/N12</ns0:f>
        <ns0:v/>
      </ns0:c>
      <ns0:c r="K13" s="21">
        <ns0:f>+K12/N12</ns0:f>
        <ns0:v/>
      </ns0:c>
      <ns0:c r="L13" s="21">
        <ns0:f>+L12/N12</ns0:f>
        <ns0:v/>
      </ns0:c>
      <ns0:c r="M13" s="21">
        <ns0:f>+M12/N12</ns0:f>
        <ns0:v/>
      </ns0:c>
      <ns0:c r="P13" s="21">
        <ns0:f>+P12/R12</ns0:f>
        <ns0:v/>
      </ns0:c>
      <ns0:c r="Q13" s="21">
        <ns0:f>+Q12/R12</ns0:f>
        <ns0:v/>
      </ns0:c>
      <ns0:c r="T13" s="21">
        <ns0:f>+T12/V12</ns0:f>
        <ns0:v/>
      </ns0:c>
      <ns0:c r="U13" s="21">
        <ns0:f>+U12/V12</ns0:f>
        <ns0:v/>
      </ns0:c>
    </ns0:row>
    <ns0:row r="14" ht="18.75" customHeight="1"/>
    <ns0:row r="15" ht="18.75" customHeight="1"/>
    <ns0:row r="16" ht="27" customHeight="1">
      <ns0:c r="B16" s="21" t="inlineStr">
        <ns0:is>
          <ns0:t>RESULT CHECK FUNCTION OF LOT TEST YOKE CHECK CLASS JIG</ns0:t>
        </ns0:is>
      </ns0:c>
    </ns0:row>
    <ns0:row r="17" ht="27" customHeight="1">
      <ns0:c r="B17" s="21" t="inlineStr">
        <ns0:is>
          <ns0:t>Date</ns0:t>
        </ns0:is>
      </ns0:c>
      <ns0:c r="C17" s="21" t="inlineStr">
        <ns0:is>
          <ns0:t>Test type</ns0:t>
        </ns0:is>
      </ns0:c>
      <ns0:c r="D17" s="21" t="inlineStr">
        <ns0:is>
          <ns0:t xml:space="preserve">Input </ns0:t>
        </ns0:is>
      </ns0:c>
      <ns0:c r="E17" s="21" t="inlineStr">
        <ns0:is>
          <ns0:t xml:space="preserve">OK </ns0:t>
        </ns0:is>
      </ns0:c>
      <ns0:c r="F17" s="21" t="inlineStr">
        <ns0:is>
          <ns0:t xml:space="preserve">Sigma </ns0:t>
        </ns0:is>
      </ns0:c>
      <ns0:c r="L17" s="21" t="inlineStr">
        <ns0:is>
          <ns0:t xml:space="preserve">Hearing  ( + 1V ) </ns0:t>
        </ns0:is>
      </ns0:c>
      <ns0:c r="P17" s="21" t="inlineStr">
        <ns0:is>
          <ns0:t xml:space="preserve">Hearing  ( + 0V ) </ns0:t>
        </ns0:is>
      </ns0:c>
    </ns0:row>
    <ns0:row r="18" ht="27" customHeight="1">
      <ns0:c r="F18" s="21" t="inlineStr">
        <ns0:is>
          <ns0:t xml:space="preserve">SPL </ns0:t>
        </ns0:is>
      </ns0:c>
      <ns0:c r="G18" s="21" t="inlineStr">
        <ns0:is>
          <ns0:t xml:space="preserve">THD </ns0:t>
        </ns0:is>
      </ns0:c>
      <ns0:c r="H18" s="21" t="inlineStr">
        <ns0:is>
          <ns0:t xml:space="preserve">SPL+THD </ns0:t>
        </ns0:is>
      </ns0:c>
      <ns0:c r="I18" s="21" t="inlineStr">
        <ns0:is>
          <ns0:t>SPL+THD+F0</ns0:t>
        </ns0:is>
      </ns0:c>
      <ns0:c r="J18" s="21" t="inlineStr">
        <ns0:is>
          <ns0:t>Total NG</ns0:t>
        </ns0:is>
      </ns0:c>
      <ns0:c r="K18" s="21" t="inlineStr">
        <ns0:is>
          <ns0:t>NG rate</ns0:t>
        </ns0:is>
      </ns0:c>
      <ns0:c r="L18" s="21" t="inlineStr">
        <ns0:is>
          <ns0:t xml:space="preserve">Noise </ns0:t>
        </ns0:is>
      </ns0:c>
      <ns0:c r="M18" s="21" t="inlineStr">
        <ns0:is>
          <ns0:t xml:space="preserve">Touch </ns0:t>
        </ns0:is>
      </ns0:c>
      <ns0:c r="N18" s="21" t="inlineStr">
        <ns0:is>
          <ns0:t>Total NG</ns0:t>
        </ns0:is>
      </ns0:c>
      <ns0:c r="O18" s="21" t="inlineStr">
        <ns0:is>
          <ns0:t>NG Rate</ns0:t>
        </ns0:is>
      </ns0:c>
      <ns0:c r="P18" s="21" t="inlineStr">
        <ns0:is>
          <ns0:t xml:space="preserve">Noise </ns0:t>
        </ns0:is>
      </ns0:c>
      <ns0:c r="Q18" s="21" t="inlineStr">
        <ns0:is>
          <ns0:t xml:space="preserve">Touch </ns0:t>
        </ns0:is>
      </ns0:c>
      <ns0:c r="R18" s="21" t="inlineStr">
        <ns0:is>
          <ns0:t>Total NG</ns0:t>
        </ns0:is>
      </ns0:c>
      <ns0:c r="S18" s="21" t="inlineStr">
        <ns0:is>
          <ns0:t>NG Rate</ns0:t>
        </ns0:is>
      </ns0:c>
    </ns0:row>
    <ns0:row r="19" ht="27" customHeight="1">
      <ns0:c r="B19" s="22" t="n">
        <ns0:v>45717</ns0:v>
      </ns0:c>
      <ns0:c r="C19" s="21" t="inlineStr">
        <ns0:is>
          <ns0:t>Yoke OK class 1</ns0:t>
        </ns0:is>
      </ns0:c>
      <ns0:c r="D19" s="21" t="n">
        <ns0:v>300</ns0:v>
      </ns0:c>
      <ns0:c r="E19" s="21">
        <ns0:f>+D19-N19-J19</ns0:f>
        <ns0:v/>
      </ns0:c>
      <ns0:c r="F19" s="21" t="n">
        <ns0:v>1</ns0:v>
      </ns0:c>
      <ns0:c r="G19" s="21" t="n">
        <ns0:v>0</ns0:v>
      </ns0:c>
      <ns0:c r="H19" s="21" t="n">
        <ns0:v>2</ns0:v>
      </ns0:c>
      <ns0:c r="I19" s="21" t="n">
        <ns0:v>0</ns0:v>
      </ns0:c>
      <ns0:c r="J19" s="21">
        <ns0:f>SUM(F19:I19)</ns0:f>
        <ns0:v/>
      </ns0:c>
      <ns0:c r="K19" s="21">
        <ns0:f>J19/D19</ns0:f>
        <ns0:v/>
      </ns0:c>
      <ns0:c r="L19" s="21" t="n">
        <ns0:v>11</ns0:v>
      </ns0:c>
      <ns0:c r="M19" s="21" t="n">
        <ns0:v>26</ns0:v>
      </ns0:c>
      <ns0:c r="N19" s="21">
        <ns0:f>SUM(L19:M19)</ns0:f>
        <ns0:v/>
      </ns0:c>
      <ns0:c r="O19" s="21">
        <ns0:f>+N19/D19</ns0:f>
        <ns0:v/>
      </ns0:c>
      <ns0:c r="P19" s="21" t="n">
        <ns0:v>8</ns0:v>
      </ns0:c>
      <ns0:c r="Q19" s="21" t="n">
        <ns0:v>2</ns0:v>
      </ns0:c>
      <ns0:c r="R19" s="21">
        <ns0:f>SUM(P19:Q19)</ns0:f>
        <ns0:v/>
      </ns0:c>
      <ns0:c r="S19" s="21">
        <ns0:f>+R19/D19</ns0:f>
        <ns0:v/>
      </ns0:c>
    </ns0:row>
    <ns0:row r="20" ht="27" customHeight="1">
      <ns0:c r="F20" s="21">
        <ns0:f>+F19/N19</ns0:f>
        <ns0:v/>
      </ns0:c>
      <ns0:c r="G20" s="21">
        <ns0:f>+G19/N19</ns0:f>
        <ns0:v/>
      </ns0:c>
      <ns0:c r="H20" s="21">
        <ns0:f>+H19/N19</ns0:f>
        <ns0:v/>
      </ns0:c>
      <ns0:c r="I20" s="21">
        <ns0:f>+I19/N19</ns0:f>
        <ns0:v/>
      </ns0:c>
      <ns0:c r="L20" s="26">
        <ns0:f>+L19/N19</ns0:f>
        <ns0:v/>
      </ns0:c>
      <ns0:c r="M20" s="21">
        <ns0:f>+M19/N19</ns0:f>
        <ns0:v/>
      </ns0:c>
      <ns0:c r="P20" s="21">
        <ns0:f>+P19/R19</ns0:f>
        <ns0:v/>
      </ns0:c>
      <ns0:c r="Q20" s="21">
        <ns0:f>+Q19/R19</ns0:f>
        <ns0:v/>
      </ns0:c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3:S15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45.25" customWidth="1" min="3" max="3"/>
    <ns0:col width="14.13" customWidth="1" min="4" max="4"/>
    <ns0:col width="14.13" customWidth="1" min="5" max="5"/>
    <ns0:col width="14.13" customWidth="1" min="6" max="6"/>
    <ns0:col width="14.13" customWidth="1" min="7" max="7"/>
    <ns0:col width="14.13" customWidth="1" min="8" max="8"/>
    <ns0:col width="14.13" customWidth="1" min="9" max="9"/>
    <ns0:col width="14.13" customWidth="1" min="10" max="10"/>
    <ns0:col width="14.13" customWidth="1" min="11" max="11"/>
    <ns0:col width="14.13" customWidth="1" min="12" max="12"/>
    <ns0:col width="14.13" customWidth="1" min="13" max="13"/>
    <ns0:col width="14.13" customWidth="1" min="14" max="14"/>
    <ns0:col width="14.13" customWidth="1" min="15" max="15"/>
    <ns0:col width="14.13" customWidth="1" min="16" max="16"/>
    <ns0:col width="14.13" customWidth="1" min="17" max="17"/>
    <ns0:col width="14.13" customWidth="1" min="18" max="18"/>
    <ns0:col width="14.13" customWidth="1" min="19" max="19"/>
  </ns0:cols>
  <ns0:sheetData>
    <ns0:row r="3" ht="20.25" customHeight="1">
      <ns0:c r="B3" s="21" t="inlineStr">
        <ns0:is>
          <ns0:t>RESULT CHECK FUNCTION OF LOT TEST CHANGE BONDING FRAME+VP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Test type</ns0:t>
        </ns0:is>
      </ns0:c>
      <ns0:c r="D4" s="21" t="inlineStr">
        <ns0:is>
          <ns0:t xml:space="preserve">Input </ns0:t>
        </ns0:is>
      </ns0:c>
      <ns0:c r="E4" s="21" t="inlineStr">
        <ns0:is>
          <ns0:t xml:space="preserve">OK </ns0:t>
        </ns0:is>
      </ns0:c>
      <ns0:c r="F4" s="21" t="inlineStr">
        <ns0:is>
          <ns0:t xml:space="preserve">Sigma </ns0:t>
        </ns0:is>
      </ns0:c>
      <ns0:c r="L4" s="21" t="inlineStr">
        <ns0:is>
          <ns0:t xml:space="preserve">Hearing  ( + 1V ) </ns0:t>
        </ns0:is>
      </ns0:c>
      <ns0:c r="P4" s="21" t="inlineStr">
        <ns0:is>
          <ns0:t xml:space="preserve">Hearing  ( + 0V ) </ns0:t>
        </ns0:is>
      </ns0:c>
    </ns0:row>
    <ns0:row r="5" ht="39.75" customHeight="1">
      <ns0:c r="F5" s="21" t="inlineStr">
        <ns0:is>
          <ns0:t xml:space="preserve">SPL </ns0:t>
        </ns0:is>
      </ns0:c>
      <ns0:c r="G5" s="21" t="inlineStr">
        <ns0:is>
          <ns0:t xml:space="preserve">THD </ns0:t>
        </ns0:is>
      </ns0:c>
      <ns0:c r="H5" s="21" t="inlineStr">
        <ns0:is>
          <ns0:t xml:space="preserve">SPL+THD </ns0:t>
        </ns0:is>
      </ns0:c>
      <ns0:c r="I5" s="21" t="inlineStr">
        <ns0:is>
          <ns0:t>SPL+THD+F0</ns0:t>
        </ns0:is>
      </ns0:c>
      <ns0:c r="J5" s="21" t="inlineStr">
        <ns0:is>
          <ns0:t>Total NG</ns0:t>
        </ns0:is>
      </ns0:c>
      <ns0:c r="K5" s="21" t="inlineStr">
        <ns0:is>
          <ns0:t>NG rate</ns0:t>
        </ns0:is>
      </ns0:c>
      <ns0:c r="L5" s="21" t="inlineStr">
        <ns0:is>
          <ns0:t xml:space="preserve">Noise </ns0:t>
        </ns0:is>
      </ns0:c>
      <ns0:c r="M5" s="21" t="inlineStr">
        <ns0:is>
          <ns0:t xml:space="preserve">Touch </ns0:t>
        </ns0:is>
      </ns0:c>
      <ns0:c r="N5" s="21" t="inlineStr">
        <ns0:is>
          <ns0:t>Total NG</ns0:t>
        </ns0:is>
      </ns0:c>
      <ns0:c r="O5" s="21" t="inlineStr">
        <ns0:is>
          <ns0:t>NG Rate</ns0:t>
        </ns0:is>
      </ns0:c>
      <ns0:c r="P5" s="21" t="inlineStr">
        <ns0:is>
          <ns0:t xml:space="preserve">Noise </ns0:t>
        </ns0:is>
      </ns0:c>
      <ns0:c r="Q5" s="21" t="inlineStr">
        <ns0:is>
          <ns0:t xml:space="preserve">Touch </ns0:t>
        </ns0:is>
      </ns0:c>
      <ns0:c r="R5" s="21" t="inlineStr">
        <ns0:is>
          <ns0:t>Total NG</ns0:t>
        </ns0:is>
      </ns0:c>
      <ns0:c r="S5" s="21" t="inlineStr">
        <ns0:is>
          <ns0:t>NG Rate</ns0:t>
        </ns0:is>
      </ns0:c>
    </ns0:row>
    <ns0:row r="6">
      <ns0:c r="B6" s="22" t="n">
        <ns0:v>45706</ns0:v>
      </ns0:c>
      <ns0:c r="C6" s="21" t="inlineStr">
        <ns0:is>
          <ns0:t>Increase bonding Frame+VP  from (3.8~4.2) to 
(4.2 ~4.5mg)</ns0:t>
        </ns0:is>
      </ns0:c>
      <ns0:c r="D6" s="21" t="n">
        <ns0:v>200</ns0:v>
      </ns0:c>
      <ns0:c r="E6" s="21">
        <ns0:f>+D6-N6</ns0:f>
        <ns0:v/>
      </ns0:c>
      <ns0:c r="F6" s="21" t="n">
        <ns0:v>0</ns0:v>
      </ns0:c>
      <ns0:c r="G6" s="21" t="n">
        <ns0:v>0</ns0:v>
      </ns0:c>
      <ns0:c r="H6" s="21" t="n">
        <ns0:v>0</ns0:v>
      </ns0:c>
      <ns0:c r="I6" s="21" t="n">
        <ns0:v>0</ns0:v>
      </ns0:c>
      <ns0:c r="L6" s="21" t="n">
        <ns0:v>18</ns0:v>
      </ns0:c>
      <ns0:c r="M6" s="21" t="n">
        <ns0:v>20</ns0:v>
      </ns0:c>
      <ns0:c r="N6" s="21">
        <ns0:f>SUM(F6:M6)</ns0:f>
        <ns0:v/>
      </ns0:c>
      <ns0:c r="O6" s="21">
        <ns0:f>+N6/D6</ns0:f>
        <ns0:v/>
      </ns0:c>
      <ns0:c r="P6" s="21" t="n">
        <ns0:v>17</ns0:v>
      </ns0:c>
      <ns0:c r="Q6" s="21" t="n">
        <ns0:v>3</ns0:v>
      </ns0:c>
      <ns0:c r="R6" s="21">
        <ns0:f>SUM(P6:Q6)</ns0:f>
        <ns0:v/>
      </ns0:c>
      <ns0:c r="S6" s="21">
        <ns0:f>+R6/D6</ns0:f>
        <ns0:v/>
      </ns0:c>
    </ns0:row>
    <ns0:row r="7">
      <ns0:c r="F7" s="21">
        <ns0:f>+F6/N6</ns0:f>
        <ns0:v/>
      </ns0:c>
      <ns0:c r="G7" s="21">
        <ns0:f>+G6/N6</ns0:f>
        <ns0:v/>
      </ns0:c>
      <ns0:c r="H7" s="21">
        <ns0:f>+H6/N6</ns0:f>
        <ns0:v/>
      </ns0:c>
      <ns0:c r="I7" s="21">
        <ns0:f>+I6/N6</ns0:f>
        <ns0:v/>
      </ns0:c>
      <ns0:c r="L7" s="21">
        <ns0:f>+L6/N6</ns0:f>
        <ns0:v/>
      </ns0:c>
      <ns0:c r="M7" s="21">
        <ns0:f>+M6/N6</ns0:f>
        <ns0:v/>
      </ns0:c>
      <ns0:c r="P7" s="21">
        <ns0:f>+P6/R6</ns0:f>
        <ns0:v/>
      </ns0:c>
      <ns0:c r="Q7" s="21">
        <ns0:f>+Q6/R6</ns0:f>
        <ns0:v/>
      </ns0:c>
    </ns0:row>
    <ns0:row r="8">
      <ns0:c r="B8" s="22" t="n">
        <ns0:v>45713</ns0:v>
      </ns0:c>
      <ns0:c r="C8" s="21" t="inlineStr">
        <ns0:is>
          <ns0:t>Change bonding line offset 0.13</ns0:t>
        </ns0:is>
      </ns0:c>
      <ns0:c r="D8" s="21" t="n">
        <ns0:v>240</ns0:v>
      </ns0:c>
      <ns0:c r="E8" s="21">
        <ns0:f>+D8-N8</ns0:f>
        <ns0:v/>
      </ns0:c>
      <ns0:c r="F8" s="21" t="n">
        <ns0:v>0</ns0:v>
      </ns0:c>
      <ns0:c r="G8" s="21" t="n">
        <ns0:v>3</ns0:v>
      </ns0:c>
      <ns0:c r="H8" s="21" t="n">
        <ns0:v>0</ns0:v>
      </ns0:c>
      <ns0:c r="I8" s="21" t="n">
        <ns0:v>0</ns0:v>
      </ns0:c>
      <ns0:c r="L8" s="21" t="n">
        <ns0:v>23</ns0:v>
      </ns0:c>
      <ns0:c r="M8" s="21" t="n">
        <ns0:v>28</ns0:v>
      </ns0:c>
      <ns0:c r="N8" s="21">
        <ns0:f>SUM(F8:M8)</ns0:f>
        <ns0:v/>
      </ns0:c>
      <ns0:c r="O8" s="21">
        <ns0:f>+N8/D8</ns0:f>
        <ns0:v/>
      </ns0:c>
      <ns0:c r="P8" s="21" t="n">
        <ns0:v>6</ns0:v>
      </ns0:c>
      <ns0:c r="Q8" s="21" t="n">
        <ns0:v>1</ns0:v>
      </ns0:c>
      <ns0:c r="R8" s="21">
        <ns0:f>SUM(P8:Q8)</ns0:f>
        <ns0:v/>
      </ns0:c>
      <ns0:c r="S8" s="21">
        <ns0:f>+R8/D8</ns0:f>
        <ns0:v/>
      </ns0:c>
    </ns0:row>
    <ns0:row r="9">
      <ns0:c r="F9" s="21">
        <ns0:f>+F8/N8</ns0:f>
        <ns0:v/>
      </ns0:c>
      <ns0:c r="G9" s="21">
        <ns0:f>+G8/N8</ns0:f>
        <ns0:v/>
      </ns0:c>
      <ns0:c r="H9" s="21">
        <ns0:f>+H8/N8</ns0:f>
        <ns0:v/>
      </ns0:c>
      <ns0:c r="I9" s="21">
        <ns0:f>+I8/N8</ns0:f>
        <ns0:v/>
      </ns0:c>
      <ns0:c r="L9" s="21">
        <ns0:f>+L8/N8</ns0:f>
        <ns0:v/>
      </ns0:c>
      <ns0:c r="M9" s="21">
        <ns0:f>+M8/N8</ns0:f>
        <ns0:v/>
      </ns0:c>
      <ns0:c r="P9" s="21">
        <ns0:f>+P8/R8</ns0:f>
        <ns0:v/>
      </ns0:c>
      <ns0:c r="Q9" s="21">
        <ns0:f>+Q8/R8</ns0:f>
        <ns0:v/>
      </ns0:c>
    </ns0:row>
    <ns0:row r="10">
      <ns0:c r="C10" s="21" t="inlineStr">
        <ns0:is>
          <ns0:t>Normal bonding line</ns0:t>
        </ns0:is>
      </ns0:c>
      <ns0:c r="D10" s="21" t="n">
        <ns0:v>240</ns0:v>
      </ns0:c>
      <ns0:c r="E10" s="21">
        <ns0:f>+D10-N10</ns0:f>
        <ns0:v/>
      </ns0:c>
      <ns0:c r="F10" s="21" t="n">
        <ns0:v>0</ns0:v>
      </ns0:c>
      <ns0:c r="G10" s="21" t="n">
        <ns0:v>0</ns0:v>
      </ns0:c>
      <ns0:c r="H10" s="21" t="n">
        <ns0:v>0</ns0:v>
      </ns0:c>
      <ns0:c r="I10" s="21" t="n">
        <ns0:v>0</ns0:v>
      </ns0:c>
      <ns0:c r="L10" s="21" t="n">
        <ns0:v>10</ns0:v>
      </ns0:c>
      <ns0:c r="M10" s="21" t="n">
        <ns0:v>21</ns0:v>
      </ns0:c>
      <ns0:c r="N10" s="21">
        <ns0:f>SUM(F10:M10)</ns0:f>
        <ns0:v/>
      </ns0:c>
      <ns0:c r="O10" s="21">
        <ns0:f>+N10/D10</ns0:f>
        <ns0:v/>
      </ns0:c>
      <ns0:c r="P10" s="21" t="n">
        <ns0:v>1</ns0:v>
      </ns0:c>
      <ns0:c r="Q10" s="21" t="n">
        <ns0:v>3</ns0:v>
      </ns0:c>
      <ns0:c r="R10" s="21">
        <ns0:f>SUM(P10:Q10)</ns0:f>
        <ns0:v/>
      </ns0:c>
      <ns0:c r="S10" s="21">
        <ns0:f>+R10/D10</ns0:f>
        <ns0:v/>
      </ns0:c>
    </ns0:row>
    <ns0:row r="11">
      <ns0:c r="F11" s="21">
        <ns0:f>+F10/N10</ns0:f>
        <ns0:v/>
      </ns0:c>
      <ns0:c r="G11" s="21">
        <ns0:f>+G10/N10</ns0:f>
        <ns0:v/>
      </ns0:c>
      <ns0:c r="H11" s="21">
        <ns0:f>+H10/N10</ns0:f>
        <ns0:v/>
      </ns0:c>
      <ns0:c r="I11" s="21">
        <ns0:f>+I10/N10</ns0:f>
        <ns0:v/>
      </ns0:c>
      <ns0:c r="L11" s="21">
        <ns0:f>+L10/N10</ns0:f>
        <ns0:v/>
      </ns0:c>
      <ns0:c r="M11" s="21">
        <ns0:f>+M10/N10</ns0:f>
        <ns0:v/>
      </ns0:c>
      <ns0:c r="P11" s="21">
        <ns0:f>+P10/R10</ns0:f>
        <ns0:v/>
      </ns0:c>
      <ns0:c r="Q11" s="21">
        <ns0:f>+Q10/R10</ns0:f>
        <ns0:v/>
      </ns0:c>
    </ns0:row>
    <ns0:row r="12" ht="28.5" customHeight="1">
      <ns0:c r="B12" s="22" t="n">
        <ns0:v>45716</ns0:v>
      </ns0:c>
      <ns0:c r="C12" s="21" t="inlineStr">
        <ns0:is>
          <ns0:t>Change bonding line offset 0.13</ns0:t>
        </ns0:is>
      </ns0:c>
      <ns0:c r="D12" s="21">
        <ns0:f>1120+1119</ns0:f>
        <ns0:v/>
      </ns0:c>
      <ns0:c r="E12" s="21">
        <ns0:f>+D12-N12-J12</ns0:f>
        <ns0:v/>
      </ns0:c>
      <ns0:c r="F12" s="21" t="n">
        <ns0:v>0</ns0:v>
      </ns0:c>
      <ns0:c r="G12" s="21" t="n">
        <ns0:v>5</ns0:v>
      </ns0:c>
      <ns0:c r="H12" s="21" t="n">
        <ns0:v>1</ns0:v>
      </ns0:c>
      <ns0:c r="I12" s="21" t="n">
        <ns0:v>3</ns0:v>
      </ns0:c>
      <ns0:c r="J12" s="21">
        <ns0:f>SUM(F12:I12)</ns0:f>
        <ns0:v/>
      </ns0:c>
      <ns0:c r="K12" s="21">
        <ns0:f>J12/D12</ns0:f>
        <ns0:v/>
      </ns0:c>
      <ns0:c r="L12" s="21">
        <ns0:f>35+24</ns0:f>
        <ns0:v/>
      </ns0:c>
      <ns0:c r="M12" s="21">
        <ns0:f>95+36</ns0:f>
        <ns0:v/>
      </ns0:c>
      <ns0:c r="N12" s="21">
        <ns0:f>SUM(L12:M12)</ns0:f>
        <ns0:v/>
      </ns0:c>
      <ns0:c r="O12" s="21">
        <ns0:f>+N12/D12</ns0:f>
        <ns0:v/>
      </ns0:c>
      <ns0:c r="P12" s="21">
        <ns0:f>21+14</ns0:f>
        <ns0:v/>
      </ns0:c>
      <ns0:c r="Q12" s="21" t="n">
        <ns0:v>12</ns0:v>
      </ns0:c>
      <ns0:c r="R12" s="21">
        <ns0:f>SUM(P12:Q12)</ns0:f>
        <ns0:v/>
      </ns0:c>
      <ns0:c r="S12" s="21">
        <ns0:f>+R12/D12</ns0:f>
        <ns0:v/>
      </ns0:c>
    </ns0:row>
    <ns0:row r="13" ht="28.5" customHeight="1">
      <ns0:c r="F13" s="21">
        <ns0:f>+F12/N12</ns0:f>
        <ns0:v/>
      </ns0:c>
      <ns0:c r="G13" s="21">
        <ns0:f>+G12/N12</ns0:f>
        <ns0:v/>
      </ns0:c>
      <ns0:c r="H13" s="21">
        <ns0:f>+H12/N12</ns0:f>
        <ns0:v/>
      </ns0:c>
      <ns0:c r="I13" s="21">
        <ns0:f>+I12/N12</ns0:f>
        <ns0:v/>
      </ns0:c>
      <ns0:c r="L13" s="21">
        <ns0:f>+L12/N12</ns0:f>
        <ns0:v/>
      </ns0:c>
      <ns0:c r="M13" s="21">
        <ns0:f>+M12/N12</ns0:f>
        <ns0:v/>
      </ns0:c>
      <ns0:c r="P13" s="21">
        <ns0:f>+P12/R12</ns0:f>
        <ns0:v/>
      </ns0:c>
      <ns0:c r="Q13" s="21">
        <ns0:f>+Q12/R12</ns0:f>
        <ns0:v/>
      </ns0:c>
    </ns0:row>
    <ns0:row r="14" ht="35.25" customHeight="1">
      <ns0:c r="C14" s="21" t="inlineStr">
        <ns0:is>
          <ns0:t>Normal bonding line</ns0:t>
        </ns0:is>
      </ns0:c>
      <ns0:c r="D14" s="21" t="n">
        <ns0:v>1111</ns0:v>
      </ns0:c>
      <ns0:c r="E14" s="21">
        <ns0:f>+D14-N14-J14</ns0:f>
        <ns0:v/>
      </ns0:c>
      <ns0:c r="F14" s="21" t="n">
        <ns0:v>0</ns0:v>
      </ns0:c>
      <ns0:c r="G14" s="21" t="n">
        <ns0:v>11</ns0:v>
      </ns0:c>
      <ns0:c r="H14" s="21" t="n">
        <ns0:v>2</ns0:v>
      </ns0:c>
      <ns0:c r="I14" s="21" t="n">
        <ns0:v>0</ns0:v>
      </ns0:c>
      <ns0:c r="J14" s="21">
        <ns0:f>SUM(F14:I14)</ns0:f>
        <ns0:v/>
      </ns0:c>
      <ns0:c r="K14" s="21">
        <ns0:f>J14/D14</ns0:f>
        <ns0:v/>
      </ns0:c>
      <ns0:c r="L14" s="21" t="n">
        <ns0:v>19</ns0:v>
      </ns0:c>
      <ns0:c r="M14" s="21" t="n">
        <ns0:v>40</ns0:v>
      </ns0:c>
      <ns0:c r="N14" s="21">
        <ns0:f>SUM(L14:M14)</ns0:f>
        <ns0:v/>
      </ns0:c>
      <ns0:c r="O14" s="21">
        <ns0:f>+N14/D14</ns0:f>
        <ns0:v/>
      </ns0:c>
      <ns0:c r="P14" s="21" t="n">
        <ns0:v>13</ns0:v>
      </ns0:c>
      <ns0:c r="Q14" s="21" t="n">
        <ns0:v>10</ns0:v>
      </ns0:c>
      <ns0:c r="R14" s="23">
        <ns0:f>SUM(P14:Q14)</ns0:f>
        <ns0:v/>
      </ns0:c>
      <ns0:c r="S14" s="21">
        <ns0:f>+R14/D14</ns0:f>
        <ns0:v/>
      </ns0:c>
    </ns0:row>
    <ns0:row r="15" ht="35.25" customHeight="1">
      <ns0:c r="F15" s="21">
        <ns0:f>+F14/N14</ns0:f>
        <ns0:v/>
      </ns0:c>
      <ns0:c r="G15" s="21">
        <ns0:f>+G14/N14</ns0:f>
        <ns0:v/>
      </ns0:c>
      <ns0:c r="H15" s="21">
        <ns0:f>+H14/N14</ns0:f>
        <ns0:v/>
      </ns0:c>
      <ns0:c r="I15" s="21">
        <ns0:f>+I14/N14</ns0:f>
        <ns0:v/>
      </ns0:c>
      <ns0:c r="L15" s="21">
        <ns0:f>+L14/N14</ns0:f>
        <ns0:v/>
      </ns0:c>
      <ns0:c r="M15" s="21">
        <ns0:f>+M14/N14</ns0:f>
        <ns0:v/>
      </ns0:c>
      <ns0:c r="P15" s="21">
        <ns0:f>+P14/R14</ns0:f>
        <ns0:v/>
      </ns0:c>
      <ns0:c r="Q15" s="21">
        <ns0:f>+Q14/R14</ns0:f>
        <ns0:v/>
      </ns0:c>
    </ns0:row>
  </ns0:sheetData>
  <ns0:mergeCells count="2">
    <ns0:mergeCell ref="R14:R15"/>
    <ns0:mergeCell ref="J14:J15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4.13" customWidth="1" min="3" max="3"/>
    <ns0:col width="14.13" customWidth="1" min="4" max="4"/>
    <ns0:col width="14.13" customWidth="1" min="5" max="5"/>
    <ns0:col width="14.13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</ns0:cols>
  <ns0:sheetData>
    <ns0:row r="3" ht="20.25" customHeight="1">
      <ns0:c r="B3" s="2" t="inlineStr">
        <ns0:is>
          <ns0:t xml:space="preserve">RESULT CHECK FUNCTION </ns0:t>
        </ns0:is>
      </ns0:c>
    </ns0:row>
    <ns0:row r="4" ht="35.25" customHeight="1">
      <ns0:c r="B4" s="2" t="inlineStr">
        <ns0:is>
          <ns0:t>Date</ns0:t>
        </ns0:is>
      </ns0:c>
      <ns0:c r="C4" s="2" t="inlineStr">
        <ns0:is>
          <ns0:t xml:space="preserve">Condition test </ns0:t>
        </ns0:is>
      </ns0:c>
      <ns0:c r="G4" s="2" t="inlineStr">
        <ns0:is>
          <ns0:t xml:space="preserve">Input </ns0:t>
        </ns0:is>
      </ns0:c>
      <ns0:c r="H4" s="2" t="inlineStr">
        <ns0:is>
          <ns0:t xml:space="preserve">OK </ns0:t>
        </ns0:is>
      </ns0:c>
      <ns0:c r="I4" s="2" t="inlineStr">
        <ns0:is>
          <ns0:t xml:space="preserve">Sigma </ns0:t>
        </ns0:is>
      </ns0:c>
      <ns0:c r="O4" s="2" t="inlineStr">
        <ns0:is>
          <ns0:t xml:space="preserve">Hearing  ( + 1V ) </ns0:t>
        </ns0:is>
      </ns0:c>
      <ns0:c r="S4" s="2" t="inlineStr">
        <ns0:is>
          <ns0:t xml:space="preserve">Hearing  ( + 0V ) </ns0:t>
        </ns0:is>
      </ns0:c>
    </ns0:row>
    <ns0:row r="5" ht="35.25" customHeight="1">
      <ns0:c r="I5" s="2" t="inlineStr">
        <ns0:is>
          <ns0:t xml:space="preserve">SPL </ns0:t>
        </ns0:is>
      </ns0:c>
      <ns0:c r="J5" s="2" t="inlineStr">
        <ns0:is>
          <ns0:t xml:space="preserve">THD </ns0:t>
        </ns0:is>
      </ns0:c>
      <ns0:c r="K5" s="2" t="inlineStr">
        <ns0:is>
          <ns0:t xml:space="preserve">SPL+THD </ns0:t>
        </ns0:is>
      </ns0:c>
      <ns0:c r="L5" s="2" t="inlineStr">
        <ns0:is>
          <ns0:t>SPL+THD+F0</ns0:t>
        </ns0:is>
      </ns0:c>
      <ns0:c r="M5" s="2" t="inlineStr">
        <ns0:is>
          <ns0:t>Total NG</ns0:t>
        </ns0:is>
      </ns0:c>
      <ns0:c r="N5" s="2" t="inlineStr">
        <ns0:is>
          <ns0:t>NG Rate</ns0:t>
        </ns0:is>
      </ns0:c>
      <ns0:c r="O5" s="2" t="inlineStr">
        <ns0:is>
          <ns0:t xml:space="preserve">Noise </ns0:t>
        </ns0:is>
      </ns0:c>
      <ns0:c r="P5" s="2" t="inlineStr">
        <ns0:is>
          <ns0:t xml:space="preserve">Touch </ns0:t>
        </ns0:is>
      </ns0:c>
      <ns0:c r="Q5" s="2" t="inlineStr">
        <ns0:is>
          <ns0:t>Total NG</ns0:t>
        </ns0:is>
      </ns0:c>
      <ns0:c r="R5" s="2" t="inlineStr">
        <ns0:is>
          <ns0:t>NG Rate</ns0:t>
        </ns0:is>
      </ns0:c>
      <ns0:c r="S5" s="2" t="inlineStr">
        <ns0:is>
          <ns0:t xml:space="preserve">Noise </ns0:t>
        </ns0:is>
      </ns0:c>
      <ns0:c r="T5" s="2" t="inlineStr">
        <ns0:is>
          <ns0:t xml:space="preserve">Touch </ns0:t>
        </ns0:is>
      </ns0:c>
      <ns0:c r="U5" s="2" t="inlineStr">
        <ns0:is>
          <ns0:t>Total NG</ns0:t>
        </ns0:is>
      </ns0:c>
      <ns0:c r="V5" s="2" t="inlineStr">
        <ns0:is>
          <ns0:t>NG Rate</ns0:t>
        </ns0:is>
      </ns0:c>
    </ns0:row>
    <ns0:row r="6" ht="54.75" customHeight="1">
      <ns0:c r="B6" s="27" t="n">
        <ns0:v>45715</ns0:v>
      </ns0:c>
      <ns0:c r="C6" s="2" t="inlineStr">
        <ns0:is>
          <ns0:t>Test Coil of Korea</ns0:t>
        </ns0:is>
      </ns0:c>
      <ns0:c r="G6" s="2" t="n">
        <ns0:v>300</ns0:v>
      </ns0:c>
      <ns0:c r="H6" s="2">
        <ns0:f>+G6-Q6</ns0:f>
        <ns0:v/>
      </ns0:c>
      <ns0:c r="I6" s="2" t="n">
        <ns0:v>0</ns0:v>
      </ns0:c>
      <ns0:c r="J6" s="2" t="n">
        <ns0:v>0</ns0:v>
      </ns0:c>
      <ns0:c r="K6" s="2" t="n">
        <ns0:v>0</ns0:v>
      </ns0:c>
      <ns0:c r="L6" s="2" t="n">
        <ns0:v>0</ns0:v>
      </ns0:c>
      <ns0:c r="M6" s="2">
        <ns0:f>SUM(I6:L6)</ns0:f>
        <ns0:v/>
      </ns0:c>
      <ns0:c r="N6" s="2">
        <ns0:f>+M6/G6</ns0:f>
        <ns0:v/>
      </ns0:c>
      <ns0:c r="O6" s="2" t="n">
        <ns0:v>18</ns0:v>
      </ns0:c>
      <ns0:c r="P6" s="2" t="n">
        <ns0:v>26</ns0:v>
      </ns0:c>
      <ns0:c r="Q6" s="2">
        <ns0:f>SUM(O6:P6)</ns0:f>
        <ns0:v/>
      </ns0:c>
      <ns0:c r="R6" s="2">
        <ns0:f>+Q6/G6</ns0:f>
        <ns0:v/>
      </ns0:c>
      <ns0:c r="S6" s="2" t="n">
        <ns0:v>5</ns0:v>
      </ns0:c>
      <ns0:c r="T6" s="2" t="n">
        <ns0:v>7</ns0:v>
      </ns0:c>
      <ns0:c r="U6" s="2">
        <ns0:f>SUM(S6:T6)</ns0:f>
        <ns0:v/>
      </ns0:c>
      <ns0:c r="V6" s="2">
        <ns0:f>+U6/G6</ns0:f>
        <ns0:v/>
      </ns0:c>
    </ns0:row>
    <ns0:row r="7" ht="54.75" customHeight="1">
      <ns0:c r="I7" s="2">
        <ns0:f>+I6/Q6</ns0:f>
        <ns0:v/>
      </ns0:c>
      <ns0:c r="J7" s="2">
        <ns0:f>+J6/Q6</ns0:f>
        <ns0:v/>
      </ns0:c>
      <ns0:c r="K7" s="2">
        <ns0:f>+K6/Q6</ns0:f>
        <ns0:v/>
      </ns0:c>
      <ns0:c r="L7" s="2">
        <ns0:f>+L6/Q6</ns0:f>
        <ns0:v/>
      </ns0:c>
      <ns0:c r="O7" s="2">
        <ns0:f>+O6/Q6</ns0:f>
        <ns0:v/>
      </ns0:c>
      <ns0:c r="P7" s="2">
        <ns0:f>+P6/Q6</ns0:f>
        <ns0:v/>
      </ns0:c>
      <ns0:c r="S7" s="2" t="n">
        <ns0:v>0</ns0:v>
      </ns0:c>
      <ns0:c r="T7" s="2" t="n">
        <ns0:v>0</ns0:v>
      </ns0:c>
    </ns0:row>
    <ns0:row r="8" ht="54.75" customHeight="1">
      <ns0:c r="C8" s="2" t="inlineStr">
        <ns0:is>
          <ns0:t>Normal Coil</ns0:t>
        </ns0:is>
      </ns0:c>
      <ns0:c r="G8" s="2" t="n">
        <ns0:v>300</ns0:v>
      </ns0:c>
      <ns0:c r="H8" s="2">
        <ns0:f>+G8-Q8</ns0:f>
        <ns0:v/>
      </ns0:c>
      <ns0:c r="I8" s="2" t="n">
        <ns0:v>0</ns0:v>
      </ns0:c>
      <ns0:c r="J8" s="2" t="n">
        <ns0:v>0</ns0:v>
      </ns0:c>
      <ns0:c r="K8" s="2" t="n">
        <ns0:v>0</ns0:v>
      </ns0:c>
      <ns0:c r="L8" s="2" t="n">
        <ns0:v>0</ns0:v>
      </ns0:c>
      <ns0:c r="M8" s="2">
        <ns0:f>SUM(I8:L8)</ns0:f>
        <ns0:v/>
      </ns0:c>
      <ns0:c r="N8" s="2">
        <ns0:f>+M8/G8</ns0:f>
        <ns0:v/>
      </ns0:c>
      <ns0:c r="O8" s="2" t="n">
        <ns0:v>6</ns0:v>
      </ns0:c>
      <ns0:c r="P8" s="2" t="n">
        <ns0:v>26</ns0:v>
      </ns0:c>
      <ns0:c r="Q8" s="2">
        <ns0:f>SUM(O8:P8)</ns0:f>
        <ns0:v/>
      </ns0:c>
      <ns0:c r="R8" s="2">
        <ns0:f>+Q8/G8</ns0:f>
        <ns0:v/>
      </ns0:c>
      <ns0:c r="S8" s="2" t="n">
        <ns0:v>0</ns0:v>
      </ns0:c>
      <ns0:c r="T8" s="2" t="n">
        <ns0:v>3</ns0:v>
      </ns0:c>
      <ns0:c r="U8" s="23">
        <ns0:f>SUM(S8:T8)</ns0:f>
        <ns0:v/>
      </ns0:c>
      <ns0:c r="V8" s="2">
        <ns0:f>+U8/G8</ns0:f>
        <ns0:v/>
      </ns0:c>
    </ns0:row>
    <ns0:row r="9" ht="54.75" customHeight="1">
      <ns0:c r="I9" s="2">
        <ns0:f>+I8/Q8</ns0:f>
        <ns0:v/>
      </ns0:c>
      <ns0:c r="J9" s="2">
        <ns0:f>+J8/Q8</ns0:f>
        <ns0:v/>
      </ns0:c>
      <ns0:c r="K9" s="26">
        <ns0:f>+K8/Q8</ns0:f>
        <ns0:v/>
      </ns0:c>
      <ns0:c r="L9" s="2">
        <ns0:f>+L8/Q8</ns0:f>
        <ns0:v/>
      </ns0:c>
      <ns0:c r="O9" s="2">
        <ns0:f>+O8/Q8</ns0:f>
        <ns0:v/>
      </ns0:c>
      <ns0:c r="P9" s="2">
        <ns0:f>+P8/Q8</ns0:f>
        <ns0:v/>
      </ns0:c>
      <ns0:c r="S9" s="2" t="n">
        <ns0:v>0</ns0:v>
      </ns0:c>
      <ns0:c r="T9" s="2" t="n">
        <ns0:v>0</ns0:v>
      </ns0:c>
    </ns0:row>
  </ns0:sheetData>
  <ns0:mergeCells count="1">
    <ns0:mergeCell ref="U8:U9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4.13" customWidth="1" min="3" max="3"/>
    <ns0:col width="14.13" customWidth="1" min="4" max="4"/>
    <ns0:col width="14.13" customWidth="1" min="5" max="5"/>
    <ns0:col width="14.13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</ns0:cols>
  <ns0:sheetData>
    <ns0:row r="3" ht="20.25" customHeight="1">
      <ns0:c r="B3" s="2" t="inlineStr">
        <ns0:is>
          <ns0:t xml:space="preserve">RESULT CHECK FUNCTION </ns0:t>
        </ns0:is>
      </ns0:c>
    </ns0:row>
    <ns0:row r="4" ht="35.25" customHeight="1">
      <ns0:c r="B4" s="2" t="inlineStr">
        <ns0:is>
          <ns0:t>Date</ns0:t>
        </ns0:is>
      </ns0:c>
      <ns0:c r="C4" s="2" t="inlineStr">
        <ns0:is>
          <ns0:t xml:space="preserve">Condition test </ns0:t>
        </ns0:is>
      </ns0:c>
      <ns0:c r="G4" s="2" t="inlineStr">
        <ns0:is>
          <ns0:t xml:space="preserve">Input </ns0:t>
        </ns0:is>
      </ns0:c>
      <ns0:c r="H4" s="2" t="inlineStr">
        <ns0:is>
          <ns0:t xml:space="preserve">OK </ns0:t>
        </ns0:is>
      </ns0:c>
      <ns0:c r="I4" s="2" t="inlineStr">
        <ns0:is>
          <ns0:t xml:space="preserve">Sigma </ns0:t>
        </ns0:is>
      </ns0:c>
      <ns0:c r="O4" s="2" t="inlineStr">
        <ns0:is>
          <ns0:t xml:space="preserve">Hearing  ( + 1V ) </ns0:t>
        </ns0:is>
      </ns0:c>
      <ns0:c r="S4" s="2" t="inlineStr">
        <ns0:is>
          <ns0:t xml:space="preserve">Hearing  ( + 0V ) </ns0:t>
        </ns0:is>
      </ns0:c>
    </ns0:row>
    <ns0:row r="5" ht="35.25" customHeight="1">
      <ns0:c r="I5" s="2" t="inlineStr">
        <ns0:is>
          <ns0:t xml:space="preserve">SPL </ns0:t>
        </ns0:is>
      </ns0:c>
      <ns0:c r="J5" s="2" t="inlineStr">
        <ns0:is>
          <ns0:t xml:space="preserve">THD </ns0:t>
        </ns0:is>
      </ns0:c>
      <ns0:c r="K5" s="2" t="inlineStr">
        <ns0:is>
          <ns0:t xml:space="preserve">SPL+THD </ns0:t>
        </ns0:is>
      </ns0:c>
      <ns0:c r="L5" s="2" t="inlineStr">
        <ns0:is>
          <ns0:t>SPL+THD+F0</ns0:t>
        </ns0:is>
      </ns0:c>
      <ns0:c r="M5" s="2" t="inlineStr">
        <ns0:is>
          <ns0:t>Total NG</ns0:t>
        </ns0:is>
      </ns0:c>
      <ns0:c r="N5" s="2" t="inlineStr">
        <ns0:is>
          <ns0:t>NG Rate</ns0:t>
        </ns0:is>
      </ns0:c>
      <ns0:c r="O5" s="2" t="inlineStr">
        <ns0:is>
          <ns0:t xml:space="preserve">Noise </ns0:t>
        </ns0:is>
      </ns0:c>
      <ns0:c r="P5" s="2" t="inlineStr">
        <ns0:is>
          <ns0:t xml:space="preserve">Touch </ns0:t>
        </ns0:is>
      </ns0:c>
      <ns0:c r="Q5" s="2" t="inlineStr">
        <ns0:is>
          <ns0:t>Total NG</ns0:t>
        </ns0:is>
      </ns0:c>
      <ns0:c r="R5" s="2" t="inlineStr">
        <ns0:is>
          <ns0:t>NG Rate</ns0:t>
        </ns0:is>
      </ns0:c>
      <ns0:c r="S5" s="2" t="inlineStr">
        <ns0:is>
          <ns0:t xml:space="preserve">Noise </ns0:t>
        </ns0:is>
      </ns0:c>
      <ns0:c r="T5" s="2" t="inlineStr">
        <ns0:is>
          <ns0:t xml:space="preserve">Touch </ns0:t>
        </ns0:is>
      </ns0:c>
      <ns0:c r="U5" s="2" t="inlineStr">
        <ns0:is>
          <ns0:t>Total NG</ns0:t>
        </ns0:is>
      </ns0:c>
      <ns0:c r="V5" s="2" t="inlineStr">
        <ns0:is>
          <ns0:t>NG Rate</ns0:t>
        </ns0:is>
      </ns0:c>
    </ns0:row>
    <ns0:row r="6" ht="54.75" customHeight="1">
      <ns0:c r="B6" s="27" t="n">
        <ns0:v>45715</ns0:v>
      </ns0:c>
      <ns0:c r="C6" s="2" t="inlineStr">
        <ns0:is>
          <ns0:t>Test VP 55A</ns0:t>
        </ns0:is>
      </ns0:c>
      <ns0:c r="G6" s="2" t="n">
        <ns0:v>24</ns0:v>
      </ns0:c>
      <ns0:c r="H6" s="2">
        <ns0:f>+G6-Q6</ns0:f>
        <ns0:v/>
      </ns0:c>
      <ns0:c r="I6" s="2" t="n">
        <ns0:v>0</ns0:v>
      </ns0:c>
      <ns0:c r="J6" s="2" t="n">
        <ns0:v>0</ns0:v>
      </ns0:c>
      <ns0:c r="K6" s="2" t="n">
        <ns0:v>0</ns0:v>
      </ns0:c>
      <ns0:c r="L6" s="2" t="n">
        <ns0:v>0</ns0:v>
      </ns0:c>
      <ns0:c r="M6" s="2">
        <ns0:f>SUM(I6:L6)</ns0:f>
        <ns0:v/>
      </ns0:c>
      <ns0:c r="N6" s="2">
        <ns0:f>+M6/G6</ns0:f>
        <ns0:v/>
      </ns0:c>
      <ns0:c r="O6" s="2" t="n">
        <ns0:v>16</ns0:v>
      </ns0:c>
      <ns0:c r="P6" s="2" t="n">
        <ns0:v>0</ns0:v>
      </ns0:c>
      <ns0:c r="Q6" s="2">
        <ns0:f>SUM(O6:P6)</ns0:f>
        <ns0:v/>
      </ns0:c>
      <ns0:c r="R6" s="2">
        <ns0:f>+Q6/G6</ns0:f>
        <ns0:v/>
      </ns0:c>
      <ns0:c r="S6" s="2" t="n">
        <ns0:v>0</ns0:v>
      </ns0:c>
      <ns0:c r="T6" s="2" t="n">
        <ns0:v>3</ns0:v>
      </ns0:c>
      <ns0:c r="U6" s="2">
        <ns0:f>SUM(S6:T6)</ns0:f>
        <ns0:v/>
      </ns0:c>
      <ns0:c r="V6" s="2">
        <ns0:f>+U6/G6</ns0:f>
        <ns0:v/>
      </ns0:c>
    </ns0:row>
    <ns0:row r="7" ht="54.75" customHeight="1">
      <ns0:c r="I7" s="2">
        <ns0:f>+I6/Q6</ns0:f>
        <ns0:v/>
      </ns0:c>
      <ns0:c r="J7" s="2">
        <ns0:f>+J6/Q6</ns0:f>
        <ns0:v/>
      </ns0:c>
      <ns0:c r="K7" s="2">
        <ns0:f>+K6/Q6</ns0:f>
        <ns0:v/>
      </ns0:c>
      <ns0:c r="L7" s="2">
        <ns0:f>+L6/Q6</ns0:f>
        <ns0:v/>
      </ns0:c>
      <ns0:c r="O7" s="2">
        <ns0:f>+O6/Q6</ns0:f>
        <ns0:v/>
      </ns0:c>
      <ns0:c r="P7" s="2">
        <ns0:f>+P6/Q6</ns0:f>
        <ns0:v/>
      </ns0:c>
      <ns0:c r="S7" s="2" t="n">
        <ns0:v>0</ns0:v>
      </ns0:c>
      <ns0:c r="T7" s="2" t="n">
        <ns0:v>0</ns0:v>
      </ns0:c>
    </ns0:row>
    <ns0:row r="8" ht="54.75" customHeight="1">
      <ns0:c r="C8" s="2" t="inlineStr">
        <ns0:is>
          <ns0:t>Normal VP</ns0:t>
        </ns0:is>
      </ns0:c>
      <ns0:c r="G8" s="2" t="n">
        <ns0:v>24</ns0:v>
      </ns0:c>
      <ns0:c r="H8" s="2">
        <ns0:f>+G8-Q8</ns0:f>
        <ns0:v/>
      </ns0:c>
      <ns0:c r="I8" s="2" t="n">
        <ns0:v>0</ns0:v>
      </ns0:c>
      <ns0:c r="J8" s="2" t="n">
        <ns0:v>0</ns0:v>
      </ns0:c>
      <ns0:c r="K8" s="2" t="n">
        <ns0:v>0</ns0:v>
      </ns0:c>
      <ns0:c r="L8" s="2" t="n">
        <ns0:v>0</ns0:v>
      </ns0:c>
      <ns0:c r="M8" s="2">
        <ns0:f>SUM(I8:L8)</ns0:f>
        <ns0:v/>
      </ns0:c>
      <ns0:c r="N8" s="2">
        <ns0:f>+M8/G8</ns0:f>
        <ns0:v/>
      </ns0:c>
      <ns0:c r="O8" s="2" t="n">
        <ns0:v>0</ns0:v>
      </ns0:c>
      <ns0:c r="P8" s="2" t="n">
        <ns0:v>1</ns0:v>
      </ns0:c>
      <ns0:c r="Q8" s="2">
        <ns0:f>SUM(O8:P8)</ns0:f>
        <ns0:v/>
      </ns0:c>
      <ns0:c r="R8" s="2">
        <ns0:f>+Q8/G8</ns0:f>
        <ns0:v/>
      </ns0:c>
      <ns0:c r="S8" s="2" t="n">
        <ns0:v>0</ns0:v>
      </ns0:c>
      <ns0:c r="T8" s="2" t="n">
        <ns0:v>0</ns0:v>
      </ns0:c>
      <ns0:c r="U8" s="23">
        <ns0:f>SUM(S8:T8)</ns0:f>
        <ns0:v/>
      </ns0:c>
      <ns0:c r="V8" s="2">
        <ns0:f>+U8/G8</ns0:f>
        <ns0:v/>
      </ns0:c>
    </ns0:row>
    <ns0:row r="9" ht="54.75" customHeight="1">
      <ns0:c r="I9" s="2">
        <ns0:f>+I8/Q8</ns0:f>
        <ns0:v/>
      </ns0:c>
      <ns0:c r="J9" s="2">
        <ns0:f>+J8/Q8</ns0:f>
        <ns0:v/>
      </ns0:c>
      <ns0:c r="K9" s="26">
        <ns0:f>+K8/Q8</ns0:f>
        <ns0:v/>
      </ns0:c>
      <ns0:c r="L9" s="2">
        <ns0:f>+L8/Q8</ns0:f>
        <ns0:v/>
      </ns0:c>
      <ns0:c r="O9" s="2">
        <ns0:f>+O8/Q8</ns0:f>
        <ns0:v/>
      </ns0:c>
      <ns0:c r="P9" s="2">
        <ns0:f>+P8/Q8</ns0:f>
        <ns0:v/>
      </ns0:c>
      <ns0:c r="S9" s="2" t="n">
        <ns0:v>0</ns0:v>
      </ns0:c>
      <ns0:c r="T9" s="2" t="n">
        <ns0:v>0</ns0:v>
      </ns0:c>
    </ns0:row>
  </ns0:sheetData>
  <ns0:mergeCells count="1">
    <ns0:mergeCell ref="U8:U9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4.13" customWidth="1" min="3" max="3"/>
    <ns0:col width="14.13" customWidth="1" min="4" max="4"/>
    <ns0:col width="14.13" customWidth="1" min="5" max="5"/>
    <ns0:col width="14.13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</ns0:cols>
  <ns0:sheetData>
    <ns0:row r="3" ht="20.25" customHeight="1">
      <ns0:c r="B3" s="2" t="inlineStr">
        <ns0:is>
          <ns0:t xml:space="preserve">RESULT CHECK FUNCTION </ns0:t>
        </ns0:is>
      </ns0:c>
    </ns0:row>
    <ns0:row r="4" ht="35.25" customHeight="1">
      <ns0:c r="B4" s="2" t="inlineStr">
        <ns0:is>
          <ns0:t>Date</ns0:t>
        </ns0:is>
      </ns0:c>
      <ns0:c r="C4" s="2" t="inlineStr">
        <ns0:is>
          <ns0:t xml:space="preserve">Condition test </ns0:t>
        </ns0:is>
      </ns0:c>
      <ns0:c r="G4" s="2" t="inlineStr">
        <ns0:is>
          <ns0:t xml:space="preserve">Input </ns0:t>
        </ns0:is>
      </ns0:c>
      <ns0:c r="H4" s="2" t="inlineStr">
        <ns0:is>
          <ns0:t xml:space="preserve">OK </ns0:t>
        </ns0:is>
      </ns0:c>
      <ns0:c r="I4" s="2" t="inlineStr">
        <ns0:is>
          <ns0:t xml:space="preserve">Sigma </ns0:t>
        </ns0:is>
      </ns0:c>
      <ns0:c r="O4" s="2" t="inlineStr">
        <ns0:is>
          <ns0:t xml:space="preserve">Hearing  ( + 1V ) </ns0:t>
        </ns0:is>
      </ns0:c>
      <ns0:c r="S4" s="2" t="inlineStr">
        <ns0:is>
          <ns0:t xml:space="preserve">Hearing  ( + 0V ) </ns0:t>
        </ns0:is>
      </ns0:c>
    </ns0:row>
    <ns0:row r="5" ht="35.25" customHeight="1">
      <ns0:c r="I5" s="2" t="inlineStr">
        <ns0:is>
          <ns0:t xml:space="preserve">SPL </ns0:t>
        </ns0:is>
      </ns0:c>
      <ns0:c r="J5" s="2" t="inlineStr">
        <ns0:is>
          <ns0:t xml:space="preserve">THD </ns0:t>
        </ns0:is>
      </ns0:c>
      <ns0:c r="K5" s="2" t="inlineStr">
        <ns0:is>
          <ns0:t xml:space="preserve">SPL+THD </ns0:t>
        </ns0:is>
      </ns0:c>
      <ns0:c r="L5" s="2" t="inlineStr">
        <ns0:is>
          <ns0:t>SPL+THD+F0</ns0:t>
        </ns0:is>
      </ns0:c>
      <ns0:c r="M5" s="2" t="inlineStr">
        <ns0:is>
          <ns0:t>Total NG</ns0:t>
        </ns0:is>
      </ns0:c>
      <ns0:c r="N5" s="2" t="inlineStr">
        <ns0:is>
          <ns0:t>NG Rate</ns0:t>
        </ns0:is>
      </ns0:c>
      <ns0:c r="O5" s="2" t="inlineStr">
        <ns0:is>
          <ns0:t xml:space="preserve">Noise </ns0:t>
        </ns0:is>
      </ns0:c>
      <ns0:c r="P5" s="2" t="inlineStr">
        <ns0:is>
          <ns0:t xml:space="preserve">Touch </ns0:t>
        </ns0:is>
      </ns0:c>
      <ns0:c r="Q5" s="2" t="inlineStr">
        <ns0:is>
          <ns0:t>Total NG</ns0:t>
        </ns0:is>
      </ns0:c>
      <ns0:c r="R5" s="2" t="inlineStr">
        <ns0:is>
          <ns0:t>NG Rate</ns0:t>
        </ns0:is>
      </ns0:c>
      <ns0:c r="S5" s="2" t="inlineStr">
        <ns0:is>
          <ns0:t xml:space="preserve">Noise </ns0:t>
        </ns0:is>
      </ns0:c>
      <ns0:c r="T5" s="2" t="inlineStr">
        <ns0:is>
          <ns0:t xml:space="preserve">Touch </ns0:t>
        </ns0:is>
      </ns0:c>
      <ns0:c r="U5" s="2" t="inlineStr">
        <ns0:is>
          <ns0:t>Total NG</ns0:t>
        </ns0:is>
      </ns0:c>
      <ns0:c r="V5" s="2" t="inlineStr">
        <ns0:is>
          <ns0:t>NG Rate</ns0:t>
        </ns0:is>
      </ns0:c>
    </ns0:row>
    <ns0:row r="6" ht="54.75" customHeight="1">
      <ns0:c r="B6" s="27" t="n">
        <ns0:v>45714</ns0:v>
      </ns0:c>
      <ns0:c r="C6" s="2" t="inlineStr">
        <ns0:is>
          <ns0:t xml:space="preserve">Test press Coil by hand after change jig </ns0:t>
        </ns0:is>
      </ns0:c>
      <ns0:c r="G6" s="2" t="n">
        <ns0:v>100</ns0:v>
      </ns0:c>
      <ns0:c r="H6" s="2">
        <ns0:f>+G6-Q6</ns0:f>
        <ns0:v/>
      </ns0:c>
      <ns0:c r="I6" s="2" t="n">
        <ns0:v>0</ns0:v>
      </ns0:c>
      <ns0:c r="J6" s="2" t="n">
        <ns0:v>0</ns0:v>
      </ns0:c>
      <ns0:c r="K6" s="2" t="n">
        <ns0:v>0</ns0:v>
      </ns0:c>
      <ns0:c r="L6" s="2" t="n">
        <ns0:v>0</ns0:v>
      </ns0:c>
      <ns0:c r="M6" s="2">
        <ns0:f>SUM(I6:L6)</ns0:f>
        <ns0:v/>
      </ns0:c>
      <ns0:c r="N6" s="2">
        <ns0:f>+M6/G6</ns0:f>
        <ns0:v/>
      </ns0:c>
      <ns0:c r="O6" s="2" t="n">
        <ns0:v>14</ns0:v>
      </ns0:c>
      <ns0:c r="P6" s="2" t="n">
        <ns0:v>17</ns0:v>
      </ns0:c>
      <ns0:c r="Q6" s="2">
        <ns0:f>SUM(O6:P6)</ns0:f>
        <ns0:v/>
      </ns0:c>
      <ns0:c r="R6" s="2">
        <ns0:f>+Q6/G6</ns0:f>
        <ns0:v/>
      </ns0:c>
      <ns0:c r="S6" s="2" t="n">
        <ns0:v>4</ns0:v>
      </ns0:c>
      <ns0:c r="T6" s="2" t="n">
        <ns0:v>4</ns0:v>
      </ns0:c>
      <ns0:c r="U6" s="2">
        <ns0:f>SUM(S6:T6)</ns0:f>
        <ns0:v/>
      </ns0:c>
      <ns0:c r="V6" s="2">
        <ns0:f>+U6/G6</ns0:f>
        <ns0:v/>
      </ns0:c>
    </ns0:row>
    <ns0:row r="7" ht="54.75" customHeight="1">
      <ns0:c r="I7" s="2">
        <ns0:f>+I6/Q6</ns0:f>
        <ns0:v/>
      </ns0:c>
      <ns0:c r="J7" s="2">
        <ns0:f>+J6/Q6</ns0:f>
        <ns0:v/>
      </ns0:c>
      <ns0:c r="K7" s="2">
        <ns0:f>+K6/Q6</ns0:f>
        <ns0:v/>
      </ns0:c>
      <ns0:c r="L7" s="2">
        <ns0:f>+L6/Q6</ns0:f>
        <ns0:v/>
      </ns0:c>
      <ns0:c r="O7" s="2">
        <ns0:f>+O6/Q6</ns0:f>
        <ns0:v/>
      </ns0:c>
      <ns0:c r="P7" s="2">
        <ns0:f>+P6/Q6</ns0:f>
        <ns0:v/>
      </ns0:c>
      <ns0:c r="S7" s="2" t="n">
        <ns0:v>0</ns0:v>
      </ns0:c>
      <ns0:c r="T7" s="2" t="n">
        <ns0:v>0</ns0:v>
      </ns0:c>
    </ns0:row>
    <ns0:row r="8" ht="54.75" customHeight="1">
      <ns0:c r="C8" s="2" t="inlineStr">
        <ns0:is>
          <ns0:t>Normal</ns0:t>
        </ns0:is>
      </ns0:c>
      <ns0:c r="G8" s="2" t="n">
        <ns0:v>120</ns0:v>
      </ns0:c>
      <ns0:c r="H8" s="2">
        <ns0:f>+G8-Q8</ns0:f>
        <ns0:v/>
      </ns0:c>
      <ns0:c r="I8" s="2" t="n">
        <ns0:v>0</ns0:v>
      </ns0:c>
      <ns0:c r="J8" s="2" t="n">
        <ns0:v>0</ns0:v>
      </ns0:c>
      <ns0:c r="K8" s="2" t="n">
        <ns0:v>0</ns0:v>
      </ns0:c>
      <ns0:c r="L8" s="2" t="n">
        <ns0:v>0</ns0:v>
      </ns0:c>
      <ns0:c r="M8" s="2">
        <ns0:f>SUM(I8:L8)</ns0:f>
        <ns0:v/>
      </ns0:c>
      <ns0:c r="N8" s="2">
        <ns0:f>+M8/G8</ns0:f>
        <ns0:v/>
      </ns0:c>
      <ns0:c r="O8" s="2" t="n">
        <ns0:v>17</ns0:v>
      </ns0:c>
      <ns0:c r="P8" s="2" t="n">
        <ns0:v>22</ns0:v>
      </ns0:c>
      <ns0:c r="Q8" s="2">
        <ns0:f>SUM(O8:P8)</ns0:f>
        <ns0:v/>
      </ns0:c>
      <ns0:c r="R8" s="2">
        <ns0:f>+Q8/G8</ns0:f>
        <ns0:v/>
      </ns0:c>
      <ns0:c r="S8" s="2" t="n">
        <ns0:v>5</ns0:v>
      </ns0:c>
      <ns0:c r="T8" s="2" t="n">
        <ns0:v>2</ns0:v>
      </ns0:c>
      <ns0:c r="U8" s="23">
        <ns0:f>SUM(S8:T8)</ns0:f>
        <ns0:v/>
      </ns0:c>
      <ns0:c r="V8" s="2">
        <ns0:f>+U8/G8</ns0:f>
        <ns0:v/>
      </ns0:c>
    </ns0:row>
    <ns0:row r="9" ht="54.75" customHeight="1">
      <ns0:c r="I9" s="2">
        <ns0:f>+I8/Q8</ns0:f>
        <ns0:v/>
      </ns0:c>
      <ns0:c r="J9" s="2">
        <ns0:f>+J8/Q8</ns0:f>
        <ns0:v/>
      </ns0:c>
      <ns0:c r="K9" s="26">
        <ns0:f>+K8/Q8</ns0:f>
        <ns0:v/>
      </ns0:c>
      <ns0:c r="L9" s="2">
        <ns0:f>+L8/Q8</ns0:f>
        <ns0:v/>
      </ns0:c>
      <ns0:c r="O9" s="2">
        <ns0:f>+O8/Q8</ns0:f>
        <ns0:v/>
      </ns0:c>
      <ns0:c r="P9" s="2">
        <ns0:f>+P8/Q8</ns0:f>
        <ns0:v/>
      </ns0:c>
      <ns0:c r="S9" s="2" t="n">
        <ns0:v>0</ns0:v>
      </ns0:c>
      <ns0:c r="T9" s="2" t="n">
        <ns0:v>0</ns0:v>
      </ns0:c>
    </ns0:row>
  </ns0:sheetData>
  <ns0:mergeCells count="1">
    <ns0:mergeCell ref="U8:U9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14.13" customWidth="1" min="3" max="3"/>
    <ns0:col width="14.13" customWidth="1" min="4" max="4"/>
    <ns0:col width="14.13" customWidth="1" min="5" max="5"/>
    <ns0:col width="14.13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</ns0:cols>
  <ns0:sheetData>
    <ns0:row r="3" ht="20.25" customHeight="1">
      <ns0:c r="B3" s="2" t="inlineStr">
        <ns0:is>
          <ns0:t xml:space="preserve">RESULT CHECK FUNCTION </ns0:t>
        </ns0:is>
      </ns0:c>
    </ns0:row>
    <ns0:row r="4" ht="35.25" customHeight="1">
      <ns0:c r="B4" s="2" t="inlineStr">
        <ns0:is>
          <ns0:t>Date</ns0:t>
        </ns0:is>
      </ns0:c>
      <ns0:c r="C4" s="2" t="inlineStr">
        <ns0:is>
          <ns0:t xml:space="preserve">Condition test </ns0:t>
        </ns0:is>
      </ns0:c>
      <ns0:c r="G4" s="2" t="inlineStr">
        <ns0:is>
          <ns0:t xml:space="preserve">Input </ns0:t>
        </ns0:is>
      </ns0:c>
      <ns0:c r="H4" s="2" t="inlineStr">
        <ns0:is>
          <ns0:t xml:space="preserve">OK </ns0:t>
        </ns0:is>
      </ns0:c>
      <ns0:c r="I4" s="2" t="inlineStr">
        <ns0:is>
          <ns0:t xml:space="preserve">Sigma </ns0:t>
        </ns0:is>
      </ns0:c>
      <ns0:c r="O4" s="2" t="inlineStr">
        <ns0:is>
          <ns0:t xml:space="preserve">Hearing  ( + 1V ) </ns0:t>
        </ns0:is>
      </ns0:c>
      <ns0:c r="S4" s="2" t="inlineStr">
        <ns0:is>
          <ns0:t xml:space="preserve">Hearing  ( + 0V ) </ns0:t>
        </ns0:is>
      </ns0:c>
    </ns0:row>
    <ns0:row r="5" ht="35.25" customHeight="1">
      <ns0:c r="I5" s="2" t="inlineStr">
        <ns0:is>
          <ns0:t xml:space="preserve">SPL </ns0:t>
        </ns0:is>
      </ns0:c>
      <ns0:c r="J5" s="2" t="inlineStr">
        <ns0:is>
          <ns0:t xml:space="preserve">THD </ns0:t>
        </ns0:is>
      </ns0:c>
      <ns0:c r="K5" s="2" t="inlineStr">
        <ns0:is>
          <ns0:t xml:space="preserve">SPL+THD </ns0:t>
        </ns0:is>
      </ns0:c>
      <ns0:c r="L5" s="2" t="inlineStr">
        <ns0:is>
          <ns0:t>SPL+THD+F0</ns0:t>
        </ns0:is>
      </ns0:c>
      <ns0:c r="M5" s="2" t="inlineStr">
        <ns0:is>
          <ns0:t>Total NG</ns0:t>
        </ns0:is>
      </ns0:c>
      <ns0:c r="N5" s="2" t="inlineStr">
        <ns0:is>
          <ns0:t>NG Rate</ns0:t>
        </ns0:is>
      </ns0:c>
      <ns0:c r="O5" s="2" t="inlineStr">
        <ns0:is>
          <ns0:t xml:space="preserve">Noise </ns0:t>
        </ns0:is>
      </ns0:c>
      <ns0:c r="P5" s="2" t="inlineStr">
        <ns0:is>
          <ns0:t xml:space="preserve">Touch </ns0:t>
        </ns0:is>
      </ns0:c>
      <ns0:c r="Q5" s="2" t="inlineStr">
        <ns0:is>
          <ns0:t>Total NG</ns0:t>
        </ns0:is>
      </ns0:c>
      <ns0:c r="R5" s="2" t="inlineStr">
        <ns0:is>
          <ns0:t>NG Rate</ns0:t>
        </ns0:is>
      </ns0:c>
      <ns0:c r="S5" s="2" t="inlineStr">
        <ns0:is>
          <ns0:t xml:space="preserve">Noise </ns0:t>
        </ns0:is>
      </ns0:c>
      <ns0:c r="T5" s="2" t="inlineStr">
        <ns0:is>
          <ns0:t xml:space="preserve">Touch </ns0:t>
        </ns0:is>
      </ns0:c>
      <ns0:c r="U5" s="2" t="inlineStr">
        <ns0:is>
          <ns0:t>Total NG</ns0:t>
        </ns0:is>
      </ns0:c>
      <ns0:c r="V5" s="2" t="inlineStr">
        <ns0:is>
          <ns0:t>NG Rate</ns0:t>
        </ns0:is>
      </ns0:c>
    </ns0:row>
    <ns0:row r="6" ht="54.75" customHeight="1">
      <ns0:c r="B6" s="27" t="n">
        <ns0:v>45714</ns0:v>
      </ns0:c>
      <ns0:c r="C6" s="2" t="inlineStr">
        <ns0:is>
          <ns0:t>Test reduce Led UV Coil+SP from 8s-&gt;6s</ns0:t>
        </ns0:is>
      </ns0:c>
      <ns0:c r="G6" s="2" t="n">
        <ns0:v>274</ns0:v>
      </ns0:c>
      <ns0:c r="H6" s="2">
        <ns0:f>+G6-Q6</ns0:f>
        <ns0:v/>
      </ns0:c>
      <ns0:c r="I6" s="2" t="n">
        <ns0:v>0</ns0:v>
      </ns0:c>
      <ns0:c r="J6" s="2" t="n">
        <ns0:v>3</ns0:v>
      </ns0:c>
      <ns0:c r="K6" s="2" t="n">
        <ns0:v>0</ns0:v>
      </ns0:c>
      <ns0:c r="L6" s="2" t="n">
        <ns0:v>0</ns0:v>
      </ns0:c>
      <ns0:c r="M6" s="2">
        <ns0:f>SUM(I6:L6)</ns0:f>
        <ns0:v/>
      </ns0:c>
      <ns0:c r="N6" s="2">
        <ns0:f>+M6/G6</ns0:f>
        <ns0:v/>
      </ns0:c>
      <ns0:c r="O6" s="2" t="n">
        <ns0:v>22</ns0:v>
      </ns0:c>
      <ns0:c r="P6" s="2" t="n">
        <ns0:v>9</ns0:v>
      </ns0:c>
      <ns0:c r="Q6" s="2">
        <ns0:f>SUM(O6:P6)</ns0:f>
        <ns0:v/>
      </ns0:c>
      <ns0:c r="R6" s="2">
        <ns0:f>+Q6/G6</ns0:f>
        <ns0:v/>
      </ns0:c>
      <ns0:c r="S6" s="2" t="n">
        <ns0:v>4</ns0:v>
      </ns0:c>
      <ns0:c r="T6" s="2" t="n">
        <ns0:v>3</ns0:v>
      </ns0:c>
      <ns0:c r="U6" s="2">
        <ns0:f>SUM(S6:T6)</ns0:f>
        <ns0:v/>
      </ns0:c>
      <ns0:c r="V6" s="2">
        <ns0:f>+U6/G6</ns0:f>
        <ns0:v/>
      </ns0:c>
    </ns0:row>
    <ns0:row r="7" ht="54.75" customHeight="1">
      <ns0:c r="I7" s="2">
        <ns0:f>+I6/Q6</ns0:f>
        <ns0:v/>
      </ns0:c>
      <ns0:c r="J7" s="2">
        <ns0:f>+J6/Q6</ns0:f>
        <ns0:v/>
      </ns0:c>
      <ns0:c r="K7" s="2">
        <ns0:f>+K6/Q6</ns0:f>
        <ns0:v/>
      </ns0:c>
      <ns0:c r="L7" s="2">
        <ns0:f>+L6/Q6</ns0:f>
        <ns0:v/>
      </ns0:c>
      <ns0:c r="O7" s="2">
        <ns0:f>+O6/Q6</ns0:f>
        <ns0:v/>
      </ns0:c>
      <ns0:c r="P7" s="2">
        <ns0:f>+P6/Q6</ns0:f>
        <ns0:v/>
      </ns0:c>
      <ns0:c r="S7" s="2" t="n">
        <ns0:v>0</ns0:v>
      </ns0:c>
      <ns0:c r="T7" s="2" t="n">
        <ns0:v>0</ns0:v>
      </ns0:c>
    </ns0:row>
    <ns0:row r="8" ht="54.75" customHeight="1">
      <ns0:c r="C8" s="2" t="inlineStr">
        <ns0:is>
          <ns0:t>Normal ( Led UV Coil+SP 8s)</ns0:t>
        </ns0:is>
      </ns0:c>
      <ns0:c r="G8" s="2" t="n">
        <ns0:v>300</ns0:v>
      </ns0:c>
      <ns0:c r="H8" s="2">
        <ns0:f>+G8-Q8</ns0:f>
        <ns0:v/>
      </ns0:c>
      <ns0:c r="I8" s="2" t="n">
        <ns0:v>0</ns0:v>
      </ns0:c>
      <ns0:c r="J8" s="2" t="n">
        <ns0:v>0</ns0:v>
      </ns0:c>
      <ns0:c r="K8" s="2" t="n">
        <ns0:v>0</ns0:v>
      </ns0:c>
      <ns0:c r="L8" s="2" t="n">
        <ns0:v>0</ns0:v>
      </ns0:c>
      <ns0:c r="M8" s="2">
        <ns0:f>SUM(I8:L8)</ns0:f>
        <ns0:v/>
      </ns0:c>
      <ns0:c r="N8" s="2">
        <ns0:f>+M8/G8</ns0:f>
        <ns0:v/>
      </ns0:c>
      <ns0:c r="O8" s="2" t="n">
        <ns0:v>14</ns0:v>
      </ns0:c>
      <ns0:c r="P8" s="2" t="n">
        <ns0:v>32</ns0:v>
      </ns0:c>
      <ns0:c r="Q8" s="2">
        <ns0:f>SUM(O8:P8)</ns0:f>
        <ns0:v/>
      </ns0:c>
      <ns0:c r="R8" s="2">
        <ns0:f>+Q8/G8</ns0:f>
        <ns0:v/>
      </ns0:c>
      <ns0:c r="S8" s="2" t="n">
        <ns0:v>2</ns0:v>
      </ns0:c>
      <ns0:c r="T8" s="2" t="n">
        <ns0:v>5</ns0:v>
      </ns0:c>
      <ns0:c r="U8" s="23">
        <ns0:f>SUM(S8:T8)</ns0:f>
        <ns0:v/>
      </ns0:c>
      <ns0:c r="V8" s="2">
        <ns0:f>+U8/G8</ns0:f>
        <ns0:v/>
      </ns0:c>
    </ns0:row>
    <ns0:row r="9" ht="54.75" customHeight="1">
      <ns0:c r="I9" s="2">
        <ns0:f>+I8/Q8</ns0:f>
        <ns0:v/>
      </ns0:c>
      <ns0:c r="J9" s="2">
        <ns0:f>+J8/Q8</ns0:f>
        <ns0:v/>
      </ns0:c>
      <ns0:c r="K9" s="26">
        <ns0:f>+K8/Q8</ns0:f>
        <ns0:v/>
      </ns0:c>
      <ns0:c r="L9" s="2">
        <ns0:f>+L8/Q8</ns0:f>
        <ns0:v/>
      </ns0:c>
      <ns0:c r="O9" s="2">
        <ns0:f>+O8/Q8</ns0:f>
        <ns0:v/>
      </ns0:c>
      <ns0:c r="P9" s="2">
        <ns0:f>+P8/Q8</ns0:f>
        <ns0:v/>
      </ns0:c>
      <ns0:c r="S9" s="2" t="n">
        <ns0:v>0</ns0:v>
      </ns0:c>
      <ns0:c r="T9" s="2" t="n">
        <ns0:v>0</ns0:v>
      </ns0:c>
    </ns0:row>
  </ns0:sheetData>
  <ns0:mergeCells count="1">
    <ns0:mergeCell ref="U8:U9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A1:T5"/>
  <ns0:sheetViews>
    <ns0:sheetView workbookViewId="0">
      <ns0:selection activeCell="A1" sqref="A1"/>
    </ns0:sheetView>
  </ns0:sheetViews>
  <ns0:sheetFormatPr baseColWidth="8" defaultRowHeight="15"/>
  <ns0:cols>
    <ns0:col width="9.630000000000001" customWidth="1" min="1" max="1"/>
    <ns0:col width="12.75" customWidth="1" min="2" max="2"/>
    <ns0:col width="12.75" customWidth="1" min="3" max="3"/>
    <ns0:col width="12.75" customWidth="1" min="4" max="4"/>
    <ns0:col width="12.75" customWidth="1" min="5" max="5"/>
    <ns0:col width="9.5" customWidth="1" min="6" max="6"/>
    <ns0:col width="9.5" customWidth="1" min="7" max="7"/>
    <ns0:col width="9.5" customWidth="1" min="8" max="8"/>
    <ns0:col width="9.5" customWidth="1" min="9" max="9"/>
    <ns0:col width="9.5" customWidth="1" min="10" max="10"/>
    <ns0:col width="9.5" customWidth="1" min="11" max="11"/>
    <ns0:col width="9.5" customWidth="1" min="12" max="12"/>
    <ns0:col width="9.5" customWidth="1" min="13" max="13"/>
    <ns0:col width="9.5" customWidth="1" min="14" max="14"/>
    <ns0:col width="9.5" customWidth="1" min="15" max="15"/>
    <ns0:col width="9.5" customWidth="1" min="16" max="16"/>
    <ns0:col width="9.5" customWidth="1" min="17" max="17"/>
    <ns0:col width="9.5" customWidth="1" min="18" max="18"/>
    <ns0:col width="9.5" customWidth="1" min="19" max="19"/>
    <ns0:col width="9.5" customWidth="1" min="20" max="20"/>
  </ns0:cols>
  <ns0:sheetData>
    <ns0:row r="1" ht="26.25" customHeight="1">
      <ns0:c r="A1" s="28" t="inlineStr">
        <ns0:is>
          <ns0:t xml:space="preserve">RESULT CHECKING FUNCTION </ns0:t>
        </ns0:is>
      </ns0:c>
    </ns0:row>
    <ns0:row r="2" ht="20.25" customHeight="1">
      <ns0:c r="A2" s="28" t="inlineStr">
        <ns0:is>
          <ns0:t>Date</ns0:t>
        </ns0:is>
      </ns0:c>
      <ns0:c r="B2" s="28" t="inlineStr">
        <ns0:is>
          <ns0:t>Condition test</ns0:t>
        </ns0:is>
      </ns0:c>
      <ns0:c r="F2" s="28" t="inlineStr">
        <ns0:is>
          <ns0:t>Input</ns0:t>
        </ns0:is>
      </ns0:c>
      <ns0:c r="G2" s="28" t="inlineStr">
        <ns0:is>
          <ns0:t>OK</ns0:t>
        </ns0:is>
      </ns0:c>
      <ns0:c r="H2" s="28" t="inlineStr">
        <ns0:is>
          <ns0:t>Sigma</ns0:t>
        </ns0:is>
      </ns0:c>
      <ns0:c r="N2" s="28" t="inlineStr">
        <ns0:is>
          <ns0:t>Hearing (+1V)</ns0:t>
        </ns0:is>
      </ns0:c>
      <ns0:c r="R2" s="28" t="inlineStr">
        <ns0:is>
          <ns0:t>Hearing (+0V)</ns0:t>
        </ns0:is>
      </ns0:c>
    </ns0:row>
    <ns0:row r="3" ht="40.5" customHeight="1">
      <ns0:c r="B3" s="28" t="inlineStr">
        <ns0:is>
          <ns0:t>VP type</ns0:t>
        </ns0:is>
      </ns0:c>
      <ns0:c r="C3" s="28" t="inlineStr">
        <ns0:is>
          <ns0:t>VP fiml</ns0:t>
        </ns0:is>
      </ns0:c>
      <ns0:c r="D3" s="28" t="inlineStr">
        <ns0:is>
          <ns0:t>VP mold</ns0:t>
        </ns0:is>
      </ns0:c>
      <ns0:c r="E3" s="28" t="inlineStr">
        <ns0:is>
          <ns0:t>Cutting</ns0:t>
        </ns0:is>
      </ns0:c>
      <ns0:c r="H3" s="28" t="inlineStr">
        <ns0:is>
          <ns0:t>SPL</ns0:t>
        </ns0:is>
      </ns0:c>
      <ns0:c r="I3" s="28" t="inlineStr">
        <ns0:is>
          <ns0:t>THD</ns0:t>
        </ns0:is>
      </ns0:c>
      <ns0:c r="J3" s="28" t="inlineStr">
        <ns0:is>
          <ns0:t>SPL+THD</ns0:t>
        </ns0:is>
      </ns0:c>
      <ns0:c r="K3" s="28" t="inlineStr">
        <ns0:is>
          <ns0:t>SPL+THD+F0</ns0:t>
        </ns0:is>
      </ns0:c>
      <ns0:c r="L3" s="28" t="inlineStr">
        <ns0:is>
          <ns0:t>Total NG</ns0:t>
        </ns0:is>
      </ns0:c>
      <ns0:c r="M3" s="28" t="inlineStr">
        <ns0:is>
          <ns0:t>NG rate</ns0:t>
        </ns0:is>
      </ns0:c>
      <ns0:c r="N3" s="28" t="inlineStr">
        <ns0:is>
          <ns0:t>Input</ns0:t>
        </ns0:is>
      </ns0:c>
      <ns0:c r="O3" s="28" t="inlineStr">
        <ns0:is>
          <ns0:t>Noise</ns0:t>
        </ns0:is>
      </ns0:c>
      <ns0:c r="P3" s="28" t="inlineStr">
        <ns0:is>
          <ns0:t>Touch</ns0:t>
        </ns0:is>
      </ns0:c>
      <ns0:c r="Q3" s="28" t="inlineStr">
        <ns0:is>
          <ns0:t>NG rate</ns0:t>
        </ns0:is>
      </ns0:c>
      <ns0:c r="R3" s="28" t="inlineStr">
        <ns0:is>
          <ns0:t>Noise</ns0:t>
        </ns0:is>
      </ns0:c>
      <ns0:c r="S3" s="28" t="inlineStr">
        <ns0:is>
          <ns0:t>Touch</ns0:t>
        </ns0:is>
      </ns0:c>
      <ns0:c r="T3" s="28" t="inlineStr">
        <ns0:is>
          <ns0:t>NG rate</ns0:t>
        </ns0:is>
      </ns0:c>
    </ns0:row>
    <ns0:row r="4" ht="20.25" customHeight="1">
      <ns0:c r="A4" s="29" t="n">
        <ns0:v>45714</ns0:v>
      </ns0:c>
      <ns0:c r="B4" s="28" t="inlineStr">
        <ns0:is>
          <ns0:t>A</ns0:t>
        </ns0:is>
      </ns0:c>
      <ns0:c r="C4" s="28" t="n">
        <ns0:v>201507</ns0:v>
      </ns0:c>
      <ns0:c r="D4" s="28" t="n">
        <ns0:v>201506</ns0:v>
      </ns0:c>
      <ns0:c r="E4" s="28" t="n">
        <ns0:v>201507</ns0:v>
      </ns0:c>
      <ns0:c r="F4" s="28" t="n">
        <ns0:v>24</ns0:v>
      </ns0:c>
      <ns0:c r="G4" s="28" t="n">
        <ns0:v>18</ns0:v>
      </ns0:c>
      <ns0:c r="H4" s="28" t="n">
        <ns0:v>0</ns0:v>
      </ns0:c>
      <ns0:c r="I4" s="28" t="n">
        <ns0:v>0</ns0:v>
      </ns0:c>
      <ns0:c r="J4" s="28" t="n">
        <ns0:v>0</ns0:v>
      </ns0:c>
      <ns0:c r="K4" s="28" t="n">
        <ns0:v>0</ns0:v>
      </ns0:c>
      <ns0:c r="L4" s="28">
        <ns0:f>SUM(H4:K4)</ns0:f>
        <ns0:v/>
      </ns0:c>
      <ns0:c r="M4" s="28">
        <ns0:f>L4/F4</ns0:f>
        <ns0:v/>
      </ns0:c>
      <ns0:c r="N4" s="28" t="n">
        <ns0:v>24</ns0:v>
      </ns0:c>
      <ns0:c r="O4" s="28" t="n">
        <ns0:v>4</ns0:v>
      </ns0:c>
      <ns0:c r="P4" s="28" t="n">
        <ns0:v>2</ns0:v>
      </ns0:c>
      <ns0:c r="Q4" s="28">
        <ns0:f>SUM(O4:P4)/N4</ns0:f>
        <ns0:v/>
      </ns0:c>
      <ns0:c r="R4" s="28" t="n">
        <ns0:v>3</ns0:v>
      </ns0:c>
      <ns0:c r="S4" s="28" t="n">
        <ns0:v>0</ns0:v>
      </ns0:c>
      <ns0:c r="T4" s="28">
        <ns0:f>SUM(R4:S4)/N4</ns0:f>
        <ns0:v/>
      </ns0:c>
    </ns0:row>
    <ns0:row r="5" ht="20.25" customHeight="1">
      <ns0:c r="B5" s="28" t="inlineStr">
        <ns0:is>
          <ns0:t>B</ns0:t>
        </ns0:is>
      </ns0:c>
      <ns0:c r="C5" s="28" t="n">
        <ns0:v>201506</ns0:v>
      </ns0:c>
      <ns0:c r="D5" s="28" t="n">
        <ns0:v>201506</ns0:v>
      </ns0:c>
      <ns0:c r="E5" s="28" t="n">
        <ns0:v>201506</ns0:v>
      </ns0:c>
      <ns0:c r="F5" s="28" t="n">
        <ns0:v>24</ns0:v>
      </ns0:c>
      <ns0:c r="G5" s="28" t="n">
        <ns0:v>22</ns0:v>
      </ns0:c>
      <ns0:c r="H5" s="28" t="n">
        <ns0:v>0</ns0:v>
      </ns0:c>
      <ns0:c r="I5" s="28" t="n">
        <ns0:v>0</ns0:v>
      </ns0:c>
      <ns0:c r="J5" s="28" t="n">
        <ns0:v>0</ns0:v>
      </ns0:c>
      <ns0:c r="K5" s="28" t="n">
        <ns0:v>0</ns0:v>
      </ns0:c>
      <ns0:c r="L5" s="28" t="n">
        <ns0:v>0</ns0:v>
      </ns0:c>
      <ns0:c r="M5" s="28">
        <ns0:f>L5/F5</ns0:f>
        <ns0:v/>
      </ns0:c>
      <ns0:c r="N5" s="28" t="n">
        <ns0:v>24</ns0:v>
      </ns0:c>
      <ns0:c r="O5" s="28" t="n">
        <ns0:v>2</ns0:v>
      </ns0:c>
      <ns0:c r="P5" s="28" t="n">
        <ns0:v>0</ns0:v>
      </ns0:c>
      <ns0:c r="Q5" s="28">
        <ns0:f>SUM(O5:P5)/N5</ns0:f>
        <ns0:v/>
      </ns0:c>
      <ns0:c r="R5" s="28" t="n">
        <ns0:v>2</ns0:v>
      </ns0:c>
      <ns0:c r="S5" s="28" t="n">
        <ns0:v>0</ns0:v>
      </ns0:c>
      <ns0:c r="T5" s="28">
        <ns0:f>SUM(R5:S5)/N5</ns0:f>
        <ns0:v/>
      </ns0:c>
    </ns0:row>
  </ns0:sheetData>
  <ns0:pageMargins left="0.75" right="0.75" top="1" bottom="1" header="0.5" footer="0.5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B3:W43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23.38" customWidth="1" min="3" max="3"/>
    <ns0:col width="23.38" customWidth="1" min="4" max="4"/>
    <ns0:col width="23.38" customWidth="1" min="5" max="5"/>
    <ns0:col width="24" customWidth="1" min="6" max="6"/>
    <ns0:col width="15" customWidth="1" min="7" max="7"/>
    <ns0:col width="15" customWidth="1" min="8" max="8"/>
    <ns0:col width="15" customWidth="1" min="9" max="9"/>
    <ns0:col width="15" customWidth="1" min="10" max="10"/>
    <ns0:col width="15" customWidth="1" min="11" max="11"/>
    <ns0:col width="15" customWidth="1" min="12" max="12"/>
    <ns0:col width="15" customWidth="1" min="13" max="13"/>
    <ns0:col width="15" customWidth="1" min="14" max="14"/>
    <ns0:col width="15" customWidth="1" min="15" max="15"/>
    <ns0:col width="15" customWidth="1" min="16" max="16"/>
    <ns0:col width="15" customWidth="1" min="17" max="17"/>
    <ns0:col width="15" customWidth="1" min="18" max="18"/>
    <ns0:col width="15" customWidth="1" min="19" max="19"/>
    <ns0:col width="15" customWidth="1" min="20" max="20"/>
    <ns0:col width="15" customWidth="1" min="21" max="21"/>
    <ns0:col width="15" customWidth="1" min="22" max="22"/>
    <ns0:col width="13.25" customWidth="1" min="23" max="23"/>
  </ns0:cols>
  <ns0:sheetData>
    <ns0:row r="3" ht="20.25" customHeight="1">
      <ns0:c r="B3" s="21" t="inlineStr">
        <ns0:is>
          <ns0:t>RESULT CHECK FUNCTION OF LOT TEST  NEW FRAME CHANGE BONDING AMOUNT COIL+CD, COIL, YOKE IMPROVE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 xml:space="preserve">Condition test </ns0:t>
        </ns0:is>
      </ns0:c>
      <ns0:c r="G4" s="21" t="inlineStr">
        <ns0:is>
          <ns0:t xml:space="preserve">Input </ns0:t>
        </ns0:is>
      </ns0:c>
      <ns0:c r="H4" s="21" t="inlineStr">
        <ns0:is>
          <ns0:t xml:space="preserve">OK </ns0:t>
        </ns0:is>
      </ns0:c>
      <ns0:c r="I4" s="21" t="inlineStr">
        <ns0:is>
          <ns0:t xml:space="preserve">Sigma </ns0:t>
        </ns0:is>
      </ns0:c>
      <ns0:c r="O4" s="21" t="inlineStr">
        <ns0:is>
          <ns0:t xml:space="preserve">Hearing  ( + 1V ) </ns0:t>
        </ns0:is>
      </ns0:c>
      <ns0:c r="S4" s="21" t="inlineStr">
        <ns0:is>
          <ns0:t xml:space="preserve">Hearing  ( + 0V ) </ns0:t>
        </ns0:is>
      </ns0:c>
    </ns0:row>
    <ns0:row r="5" ht="35.25" customHeight="1">
      <ns0:c r="C5" s="21" t="inlineStr">
        <ns0:is>
          <ns0:t>Bonding</ns0:t>
        </ns0:is>
      </ns0:c>
      <ns0:c r="D5" s="21" t="inlineStr">
        <ns0:is>
          <ns0:t>AWF machine</ns0:t>
        </ns0:is>
      </ns0:c>
      <ns0:c r="E5" s="21" t="inlineStr">
        <ns0:is>
          <ns0:t xml:space="preserve">Frame </ns0:t>
        </ns0:is>
      </ns0:c>
      <ns0:c r="F5" s="21" t="inlineStr">
        <ns0:is>
          <ns0:t>Yoke</ns0:t>
        </ns0:is>
      </ns0:c>
      <ns0:c r="I5" s="21" t="inlineStr">
        <ns0:is>
          <ns0:t xml:space="preserve">SPL </ns0:t>
        </ns0:is>
      </ns0:c>
      <ns0:c r="J5" s="21" t="inlineStr">
        <ns0:is>
          <ns0:t xml:space="preserve">THD </ns0:t>
        </ns0:is>
      </ns0:c>
      <ns0:c r="K5" s="21" t="inlineStr">
        <ns0:is>
          <ns0:t xml:space="preserve">SPL+THD </ns0:t>
        </ns0:is>
      </ns0:c>
      <ns0:c r="L5" s="21" t="inlineStr">
        <ns0:is>
          <ns0:t>SPL+THD+F0</ns0:t>
        </ns0:is>
      </ns0:c>
      <ns0:c r="M5" s="21" t="inlineStr">
        <ns0:is>
          <ns0:t>Total NG</ns0:t>
        </ns0:is>
      </ns0:c>
      <ns0:c r="N5" s="21" t="inlineStr">
        <ns0:is>
          <ns0:t>NG Rate</ns0:t>
        </ns0:is>
      </ns0:c>
      <ns0:c r="O5" s="21" t="inlineStr">
        <ns0:is>
          <ns0:t xml:space="preserve">Noise </ns0:t>
        </ns0:is>
      </ns0:c>
      <ns0:c r="P5" s="21" t="inlineStr">
        <ns0:is>
          <ns0:t xml:space="preserve">Touch </ns0:t>
        </ns0:is>
      </ns0:c>
      <ns0:c r="Q5" s="21" t="inlineStr">
        <ns0:is>
          <ns0:t>Total NG</ns0:t>
        </ns0:is>
      </ns0:c>
      <ns0:c r="R5" s="21" t="inlineStr">
        <ns0:is>
          <ns0:t>NG Rate</ns0:t>
        </ns0:is>
      </ns0:c>
      <ns0:c r="S5" s="21" t="inlineStr">
        <ns0:is>
          <ns0:t xml:space="preserve">Noise </ns0:t>
        </ns0:is>
      </ns0:c>
      <ns0:c r="T5" s="21" t="inlineStr">
        <ns0:is>
          <ns0:t xml:space="preserve">Touch </ns0:t>
        </ns0:is>
      </ns0:c>
      <ns0:c r="U5" s="21" t="inlineStr">
        <ns0:is>
          <ns0:t>Total NG</ns0:t>
        </ns0:is>
      </ns0:c>
      <ns0:c r="V5" s="21" t="inlineStr">
        <ns0:is>
          <ns0:t>NG Rate</ns0:t>
        </ns0:is>
      </ns0:c>
    </ns0:row>
    <ns0:row r="6">
      <ns0:c r="B6" s="22" t="n">
        <ns0:v>45709</ns0:v>
      </ns0:c>
      <ns0:c r="C6" s="21" t="inlineStr">
        <ns0:is>
          <ns0:t>Bonding CD + Coil amount 1.8~2.0mg</ns0:t>
        </ns0:is>
      </ns0:c>
      <ns0:c r="D6" s="21" t="inlineStr">
        <ns0:is>
          <ns0:t xml:space="preserve">AWF MC : #3 , 4 , 5 </ns0:t>
        </ns0:is>
      </ns0:c>
      <ns0:c r="E6" s="21" t="inlineStr">
        <ns0:is>
          <ns0:t>Frame normal</ns0:t>
        </ns0:is>
      </ns0:c>
      <ns0:c r="F6" s="21" t="inlineStr">
        <ns0:is>
          <ns0:t xml:space="preserve">Yoke normal </ns0:t>
        </ns0:is>
      </ns0:c>
      <ns0:c r="G6" s="21" t="n">
        <ns0:v>172</ns0:v>
      </ns0:c>
      <ns0:c r="H6" s="21">
        <ns0:f>+G6-Q6</ns0:f>
        <ns0:v/>
      </ns0:c>
      <ns0:c r="I6" s="21" t="n">
        <ns0:v>0</ns0:v>
      </ns0:c>
      <ns0:c r="J6" s="21" t="n">
        <ns0:v>0</ns0:v>
      </ns0:c>
      <ns0:c r="K6" s="21" t="n">
        <ns0:v>0</ns0:v>
      </ns0:c>
      <ns0:c r="L6" s="21" t="n">
        <ns0:v>0</ns0:v>
      </ns0:c>
      <ns0:c r="M6" s="21">
        <ns0:f>SUM(I6:L6)</ns0:f>
        <ns0:v/>
      </ns0:c>
      <ns0:c r="N6" s="21">
        <ns0:f>+M6/G6</ns0:f>
        <ns0:v/>
      </ns0:c>
      <ns0:c r="O6" s="21" t="n">
        <ns0:v>11</ns0:v>
      </ns0:c>
      <ns0:c r="P6" s="21" t="n">
        <ns0:v>29</ns0:v>
      </ns0:c>
      <ns0:c r="Q6" s="21">
        <ns0:f>SUM(O6:P6)</ns0:f>
        <ns0:v/>
      </ns0:c>
      <ns0:c r="R6" s="21">
        <ns0:f>+Q6/G6</ns0:f>
        <ns0:v/>
      </ns0:c>
      <ns0:c r="S6" s="21" t="n">
        <ns0:v>0</ns0:v>
      </ns0:c>
      <ns0:c r="T6" s="21" t="n">
        <ns0:v>2</ns0:v>
      </ns0:c>
      <ns0:c r="U6" s="21">
        <ns0:f>SUM(S6:T6)</ns0:f>
        <ns0:v/>
      </ns0:c>
      <ns0:c r="V6" s="21">
        <ns0:f>+U6/G6</ns0:f>
        <ns0:v/>
      </ns0:c>
    </ns0:row>
    <ns0:row r="7">
      <ns0:c r="I7" s="21">
        <ns0:f>+I6/Q6</ns0:f>
        <ns0:v/>
      </ns0:c>
      <ns0:c r="J7" s="21">
        <ns0:f>+J6/Q6</ns0:f>
        <ns0:v/>
      </ns0:c>
      <ns0:c r="K7" s="21">
        <ns0:f>+K6/Q6</ns0:f>
        <ns0:v/>
      </ns0:c>
      <ns0:c r="L7" s="21">
        <ns0:f>+L6/Q6</ns0:f>
        <ns0:v/>
      </ns0:c>
      <ns0:c r="O7" s="21">
        <ns0:f>+O6/Q6</ns0:f>
        <ns0:v/>
      </ns0:c>
      <ns0:c r="P7" s="21">
        <ns0:f>+P6/Q6</ns0:f>
        <ns0:v/>
      </ns0:c>
      <ns0:c r="S7" s="21">
        <ns0:f>+S6/U6</ns0:f>
        <ns0:v/>
      </ns0:c>
      <ns0:c r="T7" s="21">
        <ns0:f>+T6/U6</ns0:f>
        <ns0:v/>
      </ns0:c>
    </ns0:row>
    <ns0:row r="8">
      <ns0:c r="D8" s="21" t="inlineStr">
        <ns0:is>
          <ns0:t xml:space="preserve">AWF MC : #3 , 4 , 5 </ns0:t>
        </ns0:is>
      </ns0:c>
      <ns0:c r="E8" s="21" t="inlineStr">
        <ns0:is>
          <ns0:t xml:space="preserve">Frame test </ns0:t>
        </ns0:is>
      </ns0:c>
      <ns0:c r="F8" s="21" t="inlineStr">
        <ns0:is>
          <ns0:t xml:space="preserve">Yoke normal </ns0:t>
        </ns0:is>
      </ns0:c>
      <ns0:c r="G8" s="21" t="n">
        <ns0:v>528</ns0:v>
      </ns0:c>
      <ns0:c r="H8" s="21">
        <ns0:f>+G8-Q8</ns0:f>
        <ns0:v/>
      </ns0:c>
      <ns0:c r="I8" s="21" t="n">
        <ns0:v>0</ns0:v>
      </ns0:c>
      <ns0:c r="J8" s="21" t="n">
        <ns0:v>0</ns0:v>
      </ns0:c>
      <ns0:c r="K8" s="21" t="n">
        <ns0:v>2</ns0:v>
      </ns0:c>
      <ns0:c r="L8" s="21" t="n">
        <ns0:v>0</ns0:v>
      </ns0:c>
      <ns0:c r="M8" s="21">
        <ns0:f>SUM(I8:L8)</ns0:f>
        <ns0:v/>
      </ns0:c>
      <ns0:c r="N8" s="21">
        <ns0:f>+M8/G8</ns0:f>
        <ns0:v/>
      </ns0:c>
      <ns0:c r="O8" s="21" t="n">
        <ns0:v>22</ns0:v>
      </ns0:c>
      <ns0:c r="P8" s="21" t="n">
        <ns0:v>48</ns0:v>
      </ns0:c>
      <ns0:c r="Q8" s="21">
        <ns0:f>SUM(O8:P8)</ns0:f>
        <ns0:v/>
      </ns0:c>
      <ns0:c r="R8" s="21">
        <ns0:f>+Q8/G8</ns0:f>
        <ns0:v/>
      </ns0:c>
      <ns0:c r="S8" s="21" t="n">
        <ns0:v>5</ns0:v>
      </ns0:c>
      <ns0:c r="T8" s="21" t="n">
        <ns0:v>12</ns0:v>
      </ns0:c>
      <ns0:c r="U8" s="21">
        <ns0:f>SUM(S8:T8)</ns0:f>
        <ns0:v/>
      </ns0:c>
      <ns0:c r="V8" s="21">
        <ns0:f>+U8/G8</ns0:f>
        <ns0:v/>
      </ns0:c>
    </ns0:row>
    <ns0:row r="9">
      <ns0:c r="I9" s="21">
        <ns0:f>+I8/Q8</ns0:f>
        <ns0:v/>
      </ns0:c>
      <ns0:c r="J9" s="21">
        <ns0:f>+J8/Q8</ns0:f>
        <ns0:v/>
      </ns0:c>
      <ns0:c r="K9" s="21">
        <ns0:f>+K8/Q8</ns0:f>
        <ns0:v/>
      </ns0:c>
      <ns0:c r="L9" s="21">
        <ns0:f>+L8/Q8</ns0:f>
        <ns0:v/>
      </ns0:c>
      <ns0:c r="O9" s="21">
        <ns0:f>+O8/Q8</ns0:f>
        <ns0:v/>
      </ns0:c>
      <ns0:c r="P9" s="21">
        <ns0:f>+P8/Q8</ns0:f>
        <ns0:v/>
      </ns0:c>
      <ns0:c r="S9" s="21">
        <ns0:f>+S8/U8</ns0:f>
        <ns0:v/>
      </ns0:c>
      <ns0:c r="T9" s="21">
        <ns0:f>+T8/U8</ns0:f>
        <ns0:v/>
      </ns0:c>
    </ns0:row>
    <ns0:row r="10">
      <ns0:c r="D10" s="21" t="inlineStr">
        <ns0:is>
          <ns0:t xml:space="preserve">AWF MC : #4 , 5 </ns0:t>
        </ns0:is>
      </ns0:c>
      <ns0:c r="E10" s="21" t="inlineStr">
        <ns0:is>
          <ns0:t>Frame normal</ns0:t>
        </ns0:is>
      </ns0:c>
      <ns0:c r="F10" s="21" t="inlineStr">
        <ns0:is>
          <ns0:t xml:space="preserve">Yoke normal </ns0:t>
        </ns0:is>
      </ns0:c>
      <ns0:c r="G10" s="21" t="n">
        <ns0:v>120</ns0:v>
      </ns0:c>
      <ns0:c r="H10" s="21">
        <ns0:f>+G10-Q10</ns0:f>
        <ns0:v/>
      </ns0:c>
      <ns0:c r="I10" s="21" t="n">
        <ns0:v>0</ns0:v>
      </ns0:c>
      <ns0:c r="J10" s="21" t="n">
        <ns0:v>4</ns0:v>
      </ns0:c>
      <ns0:c r="K10" s="21" t="n">
        <ns0:v>0</ns0:v>
      </ns0:c>
      <ns0:c r="L10" s="21" t="n">
        <ns0:v>0</ns0:v>
      </ns0:c>
      <ns0:c r="M10" s="21">
        <ns0:f>SUM(I10:L10)</ns0:f>
        <ns0:v/>
      </ns0:c>
      <ns0:c r="N10" s="21">
        <ns0:f>+M10/G10</ns0:f>
        <ns0:v/>
      </ns0:c>
      <ns0:c r="O10" s="21" t="n">
        <ns0:v>25</ns0:v>
      </ns0:c>
      <ns0:c r="P10" s="21" t="n">
        <ns0:v>17</ns0:v>
      </ns0:c>
      <ns0:c r="Q10" s="21">
        <ns0:f>SUM(O10:P10)</ns0:f>
        <ns0:v/>
      </ns0:c>
      <ns0:c r="R10" s="21">
        <ns0:f>+Q10/G10</ns0:f>
        <ns0:v/>
      </ns0:c>
      <ns0:c r="S10" s="21" t="n">
        <ns0:v>0</ns0:v>
      </ns0:c>
      <ns0:c r="T10" s="21" t="n">
        <ns0:v>12</ns0:v>
      </ns0:c>
      <ns0:c r="U10" s="21">
        <ns0:f>SUM(S10:T10)</ns0:f>
        <ns0:v/>
      </ns0:c>
      <ns0:c r="V10" s="21">
        <ns0:f>+U10/G10</ns0:f>
        <ns0:v/>
      </ns0:c>
    </ns0:row>
    <ns0:row r="11">
      <ns0:c r="I11" s="21">
        <ns0:f>+I10/Q10</ns0:f>
        <ns0:v/>
      </ns0:c>
      <ns0:c r="J11" s="21">
        <ns0:f>+J10/Q10</ns0:f>
        <ns0:v/>
      </ns0:c>
      <ns0:c r="K11" s="21">
        <ns0:f>+K10/Q10</ns0:f>
        <ns0:v/>
      </ns0:c>
      <ns0:c r="L11" s="21">
        <ns0:f>+L10/Q10</ns0:f>
        <ns0:v/>
      </ns0:c>
      <ns0:c r="O11" s="21">
        <ns0:f>+O10/Q10</ns0:f>
        <ns0:v/>
      </ns0:c>
      <ns0:c r="P11" s="21">
        <ns0:f>+P10/Q10</ns0:f>
        <ns0:v/>
      </ns0:c>
      <ns0:c r="S11" s="21">
        <ns0:f>+S10/U10</ns0:f>
        <ns0:v/>
      </ns0:c>
      <ns0:c r="T11" s="21">
        <ns0:f>+T10/U10</ns0:f>
        <ns0:v/>
      </ns0:c>
    </ns0:row>
    <ns0:row r="12">
      <ns0:c r="D12" s="21" t="inlineStr">
        <ns0:is>
          <ns0:t xml:space="preserve">AWF MC : #3 ( Coil : 0.096 ) </ns0:t>
        </ns0:is>
      </ns0:c>
      <ns0:c r="E12" s="21" t="inlineStr">
        <ns0:is>
          <ns0:t>Frame normal</ns0:t>
        </ns0:is>
      </ns0:c>
      <ns0:c r="F12" s="21" t="inlineStr">
        <ns0:is>
          <ns0:t xml:space="preserve">Yoke normal </ns0:t>
        </ns0:is>
      </ns0:c>
      <ns0:c r="G12" s="21" t="n">
        <ns0:v>57</ns0:v>
      </ns0:c>
      <ns0:c r="H12" s="21">
        <ns0:f>+G12-Q12</ns0:f>
        <ns0:v/>
      </ns0:c>
      <ns0:c r="I12" s="21" t="n">
        <ns0:v>0</ns0:v>
      </ns0:c>
      <ns0:c r="J12" s="21" t="n">
        <ns0:v>0</ns0:v>
      </ns0:c>
      <ns0:c r="K12" s="21" t="n">
        <ns0:v>0</ns0:v>
      </ns0:c>
      <ns0:c r="L12" s="21" t="n">
        <ns0:v>0</ns0:v>
      </ns0:c>
      <ns0:c r="M12" s="21">
        <ns0:f>SUM(I12:L12)</ns0:f>
        <ns0:v/>
      </ns0:c>
      <ns0:c r="N12" s="21">
        <ns0:f>+M12/G12</ns0:f>
        <ns0:v/>
      </ns0:c>
      <ns0:c r="O12" s="21" t="n">
        <ns0:v>0</ns0:v>
      </ns0:c>
      <ns0:c r="P12" s="21" t="n">
        <ns0:v>9</ns0:v>
      </ns0:c>
      <ns0:c r="Q12" s="21">
        <ns0:f>SUM(O12:P12)</ns0:f>
        <ns0:v/>
      </ns0:c>
      <ns0:c r="R12" s="21">
        <ns0:f>+Q12/G12</ns0:f>
        <ns0:v/>
      </ns0:c>
      <ns0:c r="S12" s="21" t="n">
        <ns0:v>0</ns0:v>
      </ns0:c>
      <ns0:c r="T12" s="21" t="n">
        <ns0:v>0</ns0:v>
      </ns0:c>
      <ns0:c r="U12" s="21">
        <ns0:f>SUM(S12:T12)</ns0:f>
        <ns0:v/>
      </ns0:c>
      <ns0:c r="V12" s="21">
        <ns0:f>+U12/G12</ns0:f>
        <ns0:v/>
      </ns0:c>
    </ns0:row>
    <ns0:row r="13">
      <ns0:c r="I13" s="21">
        <ns0:f>+I12/Q12</ns0:f>
        <ns0:v/>
      </ns0:c>
      <ns0:c r="J13" s="21">
        <ns0:f>+J12/Q12</ns0:f>
        <ns0:v/>
      </ns0:c>
      <ns0:c r="K13" s="21">
        <ns0:f>+K12/Q12</ns0:f>
        <ns0:v/>
      </ns0:c>
      <ns0:c r="L13" s="21">
        <ns0:f>+L12/Q12</ns0:f>
        <ns0:v/>
      </ns0:c>
      <ns0:c r="O13" s="21">
        <ns0:f>+O12/Q12</ns0:f>
        <ns0:v/>
      </ns0:c>
      <ns0:c r="P13" s="21">
        <ns0:f>+P12/Q12</ns0:f>
        <ns0:v/>
      </ns0:c>
      <ns0:c r="S13" s="21">
        <ns0:f>+S12/U12</ns0:f>
        <ns0:v/>
      </ns0:c>
      <ns0:c r="T13" s="21">
        <ns0:f>+T12/U12</ns0:f>
        <ns0:v/>
      </ns0:c>
    </ns0:row>
    <ns0:row r="14">
      <ns0:c r="B14" s="22" t="n">
        <ns0:v>45710</ns0:v>
      </ns0:c>
      <ns0:c r="C14" s="21" t="inlineStr">
        <ns0:is>
          <ns0:t>Bonding CD + Coil  amount 1.8~2.0mg</ns0:t>
        </ns0:is>
      </ns0:c>
      <ns0:c r="D14" s="21" t="inlineStr">
        <ns0:is>
          <ns0:t xml:space="preserve">AWF MC : #4 , 5 </ns0:t>
        </ns0:is>
      </ns0:c>
      <ns0:c r="E14" s="21" t="inlineStr">
        <ns0:is>
          <ns0:t>Frame normal</ns0:t>
        </ns0:is>
      </ns0:c>
      <ns0:c r="F14" s="21" t="inlineStr">
        <ns0:is>
          <ns0:t xml:space="preserve">Yoke normal </ns0:t>
        </ns0:is>
      </ns0:c>
      <ns0:c r="G14" s="21" t="n">
        <ns0:v>222</ns0:v>
      </ns0:c>
      <ns0:c r="H14" s="21">
        <ns0:f>+G14-Q14</ns0:f>
        <ns0:v/>
      </ns0:c>
      <ns0:c r="I14" s="21" t="n">
        <ns0:v>0</ns0:v>
      </ns0:c>
      <ns0:c r="J14" s="21" t="n">
        <ns0:v>1</ns0:v>
      </ns0:c>
      <ns0:c r="K14" s="21" t="n">
        <ns0:v>2</ns0:v>
      </ns0:c>
      <ns0:c r="L14" s="21" t="n">
        <ns0:v>0</ns0:v>
      </ns0:c>
      <ns0:c r="M14" s="21">
        <ns0:f>SUM(I14:L14)</ns0:f>
        <ns0:v/>
      </ns0:c>
      <ns0:c r="N14" s="21">
        <ns0:f>+M14/G14</ns0:f>
        <ns0:v/>
      </ns0:c>
      <ns0:c r="O14" s="21" t="n">
        <ns0:v>35</ns0:v>
      </ns0:c>
      <ns0:c r="P14" s="21" t="n">
        <ns0:v>30</ns0:v>
      </ns0:c>
      <ns0:c r="Q14" s="21">
        <ns0:f>SUM(O14:P14)</ns0:f>
        <ns0:v/>
      </ns0:c>
      <ns0:c r="R14" s="21">
        <ns0:f>+Q14/G14</ns0:f>
        <ns0:v/>
      </ns0:c>
      <ns0:c r="S14" s="21" t="n">
        <ns0:v>0</ns0:v>
      </ns0:c>
      <ns0:c r="T14" s="21" t="n">
        <ns0:v>7</ns0:v>
      </ns0:c>
      <ns0:c r="U14" s="21">
        <ns0:f>SUM(S14:T14)</ns0:f>
        <ns0:v/>
      </ns0:c>
      <ns0:c r="V14" s="21">
        <ns0:f>+U14/G14</ns0:f>
        <ns0:v/>
      </ns0:c>
    </ns0:row>
    <ns0:row r="15">
      <ns0:c r="I15" s="21">
        <ns0:f>+I14/Q14</ns0:f>
        <ns0:v/>
      </ns0:c>
      <ns0:c r="J15" s="21">
        <ns0:f>+J14/Q14</ns0:f>
        <ns0:v/>
      </ns0:c>
      <ns0:c r="K15" s="21">
        <ns0:f>+K14/Q14</ns0:f>
        <ns0:v/>
      </ns0:c>
      <ns0:c r="L15" s="21">
        <ns0:f>+L14/Q14</ns0:f>
        <ns0:v/>
      </ns0:c>
      <ns0:c r="O15" s="21">
        <ns0:f>+O14/Q14</ns0:f>
        <ns0:v/>
      </ns0:c>
      <ns0:c r="P15" s="21">
        <ns0:f>+P14/Q14</ns0:f>
        <ns0:v/>
      </ns0:c>
      <ns0:c r="S15" s="21">
        <ns0:f>+S14/U14</ns0:f>
        <ns0:v/>
      </ns0:c>
      <ns0:c r="T15" s="21">
        <ns0:f>+T14/U14</ns0:f>
        <ns0:v/>
      </ns0:c>
    </ns0:row>
    <ns0:row r="16">
      <ns0:c r="D16" s="21" t="inlineStr">
        <ns0:is>
          <ns0:t xml:space="preserve">AWF MC : #3 ( Coil : 0.096 ) </ns0:t>
        </ns0:is>
      </ns0:c>
      <ns0:c r="E16" s="21" t="inlineStr">
        <ns0:is>
          <ns0:t>Frame normal</ns0:t>
        </ns0:is>
      </ns0:c>
      <ns0:c r="F16" s="21" t="inlineStr">
        <ns0:is>
          <ns0:t xml:space="preserve">Yoke normal </ns0:t>
        </ns0:is>
      </ns0:c>
      <ns0:c r="G16" s="21" t="n">
        <ns0:v>142</ns0:v>
      </ns0:c>
      <ns0:c r="H16" s="21">
        <ns0:f>+G16-Q16</ns0:f>
        <ns0:v/>
      </ns0:c>
      <ns0:c r="I16" s="21" t="n">
        <ns0:v>0</ns0:v>
      </ns0:c>
      <ns0:c r="J16" s="21" t="n">
        <ns0:v>0</ns0:v>
      </ns0:c>
      <ns0:c r="K16" s="21" t="n">
        <ns0:v>0</ns0:v>
      </ns0:c>
      <ns0:c r="L16" s="21" t="n">
        <ns0:v>1</ns0:v>
      </ns0:c>
      <ns0:c r="M16" s="21">
        <ns0:f>SUM(I16:L16)</ns0:f>
        <ns0:v/>
      </ns0:c>
      <ns0:c r="N16" s="21">
        <ns0:f>+M16/G16</ns0:f>
        <ns0:v/>
      </ns0:c>
      <ns0:c r="O16" s="21" t="n">
        <ns0:v>8</ns0:v>
      </ns0:c>
      <ns0:c r="P16" s="21" t="n">
        <ns0:v>13</ns0:v>
      </ns0:c>
      <ns0:c r="Q16" s="21">
        <ns0:f>SUM(O16:P16)</ns0:f>
        <ns0:v/>
      </ns0:c>
      <ns0:c r="R16" s="21">
        <ns0:f>+Q16/G16</ns0:f>
        <ns0:v/>
      </ns0:c>
      <ns0:c r="S16" s="21" t="n">
        <ns0:v>0</ns0:v>
      </ns0:c>
      <ns0:c r="T16" s="21" t="n">
        <ns0:v>2</ns0:v>
      </ns0:c>
      <ns0:c r="U16" s="21">
        <ns0:f>SUM(S16:T16)</ns0:f>
        <ns0:v/>
      </ns0:c>
      <ns0:c r="V16" s="21">
        <ns0:f>+U16/G16</ns0:f>
        <ns0:v/>
      </ns0:c>
    </ns0:row>
    <ns0:row r="17">
      <ns0:c r="I17" s="21">
        <ns0:f>+I16/Q16</ns0:f>
        <ns0:v/>
      </ns0:c>
      <ns0:c r="J17" s="21">
        <ns0:f>+J16/Q16</ns0:f>
        <ns0:v/>
      </ns0:c>
      <ns0:c r="K17" s="21">
        <ns0:f>+K16/Q16</ns0:f>
        <ns0:v/>
      </ns0:c>
      <ns0:c r="L17" s="21">
        <ns0:f>+L16/Q16</ns0:f>
        <ns0:v/>
      </ns0:c>
      <ns0:c r="O17" s="21">
        <ns0:f>+O16/Q16</ns0:f>
        <ns0:v/>
      </ns0:c>
      <ns0:c r="P17" s="21">
        <ns0:f>+P16/Q16</ns0:f>
        <ns0:v/>
      </ns0:c>
      <ns0:c r="S17" s="21">
        <ns0:f>+S16/U16</ns0:f>
        <ns0:v/>
      </ns0:c>
      <ns0:c r="T17" s="21">
        <ns0:f>+T16/U16</ns0:f>
        <ns0:v/>
      </ns0:c>
    </ns0:row>
    <ns0:row r="18">
      <ns0:c r="D18" s="21" t="inlineStr">
        <ns0:is>
          <ns0:t xml:space="preserve">AWF MC : #3 ( Coil : 0.096 ) </ns0:t>
        </ns0:is>
      </ns0:c>
      <ns0:c r="E18" s="21" t="inlineStr">
        <ns0:is>
          <ns0:t>Frame test V1</ns0:t>
        </ns0:is>
      </ns0:c>
      <ns0:c r="F18" s="21" t="inlineStr">
        <ns0:is>
          <ns0:t xml:space="preserve">Yoke normal </ns0:t>
        </ns0:is>
      </ns0:c>
      <ns0:c r="G18" s="21" t="n">
        <ns0:v>114</ns0:v>
      </ns0:c>
      <ns0:c r="H18" s="21">
        <ns0:f>+G18-Q18</ns0:f>
        <ns0:v/>
      </ns0:c>
      <ns0:c r="I18" s="21" t="n">
        <ns0:v>0</ns0:v>
      </ns0:c>
      <ns0:c r="J18" s="21" t="n">
        <ns0:v>1</ns0:v>
      </ns0:c>
      <ns0:c r="K18" s="21" t="n">
        <ns0:v>0</ns0:v>
      </ns0:c>
      <ns0:c r="L18" s="21" t="n">
        <ns0:v>0</ns0:v>
      </ns0:c>
      <ns0:c r="M18" s="21">
        <ns0:f>SUM(I18:L18)</ns0:f>
        <ns0:v/>
      </ns0:c>
      <ns0:c r="N18" s="21">
        <ns0:f>+M18/G18</ns0:f>
        <ns0:v/>
      </ns0:c>
      <ns0:c r="O18" s="21" t="n">
        <ns0:v>15</ns0:v>
      </ns0:c>
      <ns0:c r="P18" s="21" t="n">
        <ns0:v>25</ns0:v>
      </ns0:c>
      <ns0:c r="Q18" s="21">
        <ns0:f>SUM(O18:P18)</ns0:f>
        <ns0:v/>
      </ns0:c>
      <ns0:c r="R18" s="21">
        <ns0:f>+Q18/G18</ns0:f>
        <ns0:v/>
      </ns0:c>
      <ns0:c r="S18" s="21" t="n">
        <ns0:v>3</ns0:v>
      </ns0:c>
      <ns0:c r="T18" s="21" t="n">
        <ns0:v>13</ns0:v>
      </ns0:c>
      <ns0:c r="U18" s="21">
        <ns0:f>SUM(S18:T18)</ns0:f>
        <ns0:v/>
      </ns0:c>
      <ns0:c r="V18" s="21">
        <ns0:f>+U18/G18</ns0:f>
        <ns0:v/>
      </ns0:c>
    </ns0:row>
    <ns0:row r="19">
      <ns0:c r="I19" s="21">
        <ns0:f>+I18/Q18</ns0:f>
        <ns0:v/>
      </ns0:c>
      <ns0:c r="J19" s="21">
        <ns0:f>+J18/Q18</ns0:f>
        <ns0:v/>
      </ns0:c>
      <ns0:c r="K19" s="21">
        <ns0:f>+K18/Q18</ns0:f>
        <ns0:v/>
      </ns0:c>
      <ns0:c r="L19" s="21">
        <ns0:f>+L18/Q18</ns0:f>
        <ns0:v/>
      </ns0:c>
      <ns0:c r="O19" s="21">
        <ns0:f>+O18/Q18</ns0:f>
        <ns0:v/>
      </ns0:c>
      <ns0:c r="P19" s="21">
        <ns0:f>+P18/Q18</ns0:f>
        <ns0:v/>
      </ns0:c>
      <ns0:c r="S19" s="21">
        <ns0:f>+S18/U18</ns0:f>
        <ns0:v/>
      </ns0:c>
      <ns0:c r="T19" s="21">
        <ns0:f>+T18/U18</ns0:f>
        <ns0:v/>
      </ns0:c>
      <ns0:c r="W19" s="21">
        <ns0:f>+Q18-U18</ns0:f>
        <ns0:v/>
      </ns0:c>
    </ns0:row>
    <ns0:row r="20">
      <ns0:c r="D20" s="21" t="inlineStr">
        <ns0:is>
          <ns0:t>All AWF</ns0:t>
        </ns0:is>
      </ns0:c>
      <ns0:c r="E20" s="21" t="inlineStr">
        <ns0:is>
          <ns0:t>Frame test V2</ns0:t>
        </ns0:is>
      </ns0:c>
      <ns0:c r="F20" s="21" t="inlineStr">
        <ns0:is>
          <ns0:t xml:space="preserve">New Yoke ( New SM+Yoke jig) </ns0:t>
        </ns0:is>
      </ns0:c>
      <ns0:c r="G20" s="21" t="n">
        <ns0:v>25</ns0:v>
      </ns0:c>
      <ns0:c r="H20" s="21">
        <ns0:f>+G20-Q20</ns0:f>
        <ns0:v/>
      </ns0:c>
      <ns0:c r="I20" s="21" t="n">
        <ns0:v>0</ns0:v>
      </ns0:c>
      <ns0:c r="J20" s="21" t="n">
        <ns0:v>0</ns0:v>
      </ns0:c>
      <ns0:c r="K20" s="21" t="n">
        <ns0:v>0</ns0:v>
      </ns0:c>
      <ns0:c r="L20" s="21" t="n">
        <ns0:v>0</ns0:v>
      </ns0:c>
      <ns0:c r="M20" s="21">
        <ns0:f>SUM(I20:L20)</ns0:f>
        <ns0:v/>
      </ns0:c>
      <ns0:c r="N20" s="21">
        <ns0:f>+M20/G20</ns0:f>
        <ns0:v/>
      </ns0:c>
      <ns0:c r="O20" s="21" t="n">
        <ns0:v>1</ns0:v>
      </ns0:c>
      <ns0:c r="P20" s="21" t="n">
        <ns0:v>0</ns0:v>
      </ns0:c>
      <ns0:c r="Q20" s="21">
        <ns0:f>SUM(O20:P20)</ns0:f>
        <ns0:v/>
      </ns0:c>
      <ns0:c r="R20" s="21">
        <ns0:f>+Q20/G20</ns0:f>
        <ns0:v/>
      </ns0:c>
      <ns0:c r="S20" s="21" t="n">
        <ns0:v>0</ns0:v>
      </ns0:c>
      <ns0:c r="T20" s="21" t="n">
        <ns0:v>1</ns0:v>
      </ns0:c>
      <ns0:c r="U20" s="21">
        <ns0:f>SUM(S20:T20)</ns0:f>
        <ns0:v/>
      </ns0:c>
      <ns0:c r="V20" s="21">
        <ns0:f>+U20/G20</ns0:f>
        <ns0:v/>
      </ns0:c>
    </ns0:row>
    <ns0:row r="21">
      <ns0:c r="I21" s="21">
        <ns0:f>+I20/Q20</ns0:f>
        <ns0:v/>
      </ns0:c>
      <ns0:c r="J21" s="21">
        <ns0:f>+J20/Q20</ns0:f>
        <ns0:v/>
      </ns0:c>
      <ns0:c r="K21" s="21">
        <ns0:f>+K20/Q20</ns0:f>
        <ns0:v/>
      </ns0:c>
      <ns0:c r="L21" s="21">
        <ns0:f>+L20/Q20</ns0:f>
        <ns0:v/>
      </ns0:c>
      <ns0:c r="O21" s="21">
        <ns0:f>+O20/Q20</ns0:f>
        <ns0:v/>
      </ns0:c>
      <ns0:c r="P21" s="21">
        <ns0:f>+P20/Q20</ns0:f>
        <ns0:v/>
      </ns0:c>
      <ns0:c r="S21" s="21">
        <ns0:f>+S20/U20</ns0:f>
        <ns0:v/>
      </ns0:c>
      <ns0:c r="T21" s="21">
        <ns0:f>+T20/U20</ns0:f>
        <ns0:v/>
      </ns0:c>
    </ns0:row>
    <ns0:row r="22">
      <ns0:c r="D22" s="21" t="inlineStr">
        <ns0:is>
          <ns0:t>All AWF</ns0:t>
        </ns0:is>
      </ns0:c>
      <ns0:c r="E22" s="21" t="inlineStr">
        <ns0:is>
          <ns0:t>Frame test V2</ns0:t>
        </ns0:is>
      </ns0:c>
      <ns0:c r="F22" s="21" t="inlineStr">
        <ns0:is>
          <ns0:t xml:space="preserve">New Yoke ( New SM+Yoke jig) </ns0:t>
        </ns0:is>
      </ns0:c>
      <ns0:c r="G22" s="21" t="n">
        <ns0:v>10</ns0:v>
      </ns0:c>
      <ns0:c r="H22" s="21">
        <ns0:f>+G22-Q22</ns0:f>
        <ns0:v/>
      </ns0:c>
      <ns0:c r="I22" s="21" t="n">
        <ns0:v>0</ns0:v>
      </ns0:c>
      <ns0:c r="J22" s="21" t="n">
        <ns0:v>0</ns0:v>
      </ns0:c>
      <ns0:c r="K22" s="21" t="n">
        <ns0:v>0</ns0:v>
      </ns0:c>
      <ns0:c r="L22" s="21" t="n">
        <ns0:v>0</ns0:v>
      </ns0:c>
      <ns0:c r="M22" s="21">
        <ns0:f>SUM(I22:L22)</ns0:f>
        <ns0:v/>
      </ns0:c>
      <ns0:c r="N22" s="21">
        <ns0:f>+M22/G22</ns0:f>
        <ns0:v/>
      </ns0:c>
      <ns0:c r="O22" s="21" t="n">
        <ns0:v>0</ns0:v>
      </ns0:c>
      <ns0:c r="P22" s="21" t="n">
        <ns0:v>0</ns0:v>
      </ns0:c>
      <ns0:c r="Q22" s="21">
        <ns0:f>SUM(O22:P22)</ns0:f>
        <ns0:v/>
      </ns0:c>
      <ns0:c r="R22" s="21">
        <ns0:f>+Q22/G22</ns0:f>
        <ns0:v/>
      </ns0:c>
      <ns0:c r="S22" s="21" t="n">
        <ns0:v>0</ns0:v>
      </ns0:c>
      <ns0:c r="T22" s="21" t="n">
        <ns0:v>0</ns0:v>
      </ns0:c>
      <ns0:c r="U22" s="21">
        <ns0:f>SUM(S22:T22)</ns0:f>
        <ns0:v/>
      </ns0:c>
      <ns0:c r="V22" s="21">
        <ns0:f>+U22/G22</ns0:f>
        <ns0:v/>
      </ns0:c>
    </ns0:row>
    <ns0:row r="23">
      <ns0:c r="I23" s="21">
        <ns0:f>+I22/Q22</ns0:f>
        <ns0:v/>
      </ns0:c>
      <ns0:c r="J23" s="21">
        <ns0:f>+J22/Q22</ns0:f>
        <ns0:v/>
      </ns0:c>
      <ns0:c r="K23" s="21">
        <ns0:f>+K22/Q22</ns0:f>
        <ns0:v/>
      </ns0:c>
      <ns0:c r="L23" s="21">
        <ns0:f>+L22/Q22</ns0:f>
        <ns0:v/>
      </ns0:c>
      <ns0:c r="O23" s="21">
        <ns0:f>+O22/Q22</ns0:f>
        <ns0:v/>
      </ns0:c>
      <ns0:c r="P23" s="21">
        <ns0:f>+P22/Q22</ns0:f>
        <ns0:v/>
      </ns0:c>
      <ns0:c r="S23" s="21">
        <ns0:f>+S22/U22</ns0:f>
        <ns0:v/>
      </ns0:c>
      <ns0:c r="T23" s="21">
        <ns0:f>+T22/U22</ns0:f>
        <ns0:v/>
      </ns0:c>
    </ns0:row>
    <ns0:row r="24">
      <ns0:c r="F24" s="21" t="inlineStr">
        <ns0:is>
          <ns0:t xml:space="preserve">Yoke normal </ns0:t>
        </ns0:is>
      </ns0:c>
      <ns0:c r="G24" s="21" t="n">
        <ns0:v>10</ns0:v>
      </ns0:c>
      <ns0:c r="H24" s="21">
        <ns0:f>+G24-Q24</ns0:f>
        <ns0:v/>
      </ns0:c>
      <ns0:c r="I24" s="21" t="n">
        <ns0:v>0</ns0:v>
      </ns0:c>
      <ns0:c r="J24" s="21" t="n">
        <ns0:v>0</ns0:v>
      </ns0:c>
      <ns0:c r="K24" s="21" t="n">
        <ns0:v>0</ns0:v>
      </ns0:c>
      <ns0:c r="L24" s="21" t="n">
        <ns0:v>0</ns0:v>
      </ns0:c>
      <ns0:c r="M24" s="21">
        <ns0:f>SUM(I24:L24)</ns0:f>
        <ns0:v/>
      </ns0:c>
      <ns0:c r="N24" s="21">
        <ns0:f>+M24/G24</ns0:f>
        <ns0:v/>
      </ns0:c>
      <ns0:c r="O24" s="21" t="n">
        <ns0:v>0</ns0:v>
      </ns0:c>
      <ns0:c r="P24" s="21" t="n">
        <ns0:v>0</ns0:v>
      </ns0:c>
      <ns0:c r="Q24" s="21">
        <ns0:f>SUM(O24:P24)</ns0:f>
        <ns0:v/>
      </ns0:c>
      <ns0:c r="R24" s="21">
        <ns0:f>+Q24/G24</ns0:f>
        <ns0:v/>
      </ns0:c>
      <ns0:c r="S24" s="21" t="n">
        <ns0:v>0</ns0:v>
      </ns0:c>
      <ns0:c r="T24" s="21" t="n">
        <ns0:v>0</ns0:v>
      </ns0:c>
      <ns0:c r="U24" s="21">
        <ns0:f>SUM(S24:T24)</ns0:f>
        <ns0:v/>
      </ns0:c>
      <ns0:c r="V24" s="21">
        <ns0:f>+U24/G24</ns0:f>
        <ns0:v/>
      </ns0:c>
    </ns0:row>
    <ns0:row r="25">
      <ns0:c r="I25" s="21">
        <ns0:f>+I24/Q24</ns0:f>
        <ns0:v/>
      </ns0:c>
      <ns0:c r="J25" s="21">
        <ns0:f>+J24/Q24</ns0:f>
        <ns0:v/>
      </ns0:c>
      <ns0:c r="K25" s="21">
        <ns0:f>+K24/Q24</ns0:f>
        <ns0:v/>
      </ns0:c>
      <ns0:c r="L25" s="21">
        <ns0:f>+L24/Q24</ns0:f>
        <ns0:v/>
      </ns0:c>
      <ns0:c r="O25" s="21">
        <ns0:f>+O24/Q24</ns0:f>
        <ns0:v/>
      </ns0:c>
      <ns0:c r="P25" s="21">
        <ns0:f>+P24/Q24</ns0:f>
        <ns0:v/>
      </ns0:c>
      <ns0:c r="S25" s="21">
        <ns0:f>+S24/U24</ns0:f>
        <ns0:v/>
      </ns0:c>
      <ns0:c r="T25" s="21">
        <ns0:f>+T24/U24</ns0:f>
        <ns0:v/>
      </ns0:c>
    </ns0:row>
    <ns0:row r="26">
      <ns0:c r="D26" s="21" t="inlineStr">
        <ns0:is>
          <ns0:t>Test press 4 point Suspension before ass'y Yoke</ns0:t>
        </ns0:is>
      </ns0:c>
      <ns0:c r="G26" s="21" t="n">
        <ns0:v>126</ns0:v>
      </ns0:c>
      <ns0:c r="H26" s="21">
        <ns0:f>+G26-Q26</ns0:f>
        <ns0:v/>
      </ns0:c>
      <ns0:c r="I26" s="21" t="n">
        <ns0:v>0</ns0:v>
      </ns0:c>
      <ns0:c r="J26" s="21" t="n">
        <ns0:v>0</ns0:v>
      </ns0:c>
      <ns0:c r="K26" s="21" t="n">
        <ns0:v>0</ns0:v>
      </ns0:c>
      <ns0:c r="L26" s="21" t="n">
        <ns0:v>0</ns0:v>
      </ns0:c>
      <ns0:c r="M26" s="21">
        <ns0:f>SUM(I26:L26)</ns0:f>
        <ns0:v/>
      </ns0:c>
      <ns0:c r="N26" s="21">
        <ns0:f>+M26/G26</ns0:f>
        <ns0:v/>
      </ns0:c>
      <ns0:c r="O26" s="21" t="n">
        <ns0:v>16</ns0:v>
      </ns0:c>
      <ns0:c r="P26" s="21" t="n">
        <ns0:v>11</ns0:v>
      </ns0:c>
      <ns0:c r="Q26" s="21">
        <ns0:f>SUM(O26:P26)</ns0:f>
        <ns0:v/>
      </ns0:c>
      <ns0:c r="R26" s="21">
        <ns0:f>+Q26/G26</ns0:f>
        <ns0:v/>
      </ns0:c>
      <ns0:c r="S26" s="21" t="n">
        <ns0:v>0</ns0:v>
      </ns0:c>
      <ns0:c r="T26" s="21" t="n">
        <ns0:v>0</ns0:v>
      </ns0:c>
      <ns0:c r="U26" s="21">
        <ns0:f>SUM(S26:T26)</ns0:f>
        <ns0:v/>
      </ns0:c>
      <ns0:c r="V26" s="21">
        <ns0:f>+U26/G26</ns0:f>
        <ns0:v/>
      </ns0:c>
    </ns0:row>
    <ns0:row r="27">
      <ns0:c r="I27" s="21">
        <ns0:f>+I26/Q26</ns0:f>
        <ns0:v/>
      </ns0:c>
      <ns0:c r="J27" s="21">
        <ns0:f>+J26/Q26</ns0:f>
        <ns0:v/>
      </ns0:c>
      <ns0:c r="K27" s="21">
        <ns0:f>+K26/Q26</ns0:f>
        <ns0:v/>
      </ns0:c>
      <ns0:c r="L27" s="21">
        <ns0:f>+L26/Q26</ns0:f>
        <ns0:v/>
      </ns0:c>
      <ns0:c r="O27" s="21">
        <ns0:f>+O26/Q26</ns0:f>
        <ns0:v/>
      </ns0:c>
      <ns0:c r="P27" s="21">
        <ns0:f>+P26/Q26</ns0:f>
        <ns0:v/>
      </ns0:c>
      <ns0:c r="S27" s="21">
        <ns0:f>+S26/U26</ns0:f>
        <ns0:v/>
      </ns0:c>
      <ns0:c r="T27" s="21">
        <ns0:f>+T26/U26</ns0:f>
        <ns0:v/>
      </ns0:c>
    </ns0:row>
    <ns0:row r="28">
      <ns0:c r="B28" s="22" t="n">
        <ns0:v>45711</ns0:v>
      </ns0:c>
      <ns0:c r="C28" s="21" t="inlineStr">
        <ns0:is>
          <ns0:t>Bonding CD + Coil  amount 1.8~2.0mg</ns0:t>
        </ns0:is>
      </ns0:c>
      <ns0:c r="D28" s="21" t="inlineStr">
        <ns0:is>
          <ns0:t>MC AWF #3 
Coil 0.096</ns0:t>
        </ns0:is>
      </ns0:c>
      <ns0:c r="E28" s="21" t="inlineStr">
        <ns0:is>
          <ns0:t>Frame test V2</ns0:t>
        </ns0:is>
      </ns0:c>
      <ns0:c r="F28" s="21" t="inlineStr">
        <ns0:is>
          <ns0:t>New Yoke ( New SM+Yoke jig)  SMG 0.02 Open</ns0:t>
        </ns0:is>
      </ns0:c>
      <ns0:c r="G28" s="21" t="n">
        <ns0:v>44</ns0:v>
      </ns0:c>
      <ns0:c r="H28" s="21">
        <ns0:f>+G28-Q28</ns0:f>
        <ns0:v/>
      </ns0:c>
      <ns0:c r="I28" s="21" t="n">
        <ns0:v>0</ns0:v>
      </ns0:c>
      <ns0:c r="J28" s="21" t="n">
        <ns0:v>0</ns0:v>
      </ns0:c>
      <ns0:c r="K28" s="21" t="n">
        <ns0:v>1</ns0:v>
      </ns0:c>
      <ns0:c r="L28" s="21" t="n">
        <ns0:v>0</ns0:v>
      </ns0:c>
      <ns0:c r="M28" s="21">
        <ns0:f>SUM(I28:L28)</ns0:f>
        <ns0:v/>
      </ns0:c>
      <ns0:c r="N28" s="21">
        <ns0:f>+M28/G28</ns0:f>
        <ns0:v/>
      </ns0:c>
      <ns0:c r="O28" s="21" t="n">
        <ns0:v>0</ns0:v>
      </ns0:c>
      <ns0:c r="P28" s="21" t="n">
        <ns0:v>0</ns0:v>
      </ns0:c>
      <ns0:c r="Q28" s="21">
        <ns0:f>SUM(O28:P28)</ns0:f>
        <ns0:v/>
      </ns0:c>
      <ns0:c r="R28" s="21">
        <ns0:f>+Q28/G28</ns0:f>
        <ns0:v/>
      </ns0:c>
      <ns0:c r="S28" s="21" t="n">
        <ns0:v>0</ns0:v>
      </ns0:c>
      <ns0:c r="T28" s="21" t="n">
        <ns0:v>0</ns0:v>
      </ns0:c>
      <ns0:c r="U28" s="21">
        <ns0:f>SUM(S28:T28)</ns0:f>
        <ns0:v/>
      </ns0:c>
      <ns0:c r="V28" s="21">
        <ns0:f>+U28/G28</ns0:f>
        <ns0:v/>
      </ns0:c>
    </ns0:row>
    <ns0:row r="29">
      <ns0:c r="I29" s="21">
        <ns0:f>+I28/M28</ns0:f>
        <ns0:v/>
      </ns0:c>
      <ns0:c r="J29" s="21">
        <ns0:f>+J28/M28</ns0:f>
        <ns0:v/>
      </ns0:c>
      <ns0:c r="K29" s="21">
        <ns0:f>+K28/M28</ns0:f>
        <ns0:v/>
      </ns0:c>
      <ns0:c r="L29" s="21">
        <ns0:f>+L28/M28</ns0:f>
        <ns0:v/>
      </ns0:c>
      <ns0:c r="O29" s="21">
        <ns0:f>+O28/Q28</ns0:f>
        <ns0:v/>
      </ns0:c>
      <ns0:c r="P29" s="21">
        <ns0:f>+P28/Q28</ns0:f>
        <ns0:v/>
      </ns0:c>
      <ns0:c r="S29" s="21" t="n">
        <ns0:v>0</ns0:v>
      </ns0:c>
      <ns0:c r="T29" s="21" t="n">
        <ns0:v>0</ns0:v>
      </ns0:c>
    </ns0:row>
    <ns0:row r="30">
      <ns0:c r="D30" s="21" t="inlineStr">
        <ns0:is>
          <ns0:t>MC AWF #3 
Coil 0.094</ns0:t>
        </ns0:is>
      </ns0:c>
      <ns0:c r="E30" s="21" t="inlineStr">
        <ns0:is>
          <ns0:t>Frame test V2</ns0:t>
        </ns0:is>
      </ns0:c>
      <ns0:c r="F30" s="21" t="inlineStr">
        <ns0:is>
          <ns0:t>New Yoke ( New SM+Yoke jig)  SMG 0.02 Open</ns0:t>
        </ns0:is>
      </ns0:c>
      <ns0:c r="G30" s="21" t="n">
        <ns0:v>46</ns0:v>
      </ns0:c>
      <ns0:c r="H30" s="21">
        <ns0:f>+G30-Q30</ns0:f>
        <ns0:v/>
      </ns0:c>
      <ns0:c r="I30" s="21" t="n">
        <ns0:v>0</ns0:v>
      </ns0:c>
      <ns0:c r="J30" s="21" t="n">
        <ns0:v>0</ns0:v>
      </ns0:c>
      <ns0:c r="K30" s="21" t="n">
        <ns0:v>0</ns0:v>
      </ns0:c>
      <ns0:c r="L30" s="21" t="n">
        <ns0:v>0</ns0:v>
      </ns0:c>
      <ns0:c r="M30" s="21">
        <ns0:f>SUM(I30:L30)</ns0:f>
        <ns0:v/>
      </ns0:c>
      <ns0:c r="N30" s="21">
        <ns0:f>+M30/G30</ns0:f>
        <ns0:v/>
      </ns0:c>
      <ns0:c r="O30" s="21" t="n">
        <ns0:v>4</ns0:v>
      </ns0:c>
      <ns0:c r="P30" s="21" t="n">
        <ns0:v>0</ns0:v>
      </ns0:c>
      <ns0:c r="Q30" s="21">
        <ns0:f>SUM(O30:P30)</ns0:f>
        <ns0:v/>
      </ns0:c>
      <ns0:c r="R30" s="21">
        <ns0:f>+Q30/G30</ns0:f>
        <ns0:v/>
      </ns0:c>
      <ns0:c r="S30" s="21" t="n">
        <ns0:v>2</ns0:v>
      </ns0:c>
      <ns0:c r="T30" s="21" t="n">
        <ns0:v>0</ns0:v>
      </ns0:c>
      <ns0:c r="U30" s="21">
        <ns0:f>SUM(S30:T30)</ns0:f>
        <ns0:v/>
      </ns0:c>
      <ns0:c r="V30" s="21">
        <ns0:f>+U30/G30</ns0:f>
        <ns0:v/>
      </ns0:c>
    </ns0:row>
    <ns0:row r="31">
      <ns0:c r="I31" s="21">
        <ns0:f>+I30/Q30</ns0:f>
        <ns0:v/>
      </ns0:c>
      <ns0:c r="J31" s="21">
        <ns0:f>+J30/Q30</ns0:f>
        <ns0:v/>
      </ns0:c>
      <ns0:c r="K31" s="21">
        <ns0:f>+K30/Q30</ns0:f>
        <ns0:v/>
      </ns0:c>
      <ns0:c r="L31" s="21">
        <ns0:f>+L30/Q30</ns0:f>
        <ns0:v/>
      </ns0:c>
      <ns0:c r="O31" s="21">
        <ns0:f>+O30/Q30</ns0:f>
        <ns0:v/>
      </ns0:c>
      <ns0:c r="P31" s="21">
        <ns0:f>+P30/Q30</ns0:f>
        <ns0:v/>
      </ns0:c>
      <ns0:c r="S31" s="21">
        <ns0:f>+S30/U30</ns0:f>
        <ns0:v/>
      </ns0:c>
      <ns0:c r="T31" s="21">
        <ns0:f>+T30/U30</ns0:f>
        <ns0:v/>
      </ns0:c>
    </ns0:row>
    <ns0:row r="32">
      <ns0:c r="B32" s="22" t="n">
        <ns0:v>45712</ns0:v>
      </ns0:c>
      <ns0:c r="C32" s="21" t="inlineStr">
        <ns0:is>
          <ns0:t>Bonding CD + Coil  amount 1.8~2.0mg</ns0:t>
        </ns0:is>
      </ns0:c>
      <ns0:c r="D32" s="21" t="inlineStr">
        <ns0:is>
          <ns0:t>MC AWF all
Coil 0.097</ns0:t>
        </ns0:is>
      </ns0:c>
      <ns0:c r="E32" s="21" t="inlineStr">
        <ns0:is>
          <ns0:t>Frame test V2</ns0:t>
        </ns0:is>
      </ns0:c>
      <ns0:c r="F32" s="21" t="inlineStr">
        <ns0:is>
          <ns0:t>New Yoke ( New SM+Yoke jig)  SMG 0.02 Open</ns0:t>
        </ns0:is>
      </ns0:c>
      <ns0:c r="G32" s="21" t="n">
        <ns0:v>599</ns0:v>
      </ns0:c>
      <ns0:c r="H32" s="21">
        <ns0:f>+G32-Q32</ns0:f>
        <ns0:v/>
      </ns0:c>
      <ns0:c r="I32" s="21" t="n">
        <ns0:v>0</ns0:v>
      </ns0:c>
      <ns0:c r="J32" s="21" t="n">
        <ns0:v>0</ns0:v>
      </ns0:c>
      <ns0:c r="K32" s="21" t="n">
        <ns0:v>0</ns0:v>
      </ns0:c>
      <ns0:c r="L32" s="21" t="n">
        <ns0:v>0</ns0:v>
      </ns0:c>
      <ns0:c r="M32" s="21">
        <ns0:f>SUM(I32:L32)</ns0:f>
        <ns0:v/>
      </ns0:c>
      <ns0:c r="N32" s="21">
        <ns0:f>+M32/G32</ns0:f>
        <ns0:v/>
      </ns0:c>
      <ns0:c r="O32" s="21" t="n">
        <ns0:v>18</ns0:v>
      </ns0:c>
      <ns0:c r="P32" s="21" t="n">
        <ns0:v>10</ns0:v>
      </ns0:c>
      <ns0:c r="Q32" s="21">
        <ns0:f>SUM(O32:P32)</ns0:f>
        <ns0:v/>
      </ns0:c>
      <ns0:c r="R32" s="21">
        <ns0:f>+Q32/G32</ns0:f>
        <ns0:v/>
      </ns0:c>
      <ns0:c r="S32" s="21" t="n">
        <ns0:v>3</ns0:v>
      </ns0:c>
      <ns0:c r="T32" s="21" t="n">
        <ns0:v>3</ns0:v>
      </ns0:c>
      <ns0:c r="U32" s="21">
        <ns0:f>SUM(S32:T32)</ns0:f>
        <ns0:v/>
      </ns0:c>
      <ns0:c r="V32" s="21">
        <ns0:f>+U32/G32</ns0:f>
        <ns0:v/>
      </ns0:c>
    </ns0:row>
    <ns0:row r="33">
      <ns0:c r="I33" s="21">
        <ns0:f>+I32/Q32</ns0:f>
        <ns0:v/>
      </ns0:c>
      <ns0:c r="J33" s="21">
        <ns0:f>+J32/Q32</ns0:f>
        <ns0:v/>
      </ns0:c>
      <ns0:c r="K33" s="21">
        <ns0:f>+K32/Q32</ns0:f>
        <ns0:v/>
      </ns0:c>
      <ns0:c r="L33" s="21">
        <ns0:f>+L32/Q32</ns0:f>
        <ns0:v/>
      </ns0:c>
      <ns0:c r="O33" s="21">
        <ns0:f>+O32/Q32</ns0:f>
        <ns0:v/>
      </ns0:c>
      <ns0:c r="P33" s="21">
        <ns0:f>+P32/Q32</ns0:f>
        <ns0:v/>
      </ns0:c>
      <ns0:c r="S33" s="21" t="n">
        <ns0:v>0</ns0:v>
      </ns0:c>
      <ns0:c r="T33" s="21" t="n">
        <ns0:v>0</ns0:v>
      </ns0:c>
    </ns0:row>
    <ns0:row r="34">
      <ns0:c r="C34" s="21" t="inlineStr">
        <ns0:is>
          <ns0:t>Bonding CD + Coil  amount 1.8~2.0mg</ns0:t>
        </ns0:is>
      </ns0:c>
      <ns0:c r="D34" s="21" t="inlineStr">
        <ns0:is>
          <ns0:t>MC AWF all
Coil 0.097</ns0:t>
        </ns0:is>
      </ns0:c>
      <ns0:c r="E34" s="21" t="inlineStr">
        <ns0:is>
          <ns0:t>Frame normal</ns0:t>
        </ns0:is>
      </ns0:c>
      <ns0:c r="F34" s="21" t="inlineStr">
        <ns0:is>
          <ns0:t>Yoke normal</ns0:t>
        </ns0:is>
      </ns0:c>
      <ns0:c r="G34" s="21" t="n">
        <ns0:v>798</ns0:v>
      </ns0:c>
      <ns0:c r="H34" s="21">
        <ns0:f>+G34-Q34</ns0:f>
        <ns0:v/>
      </ns0:c>
      <ns0:c r="I34" s="21" t="n">
        <ns0:v>0</ns0:v>
      </ns0:c>
      <ns0:c r="J34" s="21" t="n">
        <ns0:v>3</ns0:v>
      </ns0:c>
      <ns0:c r="K34" s="21" t="n">
        <ns0:v>0</ns0:v>
      </ns0:c>
      <ns0:c r="L34" s="21" t="n">
        <ns0:v>0</ns0:v>
      </ns0:c>
      <ns0:c r="M34" s="21">
        <ns0:f>SUM(I34:L34)</ns0:f>
        <ns0:v/>
      </ns0:c>
      <ns0:c r="N34" s="21">
        <ns0:f>+M34/G34</ns0:f>
        <ns0:v/>
      </ns0:c>
      <ns0:c r="O34" s="21" t="n">
        <ns0:v>73</ns0:v>
      </ns0:c>
      <ns0:c r="P34" s="21" t="n">
        <ns0:v>96</ns0:v>
      </ns0:c>
      <ns0:c r="Q34" s="21">
        <ns0:f>SUM(O34:P34)</ns0:f>
        <ns0:v/>
      </ns0:c>
      <ns0:c r="R34" s="21">
        <ns0:f>+Q34/G34</ns0:f>
        <ns0:v/>
      </ns0:c>
      <ns0:c r="S34" s="21" t="n">
        <ns0:v>22</ns0:v>
      </ns0:c>
      <ns0:c r="T34" s="21" t="n">
        <ns0:v>16</ns0:v>
      </ns0:c>
      <ns0:c r="U34" s="21">
        <ns0:f>SUM(S34:T34)</ns0:f>
        <ns0:v/>
      </ns0:c>
      <ns0:c r="V34" s="21">
        <ns0:f>+U34/G34</ns0:f>
        <ns0:v/>
      </ns0:c>
    </ns0:row>
    <ns0:row r="35">
      <ns0:c r="I35" s="21">
        <ns0:f>+I34/Q34</ns0:f>
        <ns0:v/>
      </ns0:c>
      <ns0:c r="J35" s="21">
        <ns0:f>+J34/Q34</ns0:f>
        <ns0:v/>
      </ns0:c>
      <ns0:c r="K35" s="21">
        <ns0:f>+K34/Q34</ns0:f>
        <ns0:v/>
      </ns0:c>
      <ns0:c r="L35" s="21">
        <ns0:f>+L34/Q34</ns0:f>
        <ns0:v/>
      </ns0:c>
      <ns0:c r="O35" s="21">
        <ns0:f>+O34/Q34</ns0:f>
        <ns0:v/>
      </ns0:c>
      <ns0:c r="P35" s="21">
        <ns0:f>+P34/Q34</ns0:f>
        <ns0:v/>
      </ns0:c>
      <ns0:c r="S35" s="21" t="n">
        <ns0:v>0</ns0:v>
      </ns0:c>
      <ns0:c r="T35" s="21" t="n">
        <ns0:v>0</ns0:v>
      </ns0:c>
    </ns0:row>
    <ns0:row r="36">
      <ns0:c r="B36" s="22" t="n">
        <ns0:v>45713</ns0:v>
      </ns0:c>
      <ns0:c r="C36" s="21" t="inlineStr">
        <ns0:is>
          <ns0:t>Bonding CD + Coil  amount 1.8~2.0mg</ns0:t>
        </ns0:is>
      </ns0:c>
      <ns0:c r="D36" s="21" t="inlineStr">
        <ns0:is>
          <ns0:t>MC AWF #3
Coil 0.096</ns0:t>
        </ns0:is>
      </ns0:c>
      <ns0:c r="E36" s="21" t="inlineStr">
        <ns0:is>
          <ns0:t>Frame test V2</ns0:t>
        </ns0:is>
      </ns0:c>
      <ns0:c r="F36" s="21" t="inlineStr">
        <ns0:is>
          <ns0:t>New Yoke ( New SM+Yoke jig)  SMG 0.02 Open</ns0:t>
        </ns0:is>
      </ns0:c>
      <ns0:c r="G36" s="21" t="n">
        <ns0:v>540</ns0:v>
      </ns0:c>
      <ns0:c r="H36" s="21">
        <ns0:f>+G36-Q36</ns0:f>
        <ns0:v/>
      </ns0:c>
      <ns0:c r="I36" s="21" t="n">
        <ns0:v>0</ns0:v>
      </ns0:c>
      <ns0:c r="J36" s="21" t="n">
        <ns0:v>0</ns0:v>
      </ns0:c>
      <ns0:c r="K36" s="21" t="n">
        <ns0:v>0</ns0:v>
      </ns0:c>
      <ns0:c r="L36" s="21" t="n">
        <ns0:v>0</ns0:v>
      </ns0:c>
      <ns0:c r="M36" s="21">
        <ns0:f>SUM(I36:L36)</ns0:f>
        <ns0:v/>
      </ns0:c>
      <ns0:c r="N36" s="21">
        <ns0:f>+M36/G36</ns0:f>
        <ns0:v/>
      </ns0:c>
      <ns0:c r="O36" s="21" t="n">
        <ns0:v>19</ns0:v>
      </ns0:c>
      <ns0:c r="P36" s="21" t="n">
        <ns0:v>44</ns0:v>
      </ns0:c>
      <ns0:c r="Q36" s="21">
        <ns0:f>SUM(O36:P36)</ns0:f>
        <ns0:v/>
      </ns0:c>
      <ns0:c r="R36" s="21">
        <ns0:f>+Q36/G36</ns0:f>
        <ns0:v/>
      </ns0:c>
      <ns0:c r="S36" s="21" t="n">
        <ns0:v>10</ns0:v>
      </ns0:c>
      <ns0:c r="T36" s="21" t="n">
        <ns0:v>3</ns0:v>
      </ns0:c>
      <ns0:c r="U36" s="21">
        <ns0:f>SUM(S36:T36)</ns0:f>
        <ns0:v/>
      </ns0:c>
      <ns0:c r="V36" s="21">
        <ns0:f>+U36/G36</ns0:f>
        <ns0:v/>
      </ns0:c>
    </ns0:row>
    <ns0:row r="37">
      <ns0:c r="I37" s="21">
        <ns0:f>+I36/Q36</ns0:f>
        <ns0:v/>
      </ns0:c>
      <ns0:c r="J37" s="21">
        <ns0:f>+J36/Q36</ns0:f>
        <ns0:v/>
      </ns0:c>
      <ns0:c r="K37" s="21">
        <ns0:f>+K36/Q36</ns0:f>
        <ns0:v/>
      </ns0:c>
      <ns0:c r="L37" s="21">
        <ns0:f>+L36/Q36</ns0:f>
        <ns0:v/>
      </ns0:c>
      <ns0:c r="O37" s="21">
        <ns0:f>+O36/Q36</ns0:f>
        <ns0:v/>
      </ns0:c>
      <ns0:c r="P37" s="21">
        <ns0:f>+P36/Q36</ns0:f>
        <ns0:v/>
      </ns0:c>
      <ns0:c r="S37" s="21" t="n">
        <ns0:v>0</ns0:v>
      </ns0:c>
      <ns0:c r="T37" s="21" t="n">
        <ns0:v>0</ns0:v>
      </ns0:c>
    </ns0:row>
    <ns0:row r="38">
      <ns0:c r="C38" s="21" t="inlineStr">
        <ns0:is>
          <ns0:t>Bonding CD + Coil  amount 1.8~2.0mg</ns0:t>
        </ns0:is>
      </ns0:c>
      <ns0:c r="D38" s="21" t="inlineStr">
        <ns0:is>
          <ns0:t>MC AWF #5
Coil 0.097</ns0:t>
        </ns0:is>
      </ns0:c>
      <ns0:c r="E38" s="21" t="inlineStr">
        <ns0:is>
          <ns0:t>Frame test V3</ns0:t>
        </ns0:is>
      </ns0:c>
      <ns0:c r="F38" s="21" t="inlineStr">
        <ns0:is>
          <ns0:t>New Yoke ( New SM+Yoke jig)  SMG 0.02 Open</ns0:t>
        </ns0:is>
      </ns0:c>
      <ns0:c r="G38" s="21" t="n">
        <ns0:v>53</ns0:v>
      </ns0:c>
      <ns0:c r="H38" s="21">
        <ns0:f>+G38-Q38</ns0:f>
        <ns0:v/>
      </ns0:c>
      <ns0:c r="I38" s="21" t="n">
        <ns0:v>0</ns0:v>
      </ns0:c>
      <ns0:c r="J38" s="21" t="n">
        <ns0:v>0</ns0:v>
      </ns0:c>
      <ns0:c r="K38" s="21" t="n">
        <ns0:v>0</ns0:v>
      </ns0:c>
      <ns0:c r="L38" s="21" t="n">
        <ns0:v>0</ns0:v>
      </ns0:c>
      <ns0:c r="M38" s="21">
        <ns0:f>SUM(I38:L38)</ns0:f>
        <ns0:v/>
      </ns0:c>
      <ns0:c r="N38" s="21">
        <ns0:f>+M38/G38</ns0:f>
        <ns0:v/>
      </ns0:c>
      <ns0:c r="O38" s="21" t="n">
        <ns0:v>9</ns0:v>
      </ns0:c>
      <ns0:c r="P38" s="21" t="n">
        <ns0:v>3</ns0:v>
      </ns0:c>
      <ns0:c r="Q38" s="21">
        <ns0:f>SUM(O38:P38)</ns0:f>
        <ns0:v/>
      </ns0:c>
      <ns0:c r="R38" s="21">
        <ns0:f>+Q38/G38</ns0:f>
        <ns0:v/>
      </ns0:c>
      <ns0:c r="S38" s="21" t="n">
        <ns0:v>3</ns0:v>
      </ns0:c>
      <ns0:c r="T38" s="21" t="n">
        <ns0:v>0</ns0:v>
      </ns0:c>
      <ns0:c r="U38" s="21">
        <ns0:f>SUM(S38:T38)</ns0:f>
        <ns0:v/>
      </ns0:c>
      <ns0:c r="V38" s="21">
        <ns0:f>+U38/G38</ns0:f>
        <ns0:v/>
      </ns0:c>
    </ns0:row>
    <ns0:row r="39">
      <ns0:c r="I39" s="21">
        <ns0:f>+I38/Q38</ns0:f>
        <ns0:v/>
      </ns0:c>
      <ns0:c r="J39" s="21">
        <ns0:f>+J38/Q38</ns0:f>
        <ns0:v/>
      </ns0:c>
      <ns0:c r="K39" s="21">
        <ns0:f>+K38/Q38</ns0:f>
        <ns0:v/>
      </ns0:c>
      <ns0:c r="L39" s="21">
        <ns0:f>+L38/Q38</ns0:f>
        <ns0:v/>
      </ns0:c>
      <ns0:c r="O39" s="21">
        <ns0:f>+O38/Q38</ns0:f>
        <ns0:v/>
      </ns0:c>
      <ns0:c r="P39" s="21">
        <ns0:f>+P38/Q38</ns0:f>
        <ns0:v/>
      </ns0:c>
      <ns0:c r="S39" s="21" t="n">
        <ns0:v>0</ns0:v>
      </ns0:c>
      <ns0:c r="T39" s="21" t="n">
        <ns0:v>0</ns0:v>
      </ns0:c>
    </ns0:row>
    <ns0:row r="40" ht="54.75" customHeight="1">
      <ns0:c r="B40" s="22" t="n">
        <ns0:v>45714</ns0:v>
      </ns0:c>
      <ns0:c r="C40" s="21" t="inlineStr">
        <ns0:is>
          <ns0:t>Bonding CD + Coil  amount 1.8~2.0mg</ns0:t>
        </ns0:is>
      </ns0:c>
      <ns0:c r="D40" s="21" t="inlineStr">
        <ns0:is>
          <ns0:t>MC AWF #3
Coil 0.096</ns0:t>
        </ns0:is>
      </ns0:c>
      <ns0:c r="E40" s="21" t="inlineStr">
        <ns0:is>
          <ns0:t>Frame test V2</ns0:t>
        </ns0:is>
      </ns0:c>
      <ns0:c r="F40" s="21" t="inlineStr">
        <ns0:is>
          <ns0:t>New Yoke ( New SM+Yoke jig)  SMG 0.02 Open</ns0:t>
        </ns0:is>
      </ns0:c>
      <ns0:c r="G40" s="21" t="n">
        <ns0:v>365</ns0:v>
      </ns0:c>
      <ns0:c r="H40" s="21">
        <ns0:f>+G40-Q40</ns0:f>
        <ns0:v/>
      </ns0:c>
      <ns0:c r="I40" s="21" t="n">
        <ns0:v>0</ns0:v>
      </ns0:c>
      <ns0:c r="J40" s="21" t="n">
        <ns0:v>0</ns0:v>
      </ns0:c>
      <ns0:c r="K40" s="21" t="n">
        <ns0:v>0</ns0:v>
      </ns0:c>
      <ns0:c r="L40" s="21" t="n">
        <ns0:v>0</ns0:v>
      </ns0:c>
      <ns0:c r="M40" s="21">
        <ns0:f>SUM(I40:L40)</ns0:f>
        <ns0:v/>
      </ns0:c>
      <ns0:c r="N40" s="21">
        <ns0:f>+M40/G40</ns0:f>
        <ns0:v/>
      </ns0:c>
      <ns0:c r="O40" s="21" t="n">
        <ns0:v>14</ns0:v>
      </ns0:c>
      <ns0:c r="P40" s="21" t="n">
        <ns0:v>15</ns0:v>
      </ns0:c>
      <ns0:c r="Q40" s="21">
        <ns0:f>SUM(O40:P40)</ns0:f>
        <ns0:v/>
      </ns0:c>
      <ns0:c r="R40" s="21">
        <ns0:f>+Q40/G40</ns0:f>
        <ns0:v/>
      </ns0:c>
      <ns0:c r="S40" s="21" t="n">
        <ns0:v>2</ns0:v>
      </ns0:c>
      <ns0:c r="T40" s="21" t="n">
        <ns0:v>0</ns0:v>
      </ns0:c>
      <ns0:c r="U40" s="21">
        <ns0:f>SUM(S40:T40)</ns0:f>
        <ns0:v/>
      </ns0:c>
      <ns0:c r="V40" s="21">
        <ns0:f>+U40/G40</ns0:f>
        <ns0:v/>
      </ns0:c>
    </ns0:row>
    <ns0:row r="41" ht="54.75" customHeight="1">
      <ns0:c r="I41" s="21">
        <ns0:f>+I40/Q40</ns0:f>
        <ns0:v/>
      </ns0:c>
      <ns0:c r="J41" s="21">
        <ns0:f>+J40/Q40</ns0:f>
        <ns0:v/>
      </ns0:c>
      <ns0:c r="K41" s="21">
        <ns0:f>+K40/Q40</ns0:f>
        <ns0:v/>
      </ns0:c>
      <ns0:c r="L41" s="21">
        <ns0:f>+L40/Q40</ns0:f>
        <ns0:v/>
      </ns0:c>
      <ns0:c r="O41" s="21">
        <ns0:f>+O40/Q40</ns0:f>
        <ns0:v/>
      </ns0:c>
      <ns0:c r="P41" s="21">
        <ns0:f>+P40/Q40</ns0:f>
        <ns0:v/>
      </ns0:c>
      <ns0:c r="S41" s="21" t="n">
        <ns0:v>0</ns0:v>
      </ns0:c>
      <ns0:c r="T41" s="21" t="n">
        <ns0:v>0</ns0:v>
      </ns0:c>
    </ns0:row>
    <ns0:row r="42" ht="54.75" customHeight="1">
      <ns0:c r="C42" s="21" t="inlineStr">
        <ns0:is>
          <ns0:t>Bonding CD + Coil  amount 1.8~2.0mg</ns0:t>
        </ns0:is>
      </ns0:c>
      <ns0:c r="D42" s="21" t="inlineStr">
        <ns0:is>
          <ns0:t>All AWF
Coil 0.097</ns0:t>
        </ns0:is>
      </ns0:c>
      <ns0:c r="E42" s="21" t="inlineStr">
        <ns0:is>
          <ns0:t>Frame normal</ns0:t>
        </ns0:is>
      </ns0:c>
      <ns0:c r="F42" s="21" t="inlineStr">
        <ns0:is>
          <ns0:t>Yoke normal</ns0:t>
        </ns0:is>
      </ns0:c>
      <ns0:c r="G42" s="21" t="n">
        <ns0:v>300</ns0:v>
      </ns0:c>
      <ns0:c r="H42" s="21">
        <ns0:f>+G42-Q42</ns0:f>
        <ns0:v/>
      </ns0:c>
      <ns0:c r="I42" s="21" t="n">
        <ns0:v>0</ns0:v>
      </ns0:c>
      <ns0:c r="J42" s="21" t="n">
        <ns0:v>0</ns0:v>
      </ns0:c>
      <ns0:c r="K42" s="21" t="n">
        <ns0:v>0</ns0:v>
      </ns0:c>
      <ns0:c r="L42" s="21" t="n">
        <ns0:v>0</ns0:v>
      </ns0:c>
      <ns0:c r="M42" s="21">
        <ns0:f>SUM(I42:L42)</ns0:f>
        <ns0:v/>
      </ns0:c>
      <ns0:c r="N42" s="21">
        <ns0:f>+M42/G42</ns0:f>
        <ns0:v/>
      </ns0:c>
      <ns0:c r="O42" s="21" t="n">
        <ns0:v>14</ns0:v>
      </ns0:c>
      <ns0:c r="P42" s="21" t="n">
        <ns0:v>32</ns0:v>
      </ns0:c>
      <ns0:c r="Q42" s="21">
        <ns0:f>SUM(O42:P42)</ns0:f>
        <ns0:v/>
      </ns0:c>
      <ns0:c r="R42" s="21">
        <ns0:f>+Q42/G42</ns0:f>
        <ns0:v/>
      </ns0:c>
      <ns0:c r="S42" s="21" t="n">
        <ns0:v>2</ns0:v>
      </ns0:c>
      <ns0:c r="T42" s="21" t="n">
        <ns0:v>5</ns0:v>
      </ns0:c>
      <ns0:c r="U42" s="21">
        <ns0:f>SUM(S42:T42)</ns0:f>
        <ns0:v/>
      </ns0:c>
      <ns0:c r="V42" s="23">
        <ns0:f>+U42/G42</ns0:f>
        <ns0:v/>
      </ns0:c>
    </ns0:row>
    <ns0:row r="43" ht="54.75" customHeight="1">
      <ns0:c r="I43" s="21">
        <ns0:f>+I42/Q42</ns0:f>
        <ns0:v/>
      </ns0:c>
      <ns0:c r="J43" s="21">
        <ns0:f>+J42/Q42</ns0:f>
        <ns0:v/>
      </ns0:c>
      <ns0:c r="K43" s="21">
        <ns0:f>+K42/Q42</ns0:f>
        <ns0:v/>
      </ns0:c>
      <ns0:c r="L43" s="21">
        <ns0:f>+L42/Q42</ns0:f>
        <ns0:v/>
      </ns0:c>
      <ns0:c r="O43" s="21">
        <ns0:f>+O42/Q42</ns0:f>
        <ns0:v/>
      </ns0:c>
      <ns0:c r="P43" s="21">
        <ns0:f>+P42/Q42</ns0:f>
        <ns0:v/>
      </ns0:c>
      <ns0:c r="S43" s="21" t="n">
        <ns0:v>0</ns0:v>
      </ns0:c>
      <ns0:c r="T43" s="21" t="n">
        <ns0:v>0</ns0:v>
      </ns0:c>
    </ns0:row>
  </ns0:sheetData>
  <ns0:mergeCells count="1">
    <ns0:mergeCell ref="V42:V43"/>
  </ns0:mergeCells>
  <ns0:pageMargins left="0.75" right="0.75" top="1" bottom="1" header="0.5" footer="0.5"/>
</ns0:worksheet>
</file>

<file path=xl/worksheets/sheet15.xml><?xml version="1.0" encoding="utf-8"?>
<ns0:worksheet xmlns:ns0="http://schemas.openxmlformats.org/spreadsheetml/2006/main">
  <ns0:sheetPr>
    <ns0:outlinePr summaryBelow="1" summaryRight="1"/>
    <ns0:pageSetUpPr/>
  </ns0:sheetPr>
  <ns0:dimension ref="B3:S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50.38" customWidth="1" min="3" max="3"/>
    <ns0:col width="17.25" customWidth="1" min="4" max="4"/>
    <ns0:col width="15.75" customWidth="1" min="5" max="5"/>
    <ns0:col width="17.38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  <ns0:col width="17.38" customWidth="1" min="19" max="19"/>
  </ns0:cols>
  <ns0:sheetData>
    <ns0:row r="3" ht="18.75" customHeight="1">
      <ns0:c r="B3" s="21" t="inlineStr">
        <ns0:is>
          <ns0:t>RESULT CHECK FUNCTION OF LOT TEST VP CHANGE THICKNESS 70 -&gt; 65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>Test type</ns0:t>
        </ns0:is>
      </ns0:c>
      <ns0:c r="D4" s="21" t="inlineStr">
        <ns0:is>
          <ns0:t xml:space="preserve">Input </ns0:t>
        </ns0:is>
      </ns0:c>
      <ns0:c r="E4" s="21" t="inlineStr">
        <ns0:is>
          <ns0:t xml:space="preserve">OK </ns0:t>
        </ns0:is>
      </ns0:c>
      <ns0:c r="F4" s="21" t="inlineStr">
        <ns0:is>
          <ns0:t xml:space="preserve">Sigma </ns0:t>
        </ns0:is>
      </ns0:c>
      <ns0:c r="L4" s="21" t="inlineStr">
        <ns0:is>
          <ns0:t xml:space="preserve">Hearing  ( + 1V ) </ns0:t>
        </ns0:is>
      </ns0:c>
      <ns0:c r="P4" s="21" t="inlineStr">
        <ns0:is>
          <ns0:t xml:space="preserve">Hearing  ( + 0V ) </ns0:t>
        </ns0:is>
      </ns0:c>
    </ns0:row>
    <ns0:row r="5" ht="35.25" customHeight="1">
      <ns0:c r="F5" s="21" t="inlineStr">
        <ns0:is>
          <ns0:t xml:space="preserve">SPL </ns0:t>
        </ns0:is>
      </ns0:c>
      <ns0:c r="G5" s="21" t="inlineStr">
        <ns0:is>
          <ns0:t xml:space="preserve">THD </ns0:t>
        </ns0:is>
      </ns0:c>
      <ns0:c r="H5" s="21" t="inlineStr">
        <ns0:is>
          <ns0:t xml:space="preserve">SPL+THD </ns0:t>
        </ns0:is>
      </ns0:c>
      <ns0:c r="I5" s="21" t="inlineStr">
        <ns0:is>
          <ns0:t>SPL+THD+F0</ns0:t>
        </ns0:is>
      </ns0:c>
      <ns0:c r="J5" s="21" t="inlineStr">
        <ns0:is>
          <ns0:t>Total NG</ns0:t>
        </ns0:is>
      </ns0:c>
      <ns0:c r="K5" s="21" t="inlineStr">
        <ns0:is>
          <ns0:t>NG Rate</ns0:t>
        </ns0:is>
      </ns0:c>
      <ns0:c r="L5" s="21" t="inlineStr">
        <ns0:is>
          <ns0:t xml:space="preserve">Noise </ns0:t>
        </ns0:is>
      </ns0:c>
      <ns0:c r="M5" s="21" t="inlineStr">
        <ns0:is>
          <ns0:t xml:space="preserve">Touch </ns0:t>
        </ns0:is>
      </ns0:c>
      <ns0:c r="N5" s="21" t="inlineStr">
        <ns0:is>
          <ns0:t>Total NG</ns0:t>
        </ns0:is>
      </ns0:c>
      <ns0:c r="O5" s="21" t="inlineStr">
        <ns0:is>
          <ns0:t>NG Rate</ns0:t>
        </ns0:is>
      </ns0:c>
      <ns0:c r="P5" s="21" t="inlineStr">
        <ns0:is>
          <ns0:t xml:space="preserve">Noise </ns0:t>
        </ns0:is>
      </ns0:c>
      <ns0:c r="Q5" s="21" t="inlineStr">
        <ns0:is>
          <ns0:t xml:space="preserve">Touch </ns0:t>
        </ns0:is>
      </ns0:c>
      <ns0:c r="R5" s="21" t="inlineStr">
        <ns0:is>
          <ns0:t>Total NG</ns0:t>
        </ns0:is>
      </ns0:c>
      <ns0:c r="S5" s="21" t="inlineStr">
        <ns0:is>
          <ns0:t>NG Rate</ns0:t>
        </ns0:is>
      </ns0:c>
    </ns0:row>
    <ns0:row r="6" ht="34.5" customHeight="1">
      <ns0:c r="B6" s="22" t="n">
        <ns0:v>45712</ns0:v>
      </ns0:c>
      <ns0:c r="C6" s="21" t="inlineStr">
        <ns0:is>
          <ns0:t>Test VP change thickness 70 -&gt; 65</ns0:t>
        </ns0:is>
      </ns0:c>
      <ns0:c r="D6" s="21" t="n">
        <ns0:v>98</ns0:v>
      </ns0:c>
      <ns0:c r="E6" s="21">
        <ns0:f>+D6-N6</ns0:f>
        <ns0:v/>
      </ns0:c>
      <ns0:c r="F6" s="21" t="n">
        <ns0:v>0</ns0:v>
      </ns0:c>
      <ns0:c r="G6" s="21" t="n">
        <ns0:v>0</ns0:v>
      </ns0:c>
      <ns0:c r="H6" s="21" t="n">
        <ns0:v>1</ns0:v>
      </ns0:c>
      <ns0:c r="I6" s="21" t="n">
        <ns0:v>0</ns0:v>
      </ns0:c>
      <ns0:c r="J6" s="21">
        <ns0:f>SUM(F6:I6)</ns0:f>
        <ns0:v/>
      </ns0:c>
      <ns0:c r="K6" s="21">
        <ns0:f>J6/D6</ns0:f>
        <ns0:v/>
      </ns0:c>
      <ns0:c r="L6" s="21" t="n">
        <ns0:v>3</ns0:v>
      </ns0:c>
      <ns0:c r="M6" s="21" t="n">
        <ns0:v>9</ns0:v>
      </ns0:c>
      <ns0:c r="N6" s="21">
        <ns0:f>SUM(L6:M6)</ns0:f>
        <ns0:v/>
      </ns0:c>
      <ns0:c r="O6" s="21">
        <ns0:f>+N6/D6</ns0:f>
        <ns0:v/>
      </ns0:c>
      <ns0:c r="P6" s="21" t="n">
        <ns0:v>0</ns0:v>
      </ns0:c>
      <ns0:c r="Q6" s="21" t="n">
        <ns0:v>3</ns0:v>
      </ns0:c>
      <ns0:c r="R6" s="21">
        <ns0:f>SUM(P6:Q6)</ns0:f>
        <ns0:v/>
      </ns0:c>
      <ns0:c r="S6" s="21">
        <ns0:f>+R6/D6</ns0:f>
        <ns0:v/>
      </ns0:c>
    </ns0:row>
    <ns0:row r="7" ht="34.5" customHeight="1">
      <ns0:c r="F7" s="21">
        <ns0:f>+F6/N6</ns0:f>
        <ns0:v/>
      </ns0:c>
      <ns0:c r="G7" s="21">
        <ns0:f>+G6/N6</ns0:f>
        <ns0:v/>
      </ns0:c>
      <ns0:c r="H7" s="21">
        <ns0:f>+H6/N6</ns0:f>
        <ns0:v/>
      </ns0:c>
      <ns0:c r="I7" s="21">
        <ns0:f>+I6/N6</ns0:f>
        <ns0:v/>
      </ns0:c>
      <ns0:c r="L7" s="21">
        <ns0:f>+L6/N6</ns0:f>
        <ns0:v/>
      </ns0:c>
      <ns0:c r="M7" s="21">
        <ns0:f>+M6/N6</ns0:f>
        <ns0:v/>
      </ns0:c>
      <ns0:c r="P7" s="21">
        <ns0:f>+P6/R6</ns0:f>
        <ns0:v/>
      </ns0:c>
      <ns0:c r="Q7" s="21">
        <ns0:f>+Q6/R6</ns0:f>
        <ns0:v/>
      </ns0:c>
    </ns0:row>
    <ns0:row r="8" ht="34.5" customHeight="1">
      <ns0:c r="C8" s="21" t="inlineStr">
        <ns0:is>
          <ns0:t>Normal</ns0:t>
        </ns0:is>
      </ns0:c>
      <ns0:c r="D8" s="21" t="n">
        <ns0:v>798</ns0:v>
      </ns0:c>
      <ns0:c r="E8" s="21">
        <ns0:f>+D8-N8</ns0:f>
        <ns0:v/>
      </ns0:c>
      <ns0:c r="F8" s="21" t="n">
        <ns0:v>0</ns0:v>
      </ns0:c>
      <ns0:c r="G8" s="21" t="n">
        <ns0:v>3</ns0:v>
      </ns0:c>
      <ns0:c r="H8" s="21" t="n">
        <ns0:v>0</ns0:v>
      </ns0:c>
      <ns0:c r="I8" s="21" t="n">
        <ns0:v>0</ns0:v>
      </ns0:c>
      <ns0:c r="J8" s="21">
        <ns0:f>SUM(F8:I8)</ns0:f>
        <ns0:v/>
      </ns0:c>
      <ns0:c r="K8" s="21">
        <ns0:f>+J8/D8</ns0:f>
        <ns0:v/>
      </ns0:c>
      <ns0:c r="L8" s="21" t="n">
        <ns0:v>73</ns0:v>
      </ns0:c>
      <ns0:c r="M8" s="21" t="n">
        <ns0:v>96</ns0:v>
      </ns0:c>
      <ns0:c r="N8" s="21">
        <ns0:f>SUM(L8:M8)</ns0:f>
        <ns0:v/>
      </ns0:c>
      <ns0:c r="O8" s="21">
        <ns0:f>+N8/D8</ns0:f>
        <ns0:v/>
      </ns0:c>
      <ns0:c r="P8" s="21" t="n">
        <ns0:v>22</ns0:v>
      </ns0:c>
      <ns0:c r="Q8" s="21" t="n">
        <ns0:v>16</ns0:v>
      </ns0:c>
      <ns0:c r="R8" s="30">
        <ns0:f>SUM(P8:Q8)</ns0:f>
        <ns0:v/>
      </ns0:c>
      <ns0:c r="S8" s="21">
        <ns0:f>+R8/D8</ns0:f>
        <ns0:v/>
      </ns0:c>
    </ns0:row>
    <ns0:row r="9" ht="34.5" customHeight="1">
      <ns0:c r="F9" s="21">
        <ns0:f>+F8/N8</ns0:f>
        <ns0:v/>
      </ns0:c>
      <ns0:c r="G9" s="21">
        <ns0:f>+G8/N8</ns0:f>
        <ns0:v/>
      </ns0:c>
      <ns0:c r="H9" s="21">
        <ns0:f>+H8/N8</ns0:f>
        <ns0:v/>
      </ns0:c>
      <ns0:c r="I9" s="21">
        <ns0:f>+I8/N8</ns0:f>
        <ns0:v/>
      </ns0:c>
      <ns0:c r="L9" s="21">
        <ns0:f>+L8/N8</ns0:f>
        <ns0:v/>
      </ns0:c>
      <ns0:c r="M9" s="21">
        <ns0:f>+M8/N8</ns0:f>
        <ns0:v/>
      </ns0:c>
      <ns0:c r="P9" s="21" t="n">
        <ns0:v>0</ns0:v>
      </ns0:c>
      <ns0:c r="Q9" s="21" t="n">
        <ns0:v>0</ns0:v>
      </ns0:c>
    </ns0:row>
  </ns0:sheetData>
  <ns0:mergeCells count="2">
    <ns0:mergeCell ref="J8:J9"/>
    <ns0:mergeCell ref="R8:R9"/>
  </ns0:mergeCells>
  <ns0:pageMargins left="0.75" right="0.75" top="1" bottom="1" header="0.5" footer="0.5"/>
</ns0:worksheet>
</file>

<file path=xl/worksheets/sheet16.xml><?xml version="1.0" encoding="utf-8"?>
<ns0:worksheet xmlns:ns0="http://schemas.openxmlformats.org/spreadsheetml/2006/main">
  <ns0:sheetPr>
    <ns0:outlinePr summaryBelow="1" summaryRight="1"/>
    <ns0:pageSetUpPr/>
  </ns0:sheetPr>
  <ns0:dimension ref="B3:V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37.25" customWidth="1" min="3" max="3"/>
    <ns0:col width="54" customWidth="1" min="4" max="4"/>
    <ns0:col width="22.25" customWidth="1" min="5" max="5"/>
    <ns0:col width="22.25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  <ns0:col width="17.38" customWidth="1" min="19" max="19"/>
    <ns0:col width="13.25" customWidth="1" min="20" max="20"/>
    <ns0:col width="13.25" customWidth="1" min="21" max="21"/>
    <ns0:col width="13.25" customWidth="1" min="22" max="22"/>
  </ns0:cols>
  <ns0:sheetData>
    <ns0:row r="3" ht="18.75" customHeight="1">
      <ns0:c r="B3" s="21" t="inlineStr">
        <ns0:is>
          <ns0:t>RESULT CHECK FUNCTION OF LOT TEST CHANGE SPEC  DIMENSION COI ( Before : 12.59 ~12.62 / 7.67 ~7.70     /    After : After : 12.56 ~12.62 / 7.64 ~7.70</ns0:t>
        </ns0:is>
      </ns0:c>
    </ns0:row>
    <ns0:row r="4" ht="35.25" customHeight="1">
      <ns0:c r="B4" s="21" t="inlineStr">
        <ns0:is>
          <ns0:t>Date</ns0:t>
        </ns0:is>
      </ns0:c>
      <ns0:c r="C4" s="21" t="inlineStr">
        <ns0:is>
          <ns0:t xml:space="preserve">Condition test </ns0:t>
        </ns0:is>
      </ns0:c>
      <ns0:c r="G4" s="21" t="inlineStr">
        <ns0:is>
          <ns0:t xml:space="preserve">Input </ns0:t>
        </ns0:is>
      </ns0:c>
      <ns0:c r="H4" s="21" t="inlineStr">
        <ns0:is>
          <ns0:t xml:space="preserve">OK </ns0:t>
        </ns0:is>
      </ns0:c>
      <ns0:c r="I4" s="21" t="inlineStr">
        <ns0:is>
          <ns0:t xml:space="preserve">Sigma </ns0:t>
        </ns0:is>
      </ns0:c>
      <ns0:c r="O4" s="21" t="inlineStr">
        <ns0:is>
          <ns0:t xml:space="preserve">Hearing  ( + 1V ) </ns0:t>
        </ns0:is>
      </ns0:c>
      <ns0:c r="S4" s="21" t="inlineStr">
        <ns0:is>
          <ns0:t xml:space="preserve">Hearing  ( + 0V ) </ns0:t>
        </ns0:is>
      </ns0:c>
    </ns0:row>
    <ns0:row r="5" ht="35.25" customHeight="1">
      <ns0:c r="C5" s="21" t="inlineStr">
        <ns0:is>
          <ns0:t>Bonding</ns0:t>
        </ns0:is>
      </ns0:c>
      <ns0:c r="D5" s="21" t="inlineStr">
        <ns0:is>
          <ns0:t>AWF machine</ns0:t>
        </ns0:is>
      </ns0:c>
      <ns0:c r="E5" s="21" t="inlineStr">
        <ns0:is>
          <ns0:t xml:space="preserve">Frame </ns0:t>
        </ns0:is>
      </ns0:c>
      <ns0:c r="F5" s="21" t="inlineStr">
        <ns0:is>
          <ns0:t>Yoke</ns0:t>
        </ns0:is>
      </ns0:c>
      <ns0:c r="I5" s="21" t="inlineStr">
        <ns0:is>
          <ns0:t xml:space="preserve">SPL </ns0:t>
        </ns0:is>
      </ns0:c>
      <ns0:c r="J5" s="21" t="inlineStr">
        <ns0:is>
          <ns0:t xml:space="preserve">THD </ns0:t>
        </ns0:is>
      </ns0:c>
      <ns0:c r="K5" s="21" t="inlineStr">
        <ns0:is>
          <ns0:t xml:space="preserve">SPL+THD </ns0:t>
        </ns0:is>
      </ns0:c>
      <ns0:c r="L5" s="21" t="inlineStr">
        <ns0:is>
          <ns0:t>SPL+THD+F0</ns0:t>
        </ns0:is>
      </ns0:c>
      <ns0:c r="M5" s="21" t="inlineStr">
        <ns0:is>
          <ns0:t>Total NG</ns0:t>
        </ns0:is>
      </ns0:c>
      <ns0:c r="N5" s="21" t="inlineStr">
        <ns0:is>
          <ns0:t>NG Rate</ns0:t>
        </ns0:is>
      </ns0:c>
      <ns0:c r="O5" s="21" t="inlineStr">
        <ns0:is>
          <ns0:t xml:space="preserve">Noise </ns0:t>
        </ns0:is>
      </ns0:c>
      <ns0:c r="P5" s="21" t="inlineStr">
        <ns0:is>
          <ns0:t xml:space="preserve">Touch </ns0:t>
        </ns0:is>
      </ns0:c>
      <ns0:c r="Q5" s="21" t="inlineStr">
        <ns0:is>
          <ns0:t>Total NG</ns0:t>
        </ns0:is>
      </ns0:c>
      <ns0:c r="R5" s="21" t="inlineStr">
        <ns0:is>
          <ns0:t>NG Rate</ns0:t>
        </ns0:is>
      </ns0:c>
      <ns0:c r="S5" s="21" t="inlineStr">
        <ns0:is>
          <ns0:t xml:space="preserve">Noise </ns0:t>
        </ns0:is>
      </ns0:c>
      <ns0:c r="T5" s="21" t="inlineStr">
        <ns0:is>
          <ns0:t xml:space="preserve">Touch </ns0:t>
        </ns0:is>
      </ns0:c>
      <ns0:c r="U5" s="21" t="inlineStr">
        <ns0:is>
          <ns0:t>Total NG</ns0:t>
        </ns0:is>
      </ns0:c>
      <ns0:c r="V5" s="21" t="inlineStr">
        <ns0:is>
          <ns0:t>NG Rate</ns0:t>
        </ns0:is>
      </ns0:c>
    </ns0:row>
    <ns0:row r="6" ht="51.5" customHeight="1">
      <ns0:c r="B6" s="22" t="n">
        <ns0:v>45712</ns0:v>
      </ns0:c>
      <ns0:c r="C6" s="21" t="inlineStr">
        <ns0:is>
          <ns0:t>Bonding CD + Coil  amount 1.8~2.0mg</ns0:t>
        </ns0:is>
      </ns0:c>
      <ns0:c r="D6" s="21" t="inlineStr">
        <ns0:is>
          <ns0:t xml:space="preserve">MC AWF #  1
Coil 0.097
Change Spec dimension 
After : 12.56 ~12.62 / 7.64 ~7.70
</ns0:t>
        </ns0:is>
      </ns0:c>
      <ns0:c r="E6" s="21" t="inlineStr">
        <ns0:is>
          <ns0:t>Frame normal</ns0:t>
        </ns0:is>
      </ns0:c>
      <ns0:c r="F6" s="21" t="inlineStr">
        <ns0:is>
          <ns0:t>Yokenormal</ns0:t>
        </ns0:is>
      </ns0:c>
      <ns0:c r="G6" s="21" t="n">
        <ns0:v>178</ns0:v>
      </ns0:c>
      <ns0:c r="H6" s="21">
        <ns0:f>+G6-Q6</ns0:f>
        <ns0:v/>
      </ns0:c>
      <ns0:c r="I6" s="21" t="n">
        <ns0:v>0</ns0:v>
      </ns0:c>
      <ns0:c r="J6" s="21" t="n">
        <ns0:v>2</ns0:v>
      </ns0:c>
      <ns0:c r="K6" s="21" t="n">
        <ns0:v>3</ns0:v>
      </ns0:c>
      <ns0:c r="L6" s="21" t="n">
        <ns0:v>0</ns0:v>
      </ns0:c>
      <ns0:c r="M6" s="21">
        <ns0:f>SUM(I6:L6)</ns0:f>
        <ns0:v/>
      </ns0:c>
      <ns0:c r="N6" s="21">
        <ns0:f>+M6/G6</ns0:f>
        <ns0:v/>
      </ns0:c>
      <ns0:c r="O6" s="21" t="n">
        <ns0:v>4</ns0:v>
      </ns0:c>
      <ns0:c r="P6" s="21" t="n">
        <ns0:v>16</ns0:v>
      </ns0:c>
      <ns0:c r="Q6" s="21">
        <ns0:f>SUM(O6:P6)</ns0:f>
        <ns0:v/>
      </ns0:c>
      <ns0:c r="R6" s="21">
        <ns0:f>+Q6/G6</ns0:f>
        <ns0:v/>
      </ns0:c>
      <ns0:c r="S6" s="21" t="n">
        <ns0:v>3</ns0:v>
      </ns0:c>
      <ns0:c r="T6" s="21" t="n">
        <ns0:v>1</ns0:v>
      </ns0:c>
      <ns0:c r="U6" s="21">
        <ns0:f>SUM(S6:T6)</ns0:f>
        <ns0:v/>
      </ns0:c>
      <ns0:c r="V6" s="21">
        <ns0:f>+U6/G6</ns0:f>
        <ns0:v/>
      </ns0:c>
    </ns0:row>
    <ns0:row r="7" ht="51.5" customHeight="1">
      <ns0:c r="I7" s="21">
        <ns0:f>+I6/Q6</ns0:f>
        <ns0:v/>
      </ns0:c>
      <ns0:c r="J7" s="21">
        <ns0:f>+J6/Q6</ns0:f>
        <ns0:v/>
      </ns0:c>
      <ns0:c r="K7" s="21">
        <ns0:f>+K6/Q6</ns0:f>
        <ns0:v/>
      </ns0:c>
      <ns0:c r="L7" s="21">
        <ns0:f>+L6/Q6</ns0:f>
        <ns0:v/>
      </ns0:c>
      <ns0:c r="O7" s="21">
        <ns0:f>+O6/Q6</ns0:f>
        <ns0:v/>
      </ns0:c>
      <ns0:c r="P7" s="21">
        <ns0:f>+P6/Q6</ns0:f>
        <ns0:v/>
      </ns0:c>
      <ns0:c r="S7" s="21" t="n">
        <ns0:v>0</ns0:v>
      </ns0:c>
      <ns0:c r="T7" s="21" t="n">
        <ns0:v>0</ns0:v>
      </ns0:c>
    </ns0:row>
    <ns0:row r="8" ht="51.5" customHeight="1">
      <ns0:c r="C8" s="21" t="inlineStr">
        <ns0:is>
          <ns0:t>Bonding CD + Coil  amount 1.8~2.0mg</ns0:t>
        </ns0:is>
      </ns0:c>
      <ns0:c r="D8" s="21" t="inlineStr">
        <ns0:is>
          <ns0:t>MC AWF #2,3,4,5
Coil 0.097
Old spec
Before : 12.59 ~12.62 / 7.67 ~7.70</ns0:t>
        </ns0:is>
      </ns0:c>
      <ns0:c r="E8" s="21" t="inlineStr">
        <ns0:is>
          <ns0:t>Frame normal</ns0:t>
        </ns0:is>
      </ns0:c>
      <ns0:c r="F8" s="21" t="inlineStr">
        <ns0:is>
          <ns0:t>Yoke normal</ns0:t>
        </ns0:is>
      </ns0:c>
      <ns0:c r="G8" s="21" t="n">
        <ns0:v>240</ns0:v>
      </ns0:c>
      <ns0:c r="H8" s="21">
        <ns0:f>+G8-Q8</ns0:f>
        <ns0:v/>
      </ns0:c>
      <ns0:c r="I8" s="21" t="n">
        <ns0:v>0</ns0:v>
      </ns0:c>
      <ns0:c r="J8" s="21" t="n">
        <ns0:v>0</ns0:v>
      </ns0:c>
      <ns0:c r="K8" s="21" t="n">
        <ns0:v>0</ns0:v>
      </ns0:c>
      <ns0:c r="L8" s="21" t="n">
        <ns0:v>0</ns0:v>
      </ns0:c>
      <ns0:c r="M8" s="21">
        <ns0:f>SUM(I8:L8)</ns0:f>
        <ns0:v/>
      </ns0:c>
      <ns0:c r="N8" s="21">
        <ns0:f>+M8/G8</ns0:f>
        <ns0:v/>
      </ns0:c>
      <ns0:c r="O8" s="21" t="n">
        <ns0:v>12</ns0:v>
      </ns0:c>
      <ns0:c r="P8" s="21" t="n">
        <ns0:v>11</ns0:v>
      </ns0:c>
      <ns0:c r="Q8" s="21">
        <ns0:f>SUM(O8:P8)</ns0:f>
        <ns0:v/>
      </ns0:c>
      <ns0:c r="R8" s="21">
        <ns0:f>+Q8/G8</ns0:f>
        <ns0:v/>
      </ns0:c>
      <ns0:c r="S8" s="21" t="n">
        <ns0:v>5</ns0:v>
      </ns0:c>
      <ns0:c r="T8" s="21" t="n">
        <ns0:v>2</ns0:v>
      </ns0:c>
      <ns0:c r="U8" s="30">
        <ns0:f>SUM(S8:T8)</ns0:f>
        <ns0:v/>
      </ns0:c>
      <ns0:c r="V8" s="21">
        <ns0:f>+U8/G8</ns0:f>
        <ns0:v/>
      </ns0:c>
    </ns0:row>
    <ns0:row r="9" ht="51.5" customHeight="1">
      <ns0:c r="I9" s="21">
        <ns0:f>+I8/Q8</ns0:f>
        <ns0:v/>
      </ns0:c>
      <ns0:c r="J9" s="21">
        <ns0:f>+J8/Q8</ns0:f>
        <ns0:v/>
      </ns0:c>
      <ns0:c r="K9" s="31">
        <ns0:f>+K8/Q8</ns0:f>
        <ns0:v/>
      </ns0:c>
      <ns0:c r="L9" s="21">
        <ns0:f>+L8/Q8</ns0:f>
        <ns0:v/>
      </ns0:c>
      <ns0:c r="O9" s="21">
        <ns0:f>+O8/Q8</ns0:f>
        <ns0:v/>
      </ns0:c>
      <ns0:c r="P9" s="21">
        <ns0:f>+P8/Q8</ns0:f>
        <ns0:v/>
      </ns0:c>
      <ns0:c r="S9" s="21" t="n">
        <ns0:v>0</ns0:v>
      </ns0:c>
      <ns0:c r="T9" s="21" t="n">
        <ns0:v>0</ns0:v>
      </ns0:c>
    </ns0:row>
  </ns0:sheetData>
  <ns0:mergeCells count="1">
    <ns0:mergeCell ref="U8:U9"/>
  </ns0:mergeCells>
  <ns0:pageMargins left="0.75" right="0.75" top="1" bottom="1" header="0.5" footer="0.5"/>
</ns0:worksheet>
</file>

<file path=xl/worksheets/sheet17.xml><?xml version="1.0" encoding="utf-8"?>
<ns0:worksheet xmlns:ns0="http://schemas.openxmlformats.org/spreadsheetml/2006/main">
  <ns0:sheetPr>
    <ns0:outlinePr summaryBelow="1" summaryRight="1"/>
    <ns0:pageSetUpPr/>
  </ns0:sheetPr>
  <ns0:dimension ref="B3:S22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35.38" customWidth="1" min="3" max="3"/>
    <ns0:col width="17.25" customWidth="1" min="4" max="4"/>
    <ns0:col width="15.75" customWidth="1" min="5" max="5"/>
    <ns0:col width="17.38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  <ns0:col width="17.38" customWidth="1" min="19" max="19"/>
  </ns0:cols>
  <ns0:sheetData>
    <ns0:row r="3" ht="18.75" customHeight="1">
      <ns0:c r="B3" s="32" t="inlineStr">
        <ns0:is>
          <ns0:t>RESULT CHECK FUNCTION OF LOT TEST SUB 1 JIG REPAIR</ns0:t>
        </ns0:is>
      </ns0:c>
    </ns0:row>
    <ns0:row r="4" ht="35.25" customHeight="1">
      <ns0:c r="B4" s="32" t="inlineStr">
        <ns0:is>
          <ns0:t>Date</ns0:t>
        </ns0:is>
      </ns0:c>
      <ns0:c r="C4" s="32" t="inlineStr">
        <ns0:is>
          <ns0:t>Bonding amount Coil+CD</ns0:t>
        </ns0:is>
      </ns0:c>
      <ns0:c r="D4" s="32" t="inlineStr">
        <ns0:is>
          <ns0:t xml:space="preserve">Input </ns0:t>
        </ns0:is>
      </ns0:c>
      <ns0:c r="E4" s="32" t="inlineStr">
        <ns0:is>
          <ns0:t xml:space="preserve">OK </ns0:t>
        </ns0:is>
      </ns0:c>
      <ns0:c r="F4" s="32" t="inlineStr">
        <ns0:is>
          <ns0:t xml:space="preserve">Sigma </ns0:t>
        </ns0:is>
      </ns0:c>
      <ns0:c r="L4" s="32" t="inlineStr">
        <ns0:is>
          <ns0:t xml:space="preserve">Hearing  ( + 1V ) </ns0:t>
        </ns0:is>
      </ns0:c>
      <ns0:c r="P4" s="32" t="inlineStr">
        <ns0:is>
          <ns0:t xml:space="preserve">Hearing  ( + 0V ) </ns0:t>
        </ns0:is>
      </ns0:c>
    </ns0:row>
    <ns0:row r="5" ht="35.25" customHeight="1">
      <ns0:c r="F5" s="32" t="inlineStr">
        <ns0:is>
          <ns0:t xml:space="preserve">SPL </ns0:t>
        </ns0:is>
      </ns0:c>
      <ns0:c r="G5" s="32" t="inlineStr">
        <ns0:is>
          <ns0:t xml:space="preserve">THD </ns0:t>
        </ns0:is>
      </ns0:c>
      <ns0:c r="H5" s="32" t="inlineStr">
        <ns0:is>
          <ns0:t xml:space="preserve">SPL+THD </ns0:t>
        </ns0:is>
      </ns0:c>
      <ns0:c r="I5" s="32" t="inlineStr">
        <ns0:is>
          <ns0:t>SPL+THD+F0</ns0:t>
        </ns0:is>
      </ns0:c>
      <ns0:c r="J5" s="32" t="inlineStr">
        <ns0:is>
          <ns0:t>Total NG</ns0:t>
        </ns0:is>
      </ns0:c>
      <ns0:c r="K5" s="32" t="inlineStr">
        <ns0:is>
          <ns0:t>NG Rate</ns0:t>
        </ns0:is>
      </ns0:c>
      <ns0:c r="L5" s="32" t="inlineStr">
        <ns0:is>
          <ns0:t xml:space="preserve">Noise </ns0:t>
        </ns0:is>
      </ns0:c>
      <ns0:c r="M5" s="32" t="inlineStr">
        <ns0:is>
          <ns0:t xml:space="preserve">Touch </ns0:t>
        </ns0:is>
      </ns0:c>
      <ns0:c r="N5" s="32" t="inlineStr">
        <ns0:is>
          <ns0:t>Total NG</ns0:t>
        </ns0:is>
      </ns0:c>
      <ns0:c r="O5" s="32" t="inlineStr">
        <ns0:is>
          <ns0:t>NG Rate</ns0:t>
        </ns0:is>
      </ns0:c>
      <ns0:c r="P5" s="32" t="inlineStr">
        <ns0:is>
          <ns0:t xml:space="preserve">Noise </ns0:t>
        </ns0:is>
      </ns0:c>
      <ns0:c r="Q5" s="32" t="inlineStr">
        <ns0:is>
          <ns0:t xml:space="preserve">Touch </ns0:t>
        </ns0:is>
      </ns0:c>
      <ns0:c r="R5" s="32" t="inlineStr">
        <ns0:is>
          <ns0:t>Total NG</ns0:t>
        </ns0:is>
      </ns0:c>
      <ns0:c r="S5" s="32" t="inlineStr">
        <ns0:is>
          <ns0:t>NG Rate</ns0:t>
        </ns0:is>
      </ns0:c>
    </ns0:row>
    <ns0:row r="6">
      <ns0:c r="B6" s="33" t="n">
        <ns0:v>45705</ns0:v>
      </ns0:c>
      <ns0:c r="C6" s="32" t="inlineStr">
        <ns0:is>
          <ns0:t>Sub 1 jig repair CD position more up 0.1mm</ns0:t>
        </ns0:is>
      </ns0:c>
      <ns0:c r="D6" s="32" t="n">
        <ns0:v>100</ns0:v>
      </ns0:c>
      <ns0:c r="E6" s="32">
        <ns0:f>+D6-N6</ns0:f>
        <ns0:v/>
      </ns0:c>
      <ns0:c r="F6" s="32" t="n">
        <ns0:v>0</ns0:v>
      </ns0:c>
      <ns0:c r="G6" s="32" t="n">
        <ns0:v>0</ns0:v>
      </ns0:c>
      <ns0:c r="H6" s="32" t="n">
        <ns0:v>0</ns0:v>
      </ns0:c>
      <ns0:c r="I6" s="32" t="n">
        <ns0:v>0</ns0:v>
      </ns0:c>
      <ns0:c r="J6" s="32">
        <ns0:f>SUM(F6:I6)</ns0:f>
        <ns0:v/>
      </ns0:c>
      <ns0:c r="K6" s="32">
        <ns0:f>+J6/D6</ns0:f>
        <ns0:v/>
      </ns0:c>
      <ns0:c r="L6" s="32" t="n">
        <ns0:v>5</ns0:v>
      </ns0:c>
      <ns0:c r="M6" s="32" t="n">
        <ns0:v>10</ns0:v>
      </ns0:c>
      <ns0:c r="N6" s="32">
        <ns0:f>SUM(L6:M6)</ns0:f>
        <ns0:v/>
      </ns0:c>
      <ns0:c r="O6" s="32">
        <ns0:f>+N6/D6</ns0:f>
        <ns0:v/>
      </ns0:c>
      <ns0:c r="P6" s="32" t="n">
        <ns0:v>3</ns0:v>
      </ns0:c>
      <ns0:c r="Q6" s="32" t="n">
        <ns0:v>3</ns0:v>
      </ns0:c>
      <ns0:c r="R6" s="32">
        <ns0:f>SUM(P6:Q6)</ns0:f>
        <ns0:v/>
      </ns0:c>
      <ns0:c r="S6" s="32">
        <ns0:f>+R6/D6</ns0:f>
        <ns0:v/>
      </ns0:c>
    </ns0:row>
    <ns0:row r="7">
      <ns0:c r="F7" s="32">
        <ns0:f>+F6/N6</ns0:f>
        <ns0:v/>
      </ns0:c>
      <ns0:c r="G7" s="32">
        <ns0:f>+G6/N6</ns0:f>
        <ns0:v/>
      </ns0:c>
      <ns0:c r="H7" s="32">
        <ns0:f>+H6/N6</ns0:f>
        <ns0:v/>
      </ns0:c>
      <ns0:c r="I7" s="32">
        <ns0:f>+I6/N6</ns0:f>
        <ns0:v/>
      </ns0:c>
      <ns0:c r="L7" s="32">
        <ns0:f>+L6/N6</ns0:f>
        <ns0:v/>
      </ns0:c>
      <ns0:c r="M7" s="32">
        <ns0:f>+M6/N6</ns0:f>
        <ns0:v/>
      </ns0:c>
      <ns0:c r="P7" s="32">
        <ns0:f>+P6/R6</ns0:f>
        <ns0:v/>
      </ns0:c>
      <ns0:c r="Q7" s="32">
        <ns0:f>+Q6/R6</ns0:f>
        <ns0:v/>
      </ns0:c>
    </ns0:row>
    <ns0:row r="8">
      <ns0:c r="C8" s="32" t="inlineStr">
        <ns0:is>
          <ns0:t>Sub 1 jig repair CD position more up 0.15mm</ns0:t>
        </ns0:is>
      </ns0:c>
      <ns0:c r="D8" s="32" t="n">
        <ns0:v>98</ns0:v>
      </ns0:c>
      <ns0:c r="E8" s="32">
        <ns0:f>+D8-N8</ns0:f>
        <ns0:v/>
      </ns0:c>
      <ns0:c r="F8" s="32" t="n">
        <ns0:v>0</ns0:v>
      </ns0:c>
      <ns0:c r="G8" s="32" t="n">
        <ns0:v>0</ns0:v>
      </ns0:c>
      <ns0:c r="H8" s="32" t="n">
        <ns0:v>0</ns0:v>
      </ns0:c>
      <ns0:c r="I8" s="32" t="n">
        <ns0:v>0</ns0:v>
      </ns0:c>
      <ns0:c r="J8" s="32">
        <ns0:f>SUM(F8:I8)</ns0:f>
        <ns0:v/>
      </ns0:c>
      <ns0:c r="K8" s="32">
        <ns0:f>+J8/D8</ns0:f>
        <ns0:v/>
      </ns0:c>
      <ns0:c r="L8" s="32" t="n">
        <ns0:v>9</ns0:v>
      </ns0:c>
      <ns0:c r="M8" s="32" t="n">
        <ns0:v>12</ns0:v>
      </ns0:c>
      <ns0:c r="N8" s="32">
        <ns0:f>SUM(L8:M8)</ns0:f>
        <ns0:v/>
      </ns0:c>
      <ns0:c r="O8" s="32">
        <ns0:f>+N8/D8</ns0:f>
        <ns0:v/>
      </ns0:c>
      <ns0:c r="P8" s="32" t="n">
        <ns0:v>3</ns0:v>
      </ns0:c>
      <ns0:c r="Q8" s="32" t="n">
        <ns0:v>7</ns0:v>
      </ns0:c>
      <ns0:c r="R8" s="32">
        <ns0:f>SUM(P8:Q8)</ns0:f>
        <ns0:v/>
      </ns0:c>
      <ns0:c r="S8" s="32">
        <ns0:f>+R8/D8</ns0:f>
        <ns0:v/>
      </ns0:c>
    </ns0:row>
    <ns0:row r="9">
      <ns0:c r="F9" s="32">
        <ns0:f>+F8/N8</ns0:f>
        <ns0:v/>
      </ns0:c>
      <ns0:c r="G9" s="32">
        <ns0:f>+G8/N8</ns0:f>
        <ns0:v/>
      </ns0:c>
      <ns0:c r="H9" s="32">
        <ns0:f>+H8/N8</ns0:f>
        <ns0:v/>
      </ns0:c>
      <ns0:c r="I9" s="32">
        <ns0:f>+I8/N8</ns0:f>
        <ns0:v/>
      </ns0:c>
      <ns0:c r="L9" s="32">
        <ns0:f>+L8/N8</ns0:f>
        <ns0:v/>
      </ns0:c>
      <ns0:c r="M9" s="32">
        <ns0:f>+M8/N8</ns0:f>
        <ns0:v/>
      </ns0:c>
      <ns0:c r="P9" s="32">
        <ns0:f>+P8/R8</ns0:f>
        <ns0:v/>
      </ns0:c>
      <ns0:c r="Q9" s="32">
        <ns0:f>+Q8/R8</ns0:f>
        <ns0:v/>
      </ns0:c>
    </ns0:row>
    <ns0:row r="10">
      <ns0:c r="C10" s="32" t="inlineStr">
        <ns0:is>
          <ns0:t xml:space="preserve">Normal </ns0:t>
        </ns0:is>
      </ns0:c>
      <ns0:c r="D10" s="32" t="n">
        <ns0:v>789</ns0:v>
      </ns0:c>
      <ns0:c r="E10" s="32">
        <ns0:f>+D10-N10</ns0:f>
        <ns0:v/>
      </ns0:c>
      <ns0:c r="F10" s="32" t="n">
        <ns0:v>0</ns0:v>
      </ns0:c>
      <ns0:c r="G10" s="32" t="n">
        <ns0:v>2</ns0:v>
      </ns0:c>
      <ns0:c r="H10" s="32" t="n">
        <ns0:v>1</ns0:v>
      </ns0:c>
      <ns0:c r="I10" s="32" t="n">
        <ns0:v>1</ns0:v>
      </ns0:c>
      <ns0:c r="J10" s="32">
        <ns0:f>SUM(F10:I10)</ns0:f>
        <ns0:v/>
      </ns0:c>
      <ns0:c r="K10" s="32">
        <ns0:f>+J10/D10</ns0:f>
        <ns0:v/>
      </ns0:c>
      <ns0:c r="L10" s="32" t="n">
        <ns0:v>62</ns0:v>
      </ns0:c>
      <ns0:c r="M10" s="32" t="n">
        <ns0:v>94</ns0:v>
      </ns0:c>
      <ns0:c r="N10" s="32">
        <ns0:f>SUM(L10:M10)</ns0:f>
        <ns0:v/>
      </ns0:c>
      <ns0:c r="O10" s="32">
        <ns0:f>+N10/D10</ns0:f>
        <ns0:v/>
      </ns0:c>
      <ns0:c r="P10" s="32" t="n">
        <ns0:v>13</ns0:v>
      </ns0:c>
      <ns0:c r="Q10" s="32" t="n">
        <ns0:v>20</ns0:v>
      </ns0:c>
      <ns0:c r="R10" s="32">
        <ns0:f>SUM(P10:Q10)</ns0:f>
        <ns0:v/>
      </ns0:c>
      <ns0:c r="S10" s="32">
        <ns0:f>+R10/D10</ns0:f>
        <ns0:v/>
      </ns0:c>
    </ns0:row>
    <ns0:row r="11">
      <ns0:c r="F11" s="32">
        <ns0:f>+F10/N10</ns0:f>
        <ns0:v/>
      </ns0:c>
      <ns0:c r="G11" s="32">
        <ns0:f>+G10/N10</ns0:f>
        <ns0:v/>
      </ns0:c>
      <ns0:c r="H11" s="32">
        <ns0:f>+H10/N10</ns0:f>
        <ns0:v/>
      </ns0:c>
      <ns0:c r="I11" s="32">
        <ns0:f>+I10/N10</ns0:f>
        <ns0:v/>
      </ns0:c>
      <ns0:c r="L11" s="32">
        <ns0:f>+L10/N10</ns0:f>
        <ns0:v/>
      </ns0:c>
      <ns0:c r="M11" s="32">
        <ns0:f>+M10/N10</ns0:f>
        <ns0:v/>
      </ns0:c>
      <ns0:c r="P11" s="32">
        <ns0:f>+P10/R10</ns0:f>
        <ns0:v/>
      </ns0:c>
      <ns0:c r="Q11" s="32">
        <ns0:f>+Q10/R10</ns0:f>
        <ns0:v/>
      </ns0:c>
    </ns0:row>
    <ns0:row r="12" ht="34.5" customHeight="1">
      <ns0:c r="B12" s="33" t="n">
        <ns0:v>45711</ns0:v>
      </ns0:c>
      <ns0:c r="C12" s="32" t="inlineStr">
        <ns0:is>
          <ns0:t>Sub 1 jig repair CD position more up 0.1mm</ns0:t>
        </ns0:is>
      </ns0:c>
      <ns0:c r="D12" s="32" t="n">
        <ns0:v>300</ns0:v>
      </ns0:c>
      <ns0:c r="E12" s="32">
        <ns0:f>+D12-N12</ns0:f>
        <ns0:v/>
      </ns0:c>
      <ns0:c r="F12" s="32" t="n">
        <ns0:v>0</ns0:v>
      </ns0:c>
      <ns0:c r="G12" s="32" t="n">
        <ns0:v>2</ns0:v>
      </ns0:c>
      <ns0:c r="H12" s="32" t="n">
        <ns0:v>0</ns0:v>
      </ns0:c>
      <ns0:c r="I12" s="32" t="n">
        <ns0:v>0</ns0:v>
      </ns0:c>
      <ns0:c r="J12" s="32">
        <ns0:f>SUM(F12:I12)</ns0:f>
        <ns0:v/>
      </ns0:c>
      <ns0:c r="K12" s="32">
        <ns0:f>+J12/D12</ns0:f>
        <ns0:v/>
      </ns0:c>
      <ns0:c r="L12" s="32" t="n">
        <ns0:v>32</ns0:v>
      </ns0:c>
      <ns0:c r="M12" s="32" t="n">
        <ns0:v>23</ns0:v>
      </ns0:c>
      <ns0:c r="N12" s="32">
        <ns0:f>SUM(L12:M12)</ns0:f>
        <ns0:v/>
      </ns0:c>
      <ns0:c r="O12" s="32">
        <ns0:f>+N12/D12</ns0:f>
        <ns0:v/>
      </ns0:c>
      <ns0:c r="P12" s="32" t="n">
        <ns0:v>6</ns0:v>
      </ns0:c>
      <ns0:c r="Q12" s="32" t="n">
        <ns0:v>8</ns0:v>
      </ns0:c>
      <ns0:c r="R12" s="32">
        <ns0:f>SUM(P12:Q12)</ns0:f>
        <ns0:v/>
      </ns0:c>
      <ns0:c r="S12" s="34">
        <ns0:f>+R12/D12</ns0:f>
        <ns0:v/>
      </ns0:c>
    </ns0:row>
    <ns0:row r="13" ht="34.5" customHeight="1">
      <ns0:c r="F13" s="32">
        <ns0:f>+F12/N12</ns0:f>
        <ns0:v/>
      </ns0:c>
      <ns0:c r="G13" s="32">
        <ns0:f>+G12/N12</ns0:f>
        <ns0:v/>
      </ns0:c>
      <ns0:c r="H13" s="32">
        <ns0:f>+H12/N12</ns0:f>
        <ns0:v/>
      </ns0:c>
      <ns0:c r="I13" s="32">
        <ns0:f>+I12/N12</ns0:f>
        <ns0:v/>
      </ns0:c>
      <ns0:c r="L13" s="32">
        <ns0:f>+L12/N12</ns0:f>
        <ns0:v/>
      </ns0:c>
      <ns0:c r="M13" s="32">
        <ns0:f>+M12/N12</ns0:f>
        <ns0:v/>
      </ns0:c>
      <ns0:c r="P13" s="32">
        <ns0:f>+P12/R12</ns0:f>
        <ns0:v/>
      </ns0:c>
      <ns0:c r="Q13" s="32">
        <ns0:f>+Q12/R12</ns0:f>
        <ns0:v/>
      </ns0:c>
    </ns0:row>
    <ns0:row r="14" ht="34.5" customHeight="1">
      <ns0:c r="C14" s="32" t="inlineStr">
        <ns0:is>
          <ns0:t>Normal</ns0:t>
        </ns0:is>
      </ns0:c>
      <ns0:c r="D14" s="32" t="n">
        <ns0:v>798</ns0:v>
      </ns0:c>
      <ns0:c r="E14" s="32">
        <ns0:f>+D14-N14</ns0:f>
        <ns0:v/>
      </ns0:c>
      <ns0:c r="F14" s="32" t="n">
        <ns0:v>0</ns0:v>
      </ns0:c>
      <ns0:c r="G14" s="32" t="n">
        <ns0:v>1</ns0:v>
      </ns0:c>
      <ns0:c r="H14" s="32" t="n">
        <ns0:v>2</ns0:v>
      </ns0:c>
      <ns0:c r="I14" s="32" t="n">
        <ns0:v>0</ns0:v>
      </ns0:c>
      <ns0:c r="J14" s="32">
        <ns0:f>SUM(F14:I14)</ns0:f>
        <ns0:v/>
      </ns0:c>
      <ns0:c r="K14" s="32">
        <ns0:f>+J14/D14</ns0:f>
        <ns0:v/>
      </ns0:c>
      <ns0:c r="L14" s="32" t="n">
        <ns0:v>47</ns0:v>
      </ns0:c>
      <ns0:c r="M14" s="32" t="n">
        <ns0:v>64</ns0:v>
      </ns0:c>
      <ns0:c r="N14" s="32">
        <ns0:f>SUM(L14:M14)</ns0:f>
        <ns0:v/>
      </ns0:c>
      <ns0:c r="O14" s="32">
        <ns0:f>+N14/D14</ns0:f>
        <ns0:v/>
      </ns0:c>
      <ns0:c r="P14" s="32" t="n">
        <ns0:v>16</ns0:v>
      </ns0:c>
      <ns0:c r="Q14" s="32" t="n">
        <ns0:v>10</ns0:v>
      </ns0:c>
      <ns0:c r="R14" s="32">
        <ns0:f>SUM(P14:Q14)</ns0:f>
        <ns0:v/>
      </ns0:c>
      <ns0:c r="S14" s="32">
        <ns0:f>+R14/D14</ns0:f>
        <ns0:v/>
      </ns0:c>
    </ns0:row>
    <ns0:row r="15" ht="34.5" customHeight="1">
      <ns0:c r="F15" s="32">
        <ns0:f>+F14/N14</ns0:f>
        <ns0:v/>
      </ns0:c>
      <ns0:c r="G15" s="32">
        <ns0:f>+G14/N14</ns0:f>
        <ns0:v/>
      </ns0:c>
      <ns0:c r="H15" s="32">
        <ns0:f>+H14/N14</ns0:f>
        <ns0:v/>
      </ns0:c>
      <ns0:c r="I15" s="32">
        <ns0:f>+I14/N14</ns0:f>
        <ns0:v/>
      </ns0:c>
      <ns0:c r="L15" s="32">
        <ns0:f>+L14/N14</ns0:f>
        <ns0:v/>
      </ns0:c>
      <ns0:c r="M15" s="32">
        <ns0:f>+M14/N14</ns0:f>
        <ns0:v/>
      </ns0:c>
      <ns0:c r="P15" s="32">
        <ns0:f>+P14/R14</ns0:f>
        <ns0:v/>
      </ns0:c>
      <ns0:c r="Q15" s="32">
        <ns0:f>+Q14/R14</ns0:f>
        <ns0:v/>
      </ns0:c>
    </ns0:row>
    <ns0:row r="16" ht="34.5" customHeight="1"/>
    <ns0:row r="17">
      <ns0:c r="B17" s="32" t="inlineStr">
        <ns0:is>
          <ns0:t>RESULT TENSION TEST COIL+CD</ns0:t>
        </ns0:is>
      </ns0:c>
    </ns0:row>
    <ns0:row r="18">
      <ns0:c r="B18" s="32" t="inlineStr">
        <ns0:is>
          <ns0:t>Date</ns0:t>
        </ns0:is>
      </ns0:c>
      <ns0:c r="C18" s="32" t="inlineStr">
        <ns0:is>
          <ns0:t>Bonding amount Coil+CD</ns0:t>
        </ns0:is>
      </ns0:c>
      <ns0:c r="D18" s="32" t="inlineStr">
        <ns0:is>
          <ns0:t>SPEC</ns0:t>
        </ns0:is>
      </ns0:c>
      <ns0:c r="E18" s="32" t="inlineStr">
        <ns0:is>
          <ns0:t>SAMPLE 1</ns0:t>
        </ns0:is>
      </ns0:c>
      <ns0:c r="F18" s="32" t="inlineStr">
        <ns0:is>
          <ns0:t>SAMPLE 2</ns0:t>
        </ns0:is>
      </ns0:c>
      <ns0:c r="G18" s="32" t="inlineStr">
        <ns0:is>
          <ns0:t>SAMPLE 3</ns0:t>
        </ns0:is>
      </ns0:c>
      <ns0:c r="H18" s="32" t="inlineStr">
        <ns0:is>
          <ns0:t>SAMPLE 4</ns0:t>
        </ns0:is>
      </ns0:c>
      <ns0:c r="I18" s="32" t="inlineStr">
        <ns0:is>
          <ns0:t>SAMPLE 5</ns0:t>
        </ns0:is>
      </ns0:c>
      <ns0:c r="J18" s="32" t="inlineStr">
        <ns0:is>
          <ns0:t>AVG</ns0:t>
        </ns0:is>
      </ns0:c>
      <ns0:c r="L18" s="32" t="inlineStr">
        <ns0:is>
          <ns0:t>MAX</ns0:t>
        </ns0:is>
      </ns0:c>
      <ns0:c r="M18" s="32" t="inlineStr">
        <ns0:is>
          <ns0:t>MIN</ns0:t>
        </ns0:is>
      </ns0:c>
      <ns0:c r="N18" s="32" t="inlineStr">
        <ns0:is>
          <ns0:t>AVG</ns0:t>
        </ns0:is>
      </ns0:c>
    </ns0:row>
    <ns0:row r="20">
      <ns0:c r="B20" s="33" t="n">
        <ns0:v>45705</ns0:v>
      </ns0:c>
      <ns0:c r="C20" s="32" t="inlineStr">
        <ns0:is>
          <ns0:t>Sub 1 jig repair more up 0.1mm</ns0:t>
        </ns0:is>
      </ns0:c>
    </ns0:row>
    <ns0:row r="21">
      <ns0:c r="C21" s="32" t="inlineStr">
        <ns0:is>
          <ns0:t>Sub 1 jig repair more up 0.15mm</ns0:t>
        </ns0:is>
      </ns0:c>
    </ns0:row>
    <ns0:row r="22">
      <ns0:c r="C22" s="32" t="inlineStr">
        <ns0:is>
          <ns0:t xml:space="preserve">Normal </ns0:t>
        </ns0:is>
      </ns0:c>
    </ns0:row>
  </ns0:sheetData>
  <ns0:mergeCells count="1">
    <ns0:mergeCell ref="S12:S13"/>
  </ns0:mergeCells>
  <ns0:pageMargins left="0.75" right="0.75" top="1" bottom="1" header="0.5" footer="0.5"/>
</ns0:worksheet>
</file>

<file path=xl/worksheets/sheet18.xml><?xml version="1.0" encoding="utf-8"?>
<ns0:worksheet xmlns:ns0="http://schemas.openxmlformats.org/spreadsheetml/2006/main">
  <ns0:sheetPr>
    <ns0:outlinePr summaryBelow="1" summaryRight="1"/>
    <ns0:pageSetUpPr/>
  </ns0:sheetPr>
  <ns0:dimension ref="B3:S15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50.38" customWidth="1" min="3" max="3"/>
    <ns0:col width="17.25" customWidth="1" min="4" max="4"/>
    <ns0:col width="15.75" customWidth="1" min="5" max="5"/>
    <ns0:col width="17.38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  <ns0:col width="17.38" customWidth="1" min="19" max="19"/>
  </ns0:cols>
  <ns0:sheetData>
    <ns0:row r="3" ht="18.75" customHeight="1">
      <ns0:c r="B3" s="32" t="inlineStr">
        <ns0:is>
          <ns0:t>RESULT CHECK FUNCTION OF LOT TEST CHANGE BONDING  VP+CD, BONDING FRAME+VP</ns0:t>
        </ns0:is>
      </ns0:c>
    </ns0:row>
    <ns0:row r="4" ht="35.25" customHeight="1">
      <ns0:c r="B4" s="32" t="inlineStr">
        <ns0:is>
          <ns0:t>Date</ns0:t>
        </ns0:is>
      </ns0:c>
      <ns0:c r="C4" s="32" t="inlineStr">
        <ns0:is>
          <ns0:t>Test type</ns0:t>
        </ns0:is>
      </ns0:c>
      <ns0:c r="D4" s="32" t="inlineStr">
        <ns0:is>
          <ns0:t xml:space="preserve">Input </ns0:t>
        </ns0:is>
      </ns0:c>
      <ns0:c r="E4" s="32" t="inlineStr">
        <ns0:is>
          <ns0:t xml:space="preserve">OK </ns0:t>
        </ns0:is>
      </ns0:c>
      <ns0:c r="F4" s="32" t="inlineStr">
        <ns0:is>
          <ns0:t xml:space="preserve">Sigma </ns0:t>
        </ns0:is>
      </ns0:c>
      <ns0:c r="L4" s="32" t="inlineStr">
        <ns0:is>
          <ns0:t xml:space="preserve">Hearing  ( + 1V ) </ns0:t>
        </ns0:is>
      </ns0:c>
      <ns0:c r="P4" s="32" t="inlineStr">
        <ns0:is>
          <ns0:t xml:space="preserve">Hearing  ( + 0V ) </ns0:t>
        </ns0:is>
      </ns0:c>
    </ns0:row>
    <ns0:row r="5" ht="35.25" customHeight="1">
      <ns0:c r="F5" s="32" t="inlineStr">
        <ns0:is>
          <ns0:t xml:space="preserve">SPL </ns0:t>
        </ns0:is>
      </ns0:c>
      <ns0:c r="G5" s="32" t="inlineStr">
        <ns0:is>
          <ns0:t xml:space="preserve">THD </ns0:t>
        </ns0:is>
      </ns0:c>
      <ns0:c r="H5" s="32" t="inlineStr">
        <ns0:is>
          <ns0:t xml:space="preserve">SPL+THD </ns0:t>
        </ns0:is>
      </ns0:c>
      <ns0:c r="I5" s="32" t="inlineStr">
        <ns0:is>
          <ns0:t>SPL+THD+F0</ns0:t>
        </ns0:is>
      </ns0:c>
      <ns0:c r="J5" s="32" t="inlineStr">
        <ns0:is>
          <ns0:t>Total NG</ns0:t>
        </ns0:is>
      </ns0:c>
      <ns0:c r="K5" s="32" t="inlineStr">
        <ns0:is>
          <ns0:t>NG Rate</ns0:t>
        </ns0:is>
      </ns0:c>
      <ns0:c r="L5" s="32" t="inlineStr">
        <ns0:is>
          <ns0:t xml:space="preserve">Noise </ns0:t>
        </ns0:is>
      </ns0:c>
      <ns0:c r="M5" s="32" t="inlineStr">
        <ns0:is>
          <ns0:t xml:space="preserve">Touch </ns0:t>
        </ns0:is>
      </ns0:c>
      <ns0:c r="N5" s="32" t="inlineStr">
        <ns0:is>
          <ns0:t>Total NG</ns0:t>
        </ns0:is>
      </ns0:c>
      <ns0:c r="O5" s="32" t="inlineStr">
        <ns0:is>
          <ns0:t>NG Rate</ns0:t>
        </ns0:is>
      </ns0:c>
      <ns0:c r="P5" s="32" t="inlineStr">
        <ns0:is>
          <ns0:t xml:space="preserve">Noise </ns0:t>
        </ns0:is>
      </ns0:c>
      <ns0:c r="Q5" s="32" t="inlineStr">
        <ns0:is>
          <ns0:t xml:space="preserve">Touch </ns0:t>
        </ns0:is>
      </ns0:c>
      <ns0:c r="R5" s="32" t="inlineStr">
        <ns0:is>
          <ns0:t>Total NG</ns0:t>
        </ns0:is>
      </ns0:c>
      <ns0:c r="S5" s="32" t="inlineStr">
        <ns0:is>
          <ns0:t>NG Rate</ns0:t>
        </ns0:is>
      </ns0:c>
    </ns0:row>
    <ns0:row r="6">
      <ns0:c r="B6" s="33" t="n">
        <ns0:v>45706</ns0:v>
      </ns0:c>
      <ns0:c r="C6" s="32" t="inlineStr">
        <ns0:is>
          <ns0:t>Increase bond corner VP+CD                   (Reduce speed 28 -&gt;25)</ns0:t>
        </ns0:is>
      </ns0:c>
      <ns0:c r="D6" s="32" t="n">
        <ns0:v>200</ns0:v>
      </ns0:c>
      <ns0:c r="E6" s="32">
        <ns0:f>+D6-N6</ns0:f>
        <ns0:v/>
      </ns0:c>
      <ns0:c r="F6" s="32" t="n">
        <ns0:v>0</ns0:v>
      </ns0:c>
      <ns0:c r="G6" s="32" t="n">
        <ns0:v>0</ns0:v>
      </ns0:c>
      <ns0:c r="H6" s="32" t="n">
        <ns0:v>0</ns0:v>
      </ns0:c>
      <ns0:c r="I6" s="32" t="n">
        <ns0:v>0</ns0:v>
      </ns0:c>
      <ns0:c r="J6" s="32">
        <ns0:f>SUM(F6:I6)</ns0:f>
        <ns0:v/>
      </ns0:c>
      <ns0:c r="K6" s="32">
        <ns0:f>J6/D6</ns0:f>
        <ns0:v/>
      </ns0:c>
      <ns0:c r="L6" s="32" t="n">
        <ns0:v>8</ns0:v>
      </ns0:c>
      <ns0:c r="M6" s="32" t="n">
        <ns0:v>23</ns0:v>
      </ns0:c>
      <ns0:c r="N6" s="32">
        <ns0:f>SUM(L6:M6)</ns0:f>
        <ns0:v/>
      </ns0:c>
      <ns0:c r="O6" s="32">
        <ns0:f>+N6/D6</ns0:f>
        <ns0:v/>
      </ns0:c>
      <ns0:c r="P6" s="32" t="n">
        <ns0:v>4</ns0:v>
      </ns0:c>
      <ns0:c r="Q6" s="32" t="n">
        <ns0:v>4</ns0:v>
      </ns0:c>
      <ns0:c r="R6" s="32">
        <ns0:f>SUM(P6:Q6)</ns0:f>
        <ns0:v/>
      </ns0:c>
      <ns0:c r="S6" s="32">
        <ns0:f>+R6/D6</ns0:f>
        <ns0:v/>
      </ns0:c>
    </ns0:row>
    <ns0:row r="7">
      <ns0:c r="F7" s="32">
        <ns0:f>+F6/N6</ns0:f>
        <ns0:v/>
      </ns0:c>
      <ns0:c r="G7" s="32">
        <ns0:f>+G6/N6</ns0:f>
        <ns0:v/>
      </ns0:c>
      <ns0:c r="H7" s="32">
        <ns0:f>+H6/N6</ns0:f>
        <ns0:v/>
      </ns0:c>
      <ns0:c r="I7" s="32">
        <ns0:f>+I6/N6</ns0:f>
        <ns0:v/>
      </ns0:c>
      <ns0:c r="L7" s="32">
        <ns0:f>+L6/N6</ns0:f>
        <ns0:v/>
      </ns0:c>
      <ns0:c r="M7" s="32">
        <ns0:f>+M6/N6</ns0:f>
        <ns0:v/>
      </ns0:c>
      <ns0:c r="P7" s="32">
        <ns0:f>+P6/R6</ns0:f>
        <ns0:v/>
      </ns0:c>
      <ns0:c r="Q7" s="32">
        <ns0:f>+Q6/R6</ns0:f>
        <ns0:v/>
      </ns0:c>
    </ns0:row>
    <ns0:row r="8">
      <ns0:c r="C8" s="32" t="inlineStr">
        <ns0:is>
          <ns0:t>Increase bond corner VP+CD                   ((Reduce speed 28 -&gt;22)</ns0:t>
        </ns0:is>
      </ns0:c>
      <ns0:c r="D8" s="32" t="n">
        <ns0:v>160</ns0:v>
      </ns0:c>
      <ns0:c r="E8" s="32">
        <ns0:f>+D8-N8</ns0:f>
        <ns0:v/>
      </ns0:c>
      <ns0:c r="F8" s="32" t="n">
        <ns0:v>0</ns0:v>
      </ns0:c>
      <ns0:c r="G8" s="32" t="n">
        <ns0:v>1</ns0:v>
      </ns0:c>
      <ns0:c r="H8" s="32" t="n">
        <ns0:v>0</ns0:v>
      </ns0:c>
      <ns0:c r="I8" s="32" t="n">
        <ns0:v>0</ns0:v>
      </ns0:c>
      <ns0:c r="J8" s="32">
        <ns0:f>SUM(F8:I8)</ns0:f>
        <ns0:v/>
      </ns0:c>
      <ns0:c r="K8" s="32">
        <ns0:f>J8/D8</ns0:f>
        <ns0:v/>
      </ns0:c>
      <ns0:c r="L8" s="32" t="n">
        <ns0:v>11</ns0:v>
      </ns0:c>
      <ns0:c r="M8" s="32" t="n">
        <ns0:v>27</ns0:v>
      </ns0:c>
      <ns0:c r="N8" s="32">
        <ns0:f>SUM(L8:M8)</ns0:f>
        <ns0:v/>
      </ns0:c>
      <ns0:c r="O8" s="32">
        <ns0:f>+N8/D8</ns0:f>
        <ns0:v/>
      </ns0:c>
      <ns0:c r="P8" s="32" t="n">
        <ns0:v>6</ns0:v>
      </ns0:c>
      <ns0:c r="Q8" s="32" t="n">
        <ns0:v>6</ns0:v>
      </ns0:c>
      <ns0:c r="R8" s="32">
        <ns0:f>SUM(P8:Q8)</ns0:f>
        <ns0:v/>
      </ns0:c>
      <ns0:c r="S8" s="32">
        <ns0:f>+R8/D8</ns0:f>
        <ns0:v/>
      </ns0:c>
    </ns0:row>
    <ns0:row r="9">
      <ns0:c r="F9" s="32">
        <ns0:f>+F8/N8</ns0:f>
        <ns0:v/>
      </ns0:c>
      <ns0:c r="G9" s="32">
        <ns0:f>+G8/N8</ns0:f>
        <ns0:v/>
      </ns0:c>
      <ns0:c r="H9" s="32">
        <ns0:f>+H8/N8</ns0:f>
        <ns0:v/>
      </ns0:c>
      <ns0:c r="I9" s="32">
        <ns0:f>+I8/N8</ns0:f>
        <ns0:v/>
      </ns0:c>
      <ns0:c r="L9" s="32">
        <ns0:f>+L8/N8</ns0:f>
        <ns0:v/>
      </ns0:c>
      <ns0:c r="M9" s="32">
        <ns0:f>+M8/N8</ns0:f>
        <ns0:v/>
      </ns0:c>
      <ns0:c r="P9" s="32">
        <ns0:f>+P8/R8</ns0:f>
        <ns0:v/>
      </ns0:c>
      <ns0:c r="Q9" s="32">
        <ns0:f>+Q8/R8</ns0:f>
        <ns0:v/>
      </ns0:c>
    </ns0:row>
    <ns0:row r="10">
      <ns0:c r="C10" s="32" t="inlineStr">
        <ns0:is>
          <ns0:t>Change bonding line VP+CD move out side 0.03</ns0:t>
        </ns0:is>
      </ns0:c>
      <ns0:c r="D10" s="32" t="n">
        <ns0:v>195</ns0:v>
      </ns0:c>
      <ns0:c r="E10" s="32">
        <ns0:f>+D10-N10</ns0:f>
        <ns0:v/>
      </ns0:c>
      <ns0:c r="F10" s="32" t="n">
        <ns0:v>0</ns0:v>
      </ns0:c>
      <ns0:c r="G10" s="32" t="n">
        <ns0:v>0</ns0:v>
      </ns0:c>
      <ns0:c r="H10" s="32" t="n">
        <ns0:v>0</ns0:v>
      </ns0:c>
      <ns0:c r="I10" s="32" t="n">
        <ns0:v>0</ns0:v>
      </ns0:c>
      <ns0:c r="J10" s="32">
        <ns0:f>SUM(F10:I10)</ns0:f>
        <ns0:v/>
      </ns0:c>
      <ns0:c r="K10" s="32">
        <ns0:f>J10/D10</ns0:f>
        <ns0:v/>
      </ns0:c>
      <ns0:c r="L10" s="32" t="n">
        <ns0:v>6</ns0:v>
      </ns0:c>
      <ns0:c r="M10" s="32" t="n">
        <ns0:v>9</ns0:v>
      </ns0:c>
      <ns0:c r="N10" s="32">
        <ns0:f>SUM(L10:M10)</ns0:f>
        <ns0:v/>
      </ns0:c>
      <ns0:c r="O10" s="32">
        <ns0:f>+N10/D10</ns0:f>
        <ns0:v/>
      </ns0:c>
      <ns0:c r="P10" s="32" t="n">
        <ns0:v>3</ns0:v>
      </ns0:c>
      <ns0:c r="Q10" s="32" t="n">
        <ns0:v>1</ns0:v>
      </ns0:c>
      <ns0:c r="R10" s="32">
        <ns0:f>SUM(P10:Q10)</ns0:f>
        <ns0:v/>
      </ns0:c>
      <ns0:c r="S10" s="32">
        <ns0:f>+R10/D10</ns0:f>
        <ns0:v/>
      </ns0:c>
    </ns0:row>
    <ns0:row r="11">
      <ns0:c r="F11" s="32">
        <ns0:f>+F10/N10</ns0:f>
        <ns0:v/>
      </ns0:c>
      <ns0:c r="G11" s="32">
        <ns0:f>+G10/N10</ns0:f>
        <ns0:v/>
      </ns0:c>
      <ns0:c r="H11" s="32">
        <ns0:f>+H10/N10</ns0:f>
        <ns0:v/>
      </ns0:c>
      <ns0:c r="I11" s="32">
        <ns0:f>+I10/N10</ns0:f>
        <ns0:v/>
      </ns0:c>
      <ns0:c r="L11" s="32">
        <ns0:f>+L10/N10</ns0:f>
        <ns0:v/>
      </ns0:c>
      <ns0:c r="M11" s="32">
        <ns0:f>+M10/N10</ns0:f>
        <ns0:v/>
      </ns0:c>
      <ns0:c r="P11" s="32">
        <ns0:f>+P10/R10</ns0:f>
        <ns0:v/>
      </ns0:c>
      <ns0:c r="Q11" s="32">
        <ns0:f>+Q10/R10</ns0:f>
        <ns0:v/>
      </ns0:c>
    </ns0:row>
    <ns0:row r="12" ht="33.75" customHeight="1">
      <ns0:c r="B12" s="33" t="n">
        <ns0:v>45711</ns0:v>
      </ns0:c>
      <ns0:c r="C12" s="32" t="inlineStr">
        <ns0:is>
          <ns0:t>Change bonding line VP+CD move out side 0.03</ns0:t>
        </ns0:is>
      </ns0:c>
      <ns0:c r="D12" s="32" t="n">
        <ns0:v>494</ns0:v>
      </ns0:c>
      <ns0:c r="E12" s="32" t="n">
        <ns0:v>494</ns0:v>
      </ns0:c>
      <ns0:c r="F12" s="32" t="n">
        <ns0:v>0</ns0:v>
      </ns0:c>
      <ns0:c r="G12" s="32" t="n">
        <ns0:v>0</ns0:v>
      </ns0:c>
      <ns0:c r="H12" s="32" t="n">
        <ns0:v>0</ns0:v>
      </ns0:c>
      <ns0:c r="I12" s="32" t="n">
        <ns0:v>0</ns0:v>
      </ns0:c>
      <ns0:c r="J12" s="32">
        <ns0:f>SUM(F12:I12)</ns0:f>
        <ns0:v/>
      </ns0:c>
      <ns0:c r="K12" s="32">
        <ns0:f>J12/D12</ns0:f>
        <ns0:v/>
      </ns0:c>
      <ns0:c r="L12" s="32" t="n">
        <ns0:v>26</ns0:v>
      </ns0:c>
      <ns0:c r="M12" s="32" t="n">
        <ns0:v>25</ns0:v>
      </ns0:c>
      <ns0:c r="N12" s="32">
        <ns0:f>SUM(L12:M12)</ns0:f>
        <ns0:v/>
      </ns0:c>
      <ns0:c r="O12" s="32">
        <ns0:f>+N12/D12</ns0:f>
        <ns0:v/>
      </ns0:c>
      <ns0:c r="P12" s="32" t="n">
        <ns0:v>13</ns0:v>
      </ns0:c>
      <ns0:c r="Q12" s="32" t="n">
        <ns0:v>6</ns0:v>
      </ns0:c>
      <ns0:c r="R12" s="32">
        <ns0:f>SUM(P12:Q12)</ns0:f>
        <ns0:v/>
      </ns0:c>
      <ns0:c r="S12" s="32">
        <ns0:f>+R12/D12</ns0:f>
        <ns0:v/>
      </ns0:c>
    </ns0:row>
    <ns0:row r="13" ht="33.75" customHeight="1">
      <ns0:c r="F13" s="32">
        <ns0:f>+F12/N12</ns0:f>
        <ns0:v/>
      </ns0:c>
      <ns0:c r="G13" s="32">
        <ns0:f>+G12/N12</ns0:f>
        <ns0:v/>
      </ns0:c>
      <ns0:c r="H13" s="32">
        <ns0:f>+H12/N12</ns0:f>
        <ns0:v/>
      </ns0:c>
      <ns0:c r="I13" s="32">
        <ns0:f>+I12/N12</ns0:f>
        <ns0:v/>
      </ns0:c>
      <ns0:c r="L13" s="32">
        <ns0:f>+L12/N12</ns0:f>
        <ns0:v/>
      </ns0:c>
      <ns0:c r="M13" s="32">
        <ns0:f>+M12/N12</ns0:f>
        <ns0:v/>
      </ns0:c>
      <ns0:c r="P13" s="32">
        <ns0:f>+P12/R12</ns0:f>
        <ns0:v/>
      </ns0:c>
      <ns0:c r="Q13" s="32">
        <ns0:f>+Q12/R12</ns0:f>
        <ns0:v/>
      </ns0:c>
    </ns0:row>
    <ns0:row r="14" ht="33.75" customHeight="1">
      <ns0:c r="C14" s="32" t="inlineStr">
        <ns0:is>
          <ns0:t xml:space="preserve">Normal </ns0:t>
        </ns0:is>
      </ns0:c>
      <ns0:c r="D14" s="32" t="n">
        <ns0:v>798</ns0:v>
      </ns0:c>
      <ns0:c r="E14" s="32">
        <ns0:f>+D14-N14</ns0:f>
        <ns0:v/>
      </ns0:c>
      <ns0:c r="F14" s="32" t="n">
        <ns0:v>0</ns0:v>
      </ns0:c>
      <ns0:c r="G14" s="32" t="n">
        <ns0:v>1</ns0:v>
      </ns0:c>
      <ns0:c r="H14" s="32" t="n">
        <ns0:v>2</ns0:v>
      </ns0:c>
      <ns0:c r="I14" s="32" t="n">
        <ns0:v>0</ns0:v>
      </ns0:c>
      <ns0:c r="J14" s="32">
        <ns0:f>SUM(F14:I14)</ns0:f>
        <ns0:v/>
      </ns0:c>
      <ns0:c r="K14" s="32">
        <ns0:f>+J14/D14</ns0:f>
        <ns0:v/>
      </ns0:c>
      <ns0:c r="L14" s="32" t="n">
        <ns0:v>47</ns0:v>
      </ns0:c>
      <ns0:c r="M14" s="32" t="n">
        <ns0:v>64</ns0:v>
      </ns0:c>
      <ns0:c r="N14" s="32">
        <ns0:f>SUM(L14:M14)</ns0:f>
        <ns0:v/>
      </ns0:c>
      <ns0:c r="O14" s="32">
        <ns0:f>+N14/D14</ns0:f>
        <ns0:v/>
      </ns0:c>
      <ns0:c r="P14" s="32" t="n">
        <ns0:v>16</ns0:v>
      </ns0:c>
      <ns0:c r="Q14" s="32" t="n">
        <ns0:v>10</ns0:v>
      </ns0:c>
      <ns0:c r="R14" s="34">
        <ns0:f>SUM(P14:Q14)</ns0:f>
        <ns0:v/>
      </ns0:c>
      <ns0:c r="S14" s="32">
        <ns0:f>+R14/D14</ns0:f>
        <ns0:v/>
      </ns0:c>
    </ns0:row>
    <ns0:row r="15" ht="33.75" customHeight="1">
      <ns0:c r="F15" s="32">
        <ns0:f>+F14/N14</ns0:f>
        <ns0:v/>
      </ns0:c>
      <ns0:c r="G15" s="32">
        <ns0:f>+G14/N14</ns0:f>
        <ns0:v/>
      </ns0:c>
      <ns0:c r="H15" s="32">
        <ns0:f>+H14/N14</ns0:f>
        <ns0:v/>
      </ns0:c>
      <ns0:c r="I15" s="32">
        <ns0:f>+I14/N14</ns0:f>
        <ns0:v/>
      </ns0:c>
      <ns0:c r="L15" s="32">
        <ns0:f>+L14/N14</ns0:f>
        <ns0:v/>
      </ns0:c>
      <ns0:c r="M15" s="32">
        <ns0:f>+M14/N14</ns0:f>
        <ns0:v/>
      </ns0:c>
      <ns0:c r="P15" s="32">
        <ns0:f>+P14/R14</ns0:f>
        <ns0:v/>
      </ns0:c>
      <ns0:c r="Q15" s="32">
        <ns0:f>+Q14/R14</ns0:f>
        <ns0:v/>
      </ns0:c>
    </ns0:row>
  </ns0:sheetData>
  <ns0:mergeCells count="2">
    <ns0:mergeCell ref="R14:R15"/>
    <ns0:mergeCell ref="J14:J15"/>
  </ns0:mergeCells>
  <ns0:pageMargins left="0.75" right="0.75" top="1" bottom="1" header="0.5" footer="0.5"/>
</ns0:worksheet>
</file>

<file path=xl/worksheets/sheet19.xml><?xml version="1.0" encoding="utf-8"?>
<ns0:worksheet xmlns:ns0="http://schemas.openxmlformats.org/spreadsheetml/2006/main">
  <ns0:sheetPr>
    <ns0:outlinePr summaryBelow="1" summaryRight="1"/>
    <ns0:pageSetUpPr/>
  </ns0:sheetPr>
  <ns0:dimension ref="C6:U9"/>
  <ns0:sheetViews>
    <ns0:sheetView workbookViewId="0">
      <ns0:selection activeCell="A1" sqref="A1"/>
    </ns0:sheetView>
  </ns0:sheetViews>
  <ns0:sheetFormatPr baseColWidth="8" defaultRowHeight="15"/>
  <ns0:cols>
    <ns0:col width="43.5" customWidth="1" min="3" max="3"/>
    <ns0:col width="18.75" customWidth="1" min="4" max="4"/>
    <ns0:col width="18.75" customWidth="1" min="5" max="5"/>
    <ns0:col width="18.75" customWidth="1" min="6" max="6"/>
    <ns0:col width="18.75" customWidth="1" min="7" max="7"/>
    <ns0:col width="17.25" customWidth="1" min="8" max="8"/>
    <ns0:col width="15.75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  <ns0:col width="17.38" customWidth="1" min="19" max="19"/>
    <ns0:col width="17.38" customWidth="1" min="20" max="20"/>
    <ns0:col width="17.38" customWidth="1" min="21" max="21"/>
  </ns0:cols>
  <ns0:sheetData>
    <ns0:row r="6" ht="23.25" customHeight="1">
      <ns0:c r="C6" s="35" t="inlineStr">
        <ns0:is>
          <ns0:t>RESULT TENSION OF LOT CD + VP PLASMA ( IMPROVE NG NG TENSION CD COIL AFTER REDUCE BONDING COIL CD )</ns0:t>
        </ns0:is>
      </ns0:c>
    </ns0:row>
    <ns0:row r="7" ht="25.5" customHeight="1">
      <ns0:c r="C7" s="35" t="inlineStr">
        <ns0:is>
          <ns0:t>Type test</ns0:t>
        </ns0:is>
      </ns0:c>
      <ns0:c r="D7" s="35" t="inlineStr">
        <ns0:is>
          <ns0:t xml:space="preserve">Spec </ns0:t>
        </ns0:is>
      </ns0:c>
      <ns0:c r="E7" s="35" t="inlineStr">
        <ns0:is>
          <ns0:t>Min</ns0:t>
        </ns0:is>
      </ns0:c>
      <ns0:c r="F7" s="35" t="inlineStr">
        <ns0:is>
          <ns0:t>Max</ns0:t>
        </ns0:is>
      </ns0:c>
      <ns0:c r="G7" s="35" t="inlineStr">
        <ns0:is>
          <ns0:t>Average</ns0:t>
        </ns0:is>
      </ns0:c>
      <ns0:c r="H7" s="35" t="n">
        <ns0:v>1</ns0:v>
      </ns0:c>
      <ns0:c r="I7" s="35" t="n">
        <ns0:v>2</ns0:v>
      </ns0:c>
      <ns0:c r="J7" s="35" t="n">
        <ns0:v>3</ns0:v>
      </ns0:c>
      <ns0:c r="K7" s="35" t="n">
        <ns0:v>4</ns0:v>
      </ns0:c>
      <ns0:c r="L7" s="35" t="n">
        <ns0:v>5</ns0:v>
      </ns0:c>
      <ns0:c r="M7" s="35" t="n">
        <ns0:v>6</ns0:v>
      </ns0:c>
      <ns0:c r="N7" s="35" t="n">
        <ns0:v>7</ns0:v>
      </ns0:c>
      <ns0:c r="O7" s="35" t="n">
        <ns0:v>8</ns0:v>
      </ns0:c>
      <ns0:c r="P7" s="35" t="n">
        <ns0:v>9</ns0:v>
      </ns0:c>
      <ns0:c r="Q7" s="35" t="n">
        <ns0:v>10</ns0:v>
      </ns0:c>
      <ns0:c r="R7" s="35" t="n">
        <ns0:v>11</ns0:v>
      </ns0:c>
      <ns0:c r="S7" s="35" t="n">
        <ns0:v>12</ns0:v>
      </ns0:c>
      <ns0:c r="T7" s="35" t="n">
        <ns0:v>13</ns0:v>
      </ns0:c>
      <ns0:c r="U7" s="35" t="n">
        <ns0:v>14</ns0:v>
      </ns0:c>
    </ns0:row>
    <ns0:row r="8" ht="69.75" customHeight="1">
      <ns0:c r="C8" s="35" t="inlineStr">
        <ns0:is>
          <ns0:t xml:space="preserve">Test : CD + VP dome plasma 
Bonding ( 1.8 ~ 2.0mg ) </ns0:t>
        </ns0:is>
      </ns0:c>
      <ns0:c r="D8" s="35" t="inlineStr">
        <ns0:is>
          <ns0:t>1.5kgf</ns0:t>
        </ns0:is>
      </ns0:c>
      <ns0:c r="E8" s="35">
        <ns0:f>MIN(H8:U8)</ns0:f>
        <ns0:v/>
      </ns0:c>
      <ns0:c r="F8" s="35">
        <ns0:f>MAX(H8:U8)</ns0:f>
        <ns0:v/>
      </ns0:c>
      <ns0:c r="G8" s="35">
        <ns0:f>AVERAGE(H8:U8)</ns0:f>
        <ns0:v/>
      </ns0:c>
      <ns0:c r="H8" s="35" t="n">
        <ns0:v>1.508</ns0:v>
      </ns0:c>
      <ns0:c r="I8" s="35" t="n">
        <ns0:v>1.555</ns0:v>
      </ns0:c>
      <ns0:c r="J8" s="35" t="n">
        <ns0:v>1.6</ns0:v>
      </ns0:c>
      <ns0:c r="K8" s="35" t="n">
        <ns0:v>1.694</ns0:v>
      </ns0:c>
      <ns0:c r="L8" s="35" t="n">
        <ns0:v>1.503</ns0:v>
      </ns0:c>
      <ns0:c r="M8" s="35" t="n">
        <ns0:v>2.008</ns0:v>
      </ns0:c>
      <ns0:c r="N8" s="35" t="n">
        <ns0:v>1.633</ns0:v>
      </ns0:c>
      <ns0:c r="O8" s="35" t="n">
        <ns0:v>1.101</ns0:v>
      </ns0:c>
      <ns0:c r="P8" s="35" t="n">
        <ns0:v>1.257</ns0:v>
      </ns0:c>
      <ns0:c r="Q8" s="35" t="n">
        <ns0:v>1.65</ns0:v>
      </ns0:c>
      <ns0:c r="R8" s="35" t="n">
        <ns0:v>1.703</ns0:v>
      </ns0:c>
      <ns0:c r="S8" s="35" t="n">
        <ns0:v>1.986</ns0:v>
      </ns0:c>
      <ns0:c r="T8" s="36" t="n">
        <ns0:v>1.575</ns0:v>
      </ns0:c>
      <ns0:c r="U8" s="35" t="n">
        <ns0:v>2.144</ns0:v>
      </ns0:c>
    </ns0:row>
    <ns0:row r="9" ht="69.75" customHeight="1">
      <ns0:c r="C9" s="35" t="inlineStr">
        <ns0:is>
          <ns0:t xml:space="preserve">Normal : CD + VP dome
Bonding ( 1.8 ~ 2.0mg ) </ns0:t>
        </ns0:is>
      </ns0:c>
      <ns0:c r="E9" s="35">
        <ns0:f>MIN(H9:U9)</ns0:f>
        <ns0:v/>
      </ns0:c>
      <ns0:c r="F9" s="35">
        <ns0:f>MAX(H9:U9)</ns0:f>
        <ns0:v/>
      </ns0:c>
      <ns0:c r="G9" s="35">
        <ns0:f>AVERAGE(H9:U9)</ns0:f>
        <ns0:v/>
      </ns0:c>
      <ns0:c r="H9" s="35" t="n">
        <ns0:v>1.627</ns0:v>
      </ns0:c>
      <ns0:c r="I9" s="35" t="n">
        <ns0:v>1.775</ns0:v>
      </ns0:c>
      <ns0:c r="J9" s="35" t="n">
        <ns0:v>1.503</ns0:v>
      </ns0:c>
      <ns0:c r="K9" s="37" t="n">
        <ns0:v>1.624</ns0:v>
      </ns0:c>
      <ns0:c r="L9" s="35" t="n">
        <ns0:v>1.591</ns0:v>
      </ns0:c>
      <ns0:c r="M9" s="35" t="n">
        <ns0:v>1.288</ns0:v>
      </ns0:c>
      <ns0:c r="N9" s="35" t="n">
        <ns0:v>1.472</ns0:v>
      </ns0:c>
      <ns0:c r="O9" s="35" t="n">
        <ns0:v>1.31</ns0:v>
      </ns0:c>
      <ns0:c r="P9" s="35" t="n">
        <ns0:v>1.567</ns0:v>
      </ns0:c>
      <ns0:c r="Q9" s="35" t="n">
        <ns0:v>2.342</ns0:v>
      </ns0:c>
    </ns0:row>
  </ns0:sheetData>
  <ns0:pageMargins left="0.75" right="0.75" top="1" bottom="1" header="0.5" footer="0.5"/>
</ns0:worksheet>
</file>

<file path=xl/worksheets/sheet20.xml><?xml version="1.0" encoding="utf-8"?>
<ns0:worksheet xmlns:ns0="http://schemas.openxmlformats.org/spreadsheetml/2006/main">
  <ns0:sheetPr>
    <ns0:outlinePr summaryBelow="1" summaryRight="1"/>
    <ns0:pageSetUpPr/>
  </ns0:sheetPr>
  <ns0:dimension ref="B3:R49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31.25" customWidth="1" min="3" max="3"/>
    <ns0:col width="24" customWidth="1" min="4" max="4"/>
    <ns0:col width="17.25" customWidth="1" min="5" max="5"/>
    <ns0:col width="15.75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  <ns0:col width="17.38" customWidth="1" min="18" max="18"/>
  </ns0:cols>
  <ns0:sheetData>
    <ns0:row r="3" ht="18.75" customHeight="1">
      <ns0:c r="B3" s="32" t="inlineStr">
        <ns0:is>
          <ns0:t>RESULT CHECK FUNCTION OF LOT TEST CHANGE BONDING AMOUNT COIL+CD</ns0:t>
        </ns0:is>
      </ns0:c>
    </ns0:row>
    <ns0:row r="4" ht="35.25" customHeight="1">
      <ns0:c r="B4" s="32" t="inlineStr">
        <ns0:is>
          <ns0:t>Date</ns0:t>
        </ns0:is>
      </ns0:c>
      <ns0:c r="C4" s="32" t="inlineStr">
        <ns0:is>
          <ns0:t>Bonding amount Coil+CD</ns0:t>
        </ns0:is>
      </ns0:c>
      <ns0:c r="D4" s="32" t="inlineStr">
        <ns0:is>
          <ns0:t>AWF machine</ns0:t>
        </ns0:is>
      </ns0:c>
      <ns0:c r="E4" s="32" t="inlineStr">
        <ns0:is>
          <ns0:t xml:space="preserve">Input </ns0:t>
        </ns0:is>
      </ns0:c>
      <ns0:c r="F4" s="32" t="inlineStr">
        <ns0:is>
          <ns0:t xml:space="preserve">OK </ns0:t>
        </ns0:is>
      </ns0:c>
      <ns0:c r="G4" s="32" t="inlineStr">
        <ns0:is>
          <ns0:t xml:space="preserve">Sigma </ns0:t>
        </ns0:is>
      </ns0:c>
      <ns0:c r="K4" s="32" t="inlineStr">
        <ns0:is>
          <ns0:t xml:space="preserve">Hearing  ( + 1V ) </ns0:t>
        </ns0:is>
      </ns0:c>
      <ns0:c r="O4" s="32" t="inlineStr">
        <ns0:is>
          <ns0:t xml:space="preserve">Hearing  ( + 0V ) </ns0:t>
        </ns0:is>
      </ns0:c>
    </ns0:row>
    <ns0:row r="5" ht="35.25" customHeight="1">
      <ns0:c r="G5" s="32" t="inlineStr">
        <ns0:is>
          <ns0:t xml:space="preserve">SPL </ns0:t>
        </ns0:is>
      </ns0:c>
      <ns0:c r="H5" s="32" t="inlineStr">
        <ns0:is>
          <ns0:t xml:space="preserve">THD </ns0:t>
        </ns0:is>
      </ns0:c>
      <ns0:c r="I5" s="32" t="inlineStr">
        <ns0:is>
          <ns0:t xml:space="preserve">SPL+THD </ns0:t>
        </ns0:is>
      </ns0:c>
      <ns0:c r="J5" s="32" t="inlineStr">
        <ns0:is>
          <ns0:t>SPL+THD+F0</ns0:t>
        </ns0:is>
      </ns0:c>
      <ns0:c r="K5" s="32" t="inlineStr">
        <ns0:is>
          <ns0:t xml:space="preserve">Noise </ns0:t>
        </ns0:is>
      </ns0:c>
      <ns0:c r="L5" s="32" t="inlineStr">
        <ns0:is>
          <ns0:t xml:space="preserve">Touch </ns0:t>
        </ns0:is>
      </ns0:c>
      <ns0:c r="M5" s="32" t="inlineStr">
        <ns0:is>
          <ns0:t>Total NG</ns0:t>
        </ns0:is>
      </ns0:c>
      <ns0:c r="N5" s="32" t="inlineStr">
        <ns0:is>
          <ns0:t>NG Rate</ns0:t>
        </ns0:is>
      </ns0:c>
      <ns0:c r="O5" s="32" t="inlineStr">
        <ns0:is>
          <ns0:t xml:space="preserve">Noise </ns0:t>
        </ns0:is>
      </ns0:c>
      <ns0:c r="P5" s="32" t="inlineStr">
        <ns0:is>
          <ns0:t xml:space="preserve">Touch </ns0:t>
        </ns0:is>
      </ns0:c>
      <ns0:c r="Q5" s="32" t="inlineStr">
        <ns0:is>
          <ns0:t>Total NG</ns0:t>
        </ns0:is>
      </ns0:c>
      <ns0:c r="R5" s="32" t="inlineStr">
        <ns0:is>
          <ns0:t>NG Rate</ns0:t>
        </ns0:is>
      </ns0:c>
    </ns0:row>
    <ns0:row r="6" ht="34.5" customHeight="1">
      <ns0:c r="B6" s="33" t="n">
        <ns0:v>45705</ns0:v>
      </ns0:c>
      <ns0:c r="C6" s="32" t="inlineStr">
        <ns0:is>
          <ns0:t>Bonding amount 1.8~2.0mg</ns0:t>
        </ns0:is>
      </ns0:c>
      <ns0:c r="D6" s="32" t="inlineStr">
        <ns0:is>
          <ns0:t>All machine</ns0:t>
        </ns0:is>
      </ns0:c>
      <ns0:c r="E6" s="32" t="n">
        <ns0:v>112</ns0:v>
      </ns0:c>
      <ns0:c r="F6" s="32">
        <ns0:f>+E6-M6</ns0:f>
        <ns0:v/>
      </ns0:c>
      <ns0:c r="G6" s="32" t="n">
        <ns0:v>0</ns0:v>
      </ns0:c>
      <ns0:c r="H6" s="32" t="n">
        <ns0:v>0</ns0:v>
      </ns0:c>
      <ns0:c r="I6" s="32" t="n">
        <ns0:v>0</ns0:v>
      </ns0:c>
      <ns0:c r="J6" s="32" t="n">
        <ns0:v>0</ns0:v>
      </ns0:c>
      <ns0:c r="K6" s="32" t="n">
        <ns0:v>1</ns0:v>
      </ns0:c>
      <ns0:c r="L6" s="32" t="n">
        <ns0:v>2</ns0:v>
      </ns0:c>
      <ns0:c r="M6" s="32">
        <ns0:f>SUM(G6:L6)</ns0:f>
        <ns0:v/>
      </ns0:c>
      <ns0:c r="N6" s="32">
        <ns0:f>+M6/E6</ns0:f>
        <ns0:v/>
      </ns0:c>
      <ns0:c r="O6" s="32" t="n">
        <ns0:v>0</ns0:v>
      </ns0:c>
      <ns0:c r="P6" s="32" t="n">
        <ns0:v>1</ns0:v>
      </ns0:c>
      <ns0:c r="Q6" s="32">
        <ns0:f>SUM(O6:P6)</ns0:f>
        <ns0:v/>
      </ns0:c>
      <ns0:c r="R6" s="32">
        <ns0:f>+Q6/E6</ns0:f>
        <ns0:v/>
      </ns0:c>
    </ns0:row>
    <ns0:row r="7" ht="34.5" customHeight="1">
      <ns0:c r="G7" s="32">
        <ns0:f>+G6/M6</ns0:f>
        <ns0:v/>
      </ns0:c>
      <ns0:c r="H7" s="32">
        <ns0:f>+H6/M6</ns0:f>
        <ns0:v/>
      </ns0:c>
      <ns0:c r="I7" s="32">
        <ns0:f>+I6/M6</ns0:f>
        <ns0:v/>
      </ns0:c>
      <ns0:c r="J7" s="32">
        <ns0:f>+J6/M6</ns0:f>
        <ns0:v/>
      </ns0:c>
      <ns0:c r="K7" s="32">
        <ns0:f>+K6/M6</ns0:f>
        <ns0:v/>
      </ns0:c>
      <ns0:c r="L7" s="32">
        <ns0:f>+L6/M6</ns0:f>
        <ns0:v/>
      </ns0:c>
      <ns0:c r="O7" s="32">
        <ns0:f>+O6/Q6</ns0:f>
        <ns0:v/>
      </ns0:c>
      <ns0:c r="P7" s="32">
        <ns0:f>+P6/Q6</ns0:f>
        <ns0:v/>
      </ns0:c>
    </ns0:row>
    <ns0:row r="8" ht="34.5" customHeight="1">
      <ns0:c r="C8" s="32" t="inlineStr">
        <ns0:is>
          <ns0:t>Bonding amount 2.0~2.2mg</ns0:t>
        </ns0:is>
      </ns0:c>
      <ns0:c r="D8" s="32" t="inlineStr">
        <ns0:is>
          <ns0:t>All machine</ns0:t>
        </ns0:is>
      </ns0:c>
      <ns0:c r="E8" s="32" t="n">
        <ns0:v>100</ns0:v>
      </ns0:c>
      <ns0:c r="F8" s="32">
        <ns0:f>+E8-M8</ns0:f>
        <ns0:v/>
      </ns0:c>
      <ns0:c r="G8" s="32" t="n">
        <ns0:v>0</ns0:v>
      </ns0:c>
      <ns0:c r="H8" s="32" t="n">
        <ns0:v>0</ns0:v>
      </ns0:c>
      <ns0:c r="I8" s="32" t="n">
        <ns0:v>0</ns0:v>
      </ns0:c>
      <ns0:c r="J8" s="32" t="n">
        <ns0:v>0</ns0:v>
      </ns0:c>
      <ns0:c r="K8" s="32" t="n">
        <ns0:v>2</ns0:v>
      </ns0:c>
      <ns0:c r="L8" s="32" t="n">
        <ns0:v>3</ns0:v>
      </ns0:c>
      <ns0:c r="M8" s="32">
        <ns0:f>SUM(G8:L8)</ns0:f>
        <ns0:v/>
      </ns0:c>
      <ns0:c r="N8" s="32">
        <ns0:f>+M8/E8</ns0:f>
        <ns0:v/>
      </ns0:c>
      <ns0:c r="O8" s="32" t="n">
        <ns0:v>1</ns0:v>
      </ns0:c>
      <ns0:c r="P8" s="32" t="n">
        <ns0:v>0</ns0:v>
      </ns0:c>
      <ns0:c r="Q8" s="32">
        <ns0:f>SUM(O8:P8)</ns0:f>
        <ns0:v/>
      </ns0:c>
      <ns0:c r="R8" s="32">
        <ns0:f>+Q8/E8</ns0:f>
        <ns0:v/>
      </ns0:c>
    </ns0:row>
    <ns0:row r="9" ht="34.5" customHeight="1">
      <ns0:c r="G9" s="32">
        <ns0:f>+G8/M8</ns0:f>
        <ns0:v/>
      </ns0:c>
      <ns0:c r="H9" s="32">
        <ns0:f>+H8/M8</ns0:f>
        <ns0:v/>
      </ns0:c>
      <ns0:c r="I9" s="32">
        <ns0:f>+I8/M8</ns0:f>
        <ns0:v/>
      </ns0:c>
      <ns0:c r="J9" s="32">
        <ns0:f>+J8/M8</ns0:f>
        <ns0:v/>
      </ns0:c>
      <ns0:c r="K9" s="32">
        <ns0:f>+K8/M8</ns0:f>
        <ns0:v/>
      </ns0:c>
      <ns0:c r="L9" s="32">
        <ns0:f>+L8/M8</ns0:f>
        <ns0:v/>
      </ns0:c>
      <ns0:c r="O9" s="32">
        <ns0:f>+O8/Q8</ns0:f>
        <ns0:v/>
      </ns0:c>
      <ns0:c r="P9" s="32">
        <ns0:f>+P8/Q8</ns0:f>
        <ns0:v/>
      </ns0:c>
    </ns0:row>
    <ns0:row r="10" ht="34.5" customHeight="1">
      <ns0:c r="C10" s="32" t="inlineStr">
        <ns0:is>
          <ns0:t>Bonding amount 2.2~2.4mg</ns0:t>
        </ns0:is>
      </ns0:c>
      <ns0:c r="D10" s="32" t="inlineStr">
        <ns0:is>
          <ns0:t>All machine</ns0:t>
        </ns0:is>
      </ns0:c>
      <ns0:c r="E10" s="32" t="n">
        <ns0:v>120</ns0:v>
      </ns0:c>
      <ns0:c r="F10" s="32">
        <ns0:f>+E10-M10</ns0:f>
        <ns0:v/>
      </ns0:c>
      <ns0:c r="G10" s="32" t="n">
        <ns0:v>0</ns0:v>
      </ns0:c>
      <ns0:c r="H10" s="32" t="n">
        <ns0:v>0</ns0:v>
      </ns0:c>
      <ns0:c r="I10" s="32" t="n">
        <ns0:v>0</ns0:v>
      </ns0:c>
      <ns0:c r="J10" s="32" t="n">
        <ns0:v>0</ns0:v>
      </ns0:c>
      <ns0:c r="K10" s="32" t="n">
        <ns0:v>3</ns0:v>
      </ns0:c>
      <ns0:c r="L10" s="32" t="n">
        <ns0:v>7</ns0:v>
      </ns0:c>
      <ns0:c r="M10" s="32">
        <ns0:f>SUM(G10:L10)</ns0:f>
        <ns0:v/>
      </ns0:c>
      <ns0:c r="N10" s="32">
        <ns0:f>+M10/E10</ns0:f>
        <ns0:v/>
      </ns0:c>
      <ns0:c r="O10" s="32" t="n">
        <ns0:v>0</ns0:v>
      </ns0:c>
      <ns0:c r="P10" s="32" t="n">
        <ns0:v>0</ns0:v>
      </ns0:c>
      <ns0:c r="Q10" s="32">
        <ns0:f>SUM(O10:P10)</ns0:f>
        <ns0:v/>
      </ns0:c>
      <ns0:c r="R10" s="32">
        <ns0:f>+Q10/E10</ns0:f>
        <ns0:v/>
      </ns0:c>
    </ns0:row>
    <ns0:row r="11" ht="34.5" customHeight="1">
      <ns0:c r="G11" s="32">
        <ns0:f>+G10/M10</ns0:f>
        <ns0:v/>
      </ns0:c>
      <ns0:c r="H11" s="32">
        <ns0:f>+H10/M10</ns0:f>
        <ns0:v/>
      </ns0:c>
      <ns0:c r="I11" s="32">
        <ns0:f>+I10/M10</ns0:f>
        <ns0:v/>
      </ns0:c>
      <ns0:c r="J11" s="32">
        <ns0:f>+J10/M10</ns0:f>
        <ns0:v/>
      </ns0:c>
      <ns0:c r="K11" s="32">
        <ns0:f>+K10/M10</ns0:f>
        <ns0:v/>
      </ns0:c>
      <ns0:c r="L11" s="32">
        <ns0:f>+L10/M10</ns0:f>
        <ns0:v/>
      </ns0:c>
      <ns0:c r="O11" s="32">
        <ns0:f>+O10/Q10</ns0:f>
        <ns0:v/>
      </ns0:c>
      <ns0:c r="P11" s="32">
        <ns0:f>+P10/Q10</ns0:f>
        <ns0:v/>
      </ns0:c>
    </ns0:row>
    <ns0:row r="12" ht="34.5" customHeight="1">
      <ns0:c r="C12" s="32" t="inlineStr">
        <ns0:is>
          <ns0:t>Bonding amount 2.4~2.6mg</ns0:t>
        </ns0:is>
      </ns0:c>
      <ns0:c r="D12" s="32" t="inlineStr">
        <ns0:is>
          <ns0:t>All machine</ns0:t>
        </ns0:is>
      </ns0:c>
      <ns0:c r="E12" s="32" t="n">
        <ns0:v>120</ns0:v>
      </ns0:c>
      <ns0:c r="F12" s="32">
        <ns0:f>+E12-M12</ns0:f>
        <ns0:v/>
      </ns0:c>
      <ns0:c r="G12" s="32" t="n">
        <ns0:v>0</ns0:v>
      </ns0:c>
      <ns0:c r="H12" s="32" t="n">
        <ns0:v>0</ns0:v>
      </ns0:c>
      <ns0:c r="I12" s="32" t="n">
        <ns0:v>0</ns0:v>
      </ns0:c>
      <ns0:c r="J12" s="32" t="n">
        <ns0:v>0</ns0:v>
      </ns0:c>
      <ns0:c r="K12" s="32" t="n">
        <ns0:v>2</ns0:v>
      </ns0:c>
      <ns0:c r="L12" s="32" t="n">
        <ns0:v>3</ns0:v>
      </ns0:c>
      <ns0:c r="M12" s="32">
        <ns0:f>SUM(G12:L12)</ns0:f>
        <ns0:v/>
      </ns0:c>
      <ns0:c r="N12" s="32">
        <ns0:f>+M12/E12</ns0:f>
        <ns0:v/>
      </ns0:c>
      <ns0:c r="O12" s="32" t="n">
        <ns0:v>2</ns0:v>
      </ns0:c>
      <ns0:c r="P12" s="32" t="n">
        <ns0:v>0</ns0:v>
      </ns0:c>
      <ns0:c r="Q12" s="32">
        <ns0:f>SUM(O12:P12)</ns0:f>
        <ns0:v/>
      </ns0:c>
      <ns0:c r="R12" s="32">
        <ns0:f>+Q12/E12</ns0:f>
        <ns0:v/>
      </ns0:c>
    </ns0:row>
    <ns0:row r="13" ht="34.5" customHeight="1">
      <ns0:c r="G13" s="32">
        <ns0:f>+G12/M12</ns0:f>
        <ns0:v/>
      </ns0:c>
      <ns0:c r="H13" s="32">
        <ns0:f>+H12/M12</ns0:f>
        <ns0:v/>
      </ns0:c>
      <ns0:c r="I13" s="32">
        <ns0:f>+I12/M12</ns0:f>
        <ns0:v/>
      </ns0:c>
      <ns0:c r="J13" s="32">
        <ns0:f>+J12/M12</ns0:f>
        <ns0:v/>
      </ns0:c>
      <ns0:c r="K13" s="32">
        <ns0:f>+K12/M12</ns0:f>
        <ns0:v/>
      </ns0:c>
      <ns0:c r="L13" s="32">
        <ns0:f>+L12/M12</ns0:f>
        <ns0:v/>
      </ns0:c>
      <ns0:c r="O13" s="32">
        <ns0:f>+O12/Q12</ns0:f>
        <ns0:v/>
      </ns0:c>
      <ns0:c r="P13" s="32">
        <ns0:f>+P12/Q12</ns0:f>
        <ns0:v/>
      </ns0:c>
    </ns0:row>
    <ns0:row r="14" ht="34.5" customHeight="1">
      <ns0:c r="C14" s="32" t="inlineStr">
        <ns0:is>
          <ns0:t>Normal bonding amount 2.6~2.8mg</ns0:t>
        </ns0:is>
      </ns0:c>
      <ns0:c r="D14" s="32" t="inlineStr">
        <ns0:is>
          <ns0:t>All machine</ns0:t>
        </ns0:is>
      </ns0:c>
      <ns0:c r="E14" s="32" t="n">
        <ns0:v>120</ns0:v>
      </ns0:c>
      <ns0:c r="F14" s="32">
        <ns0:f>+E14-M14</ns0:f>
        <ns0:v/>
      </ns0:c>
      <ns0:c r="G14" s="32" t="n">
        <ns0:v>0</ns0:v>
      </ns0:c>
      <ns0:c r="H14" s="32" t="n">
        <ns0:v>0</ns0:v>
      </ns0:c>
      <ns0:c r="I14" s="32" t="n">
        <ns0:v>1</ns0:v>
      </ns0:c>
      <ns0:c r="J14" s="32" t="n">
        <ns0:v>1</ns0:v>
      </ns0:c>
      <ns0:c r="K14" s="32" t="n">
        <ns0:v>11</ns0:v>
      </ns0:c>
      <ns0:c r="L14" s="32" t="n">
        <ns0:v>19</ns0:v>
      </ns0:c>
      <ns0:c r="M14" s="32">
        <ns0:f>SUM(G14:L14)</ns0:f>
        <ns0:v/>
      </ns0:c>
      <ns0:c r="N14" s="32">
        <ns0:f>+M14/E14</ns0:f>
        <ns0:v/>
      </ns0:c>
      <ns0:c r="O14" s="32" t="n">
        <ns0:v>1</ns0:v>
      </ns0:c>
      <ns0:c r="P14" s="32" t="n">
        <ns0:v>0</ns0:v>
      </ns0:c>
      <ns0:c r="Q14" s="32">
        <ns0:f>SUM(O14:P14)</ns0:f>
        <ns0:v/>
      </ns0:c>
      <ns0:c r="R14" s="32">
        <ns0:f>+Q14/E14</ns0:f>
        <ns0:v/>
      </ns0:c>
    </ns0:row>
    <ns0:row r="15" ht="34.5" customHeight="1">
      <ns0:c r="G15" s="32">
        <ns0:f>+G14/M14</ns0:f>
        <ns0:v/>
      </ns0:c>
      <ns0:c r="H15" s="32">
        <ns0:f>+H14/M14</ns0:f>
        <ns0:v/>
      </ns0:c>
      <ns0:c r="I15" s="32">
        <ns0:f>+I14/M14</ns0:f>
        <ns0:v/>
      </ns0:c>
      <ns0:c r="J15" s="32">
        <ns0:f>+J14/M14</ns0:f>
        <ns0:v/>
      </ns0:c>
      <ns0:c r="K15" s="32">
        <ns0:f>+K14/M14</ns0:f>
        <ns0:v/>
      </ns0:c>
      <ns0:c r="L15" s="32">
        <ns0:f>+L14/M14</ns0:f>
        <ns0:v/>
      </ns0:c>
      <ns0:c r="O15" s="32">
        <ns0:f>+O14/Q14</ns0:f>
        <ns0:v/>
      </ns0:c>
      <ns0:c r="P15" s="32">
        <ns0:f>+P14/Q14</ns0:f>
        <ns0:v/>
      </ns0:c>
    </ns0:row>
    <ns0:row r="16" ht="34.5" customHeight="1">
      <ns0:c r="B16" s="33" t="n">
        <ns0:v>45706</ns0:v>
      </ns0:c>
      <ns0:c r="C16" s="32" t="inlineStr">
        <ns0:is>
          <ns0:t>Bonding amount 1.8~2.0mg</ns0:t>
        </ns0:is>
      </ns0:c>
      <ns0:c r="D16" s="32" t="inlineStr">
        <ns0:is>
          <ns0:t>All machine</ns0:t>
        </ns0:is>
      </ns0:c>
      <ns0:c r="E16" s="32" t="n">
        <ns0:v>285</ns0:v>
      </ns0:c>
      <ns0:c r="F16" s="32">
        <ns0:f>+E16-M16</ns0:f>
        <ns0:v/>
      </ns0:c>
      <ns0:c r="G16" s="32" t="n">
        <ns0:v>0</ns0:v>
      </ns0:c>
      <ns0:c r="H16" s="32" t="n">
        <ns0:v>0</ns0:v>
      </ns0:c>
      <ns0:c r="I16" s="32" t="n">
        <ns0:v>0</ns0:v>
      </ns0:c>
      <ns0:c r="J16" s="32" t="n">
        <ns0:v>0</ns0:v>
      </ns0:c>
      <ns0:c r="K16" s="32" t="n">
        <ns0:v>9</ns0:v>
      </ns0:c>
      <ns0:c r="L16" s="32" t="n">
        <ns0:v>55</ns0:v>
      </ns0:c>
      <ns0:c r="M16" s="32">
        <ns0:f>SUM(G16:L16)</ns0:f>
        <ns0:v/>
      </ns0:c>
      <ns0:c r="N16" s="32">
        <ns0:f>+M16/E16</ns0:f>
        <ns0:v/>
      </ns0:c>
      <ns0:c r="O16" s="32" t="n">
        <ns0:v>3</ns0:v>
      </ns0:c>
      <ns0:c r="P16" s="32" t="n">
        <ns0:v>9</ns0:v>
      </ns0:c>
      <ns0:c r="Q16" s="32">
        <ns0:f>SUM(O16:P16)</ns0:f>
        <ns0:v/>
      </ns0:c>
      <ns0:c r="R16" s="32">
        <ns0:f>+Q16/E16</ns0:f>
        <ns0:v/>
      </ns0:c>
    </ns0:row>
    <ns0:row r="17" ht="34.5" customHeight="1">
      <ns0:c r="G17" s="32">
        <ns0:f>+G16/M16</ns0:f>
        <ns0:v/>
      </ns0:c>
      <ns0:c r="H17" s="32">
        <ns0:f>+H16/M16</ns0:f>
        <ns0:v/>
      </ns0:c>
      <ns0:c r="I17" s="32">
        <ns0:f>+I16/M16</ns0:f>
        <ns0:v/>
      </ns0:c>
      <ns0:c r="J17" s="32">
        <ns0:f>+J16/M16</ns0:f>
        <ns0:v/>
      </ns0:c>
      <ns0:c r="K17" s="32">
        <ns0:f>+K16/M16</ns0:f>
        <ns0:v/>
      </ns0:c>
      <ns0:c r="L17" s="32">
        <ns0:f>+L16/M16</ns0:f>
        <ns0:v/>
      </ns0:c>
      <ns0:c r="O17" s="32">
        <ns0:f>+O16/Q16</ns0:f>
        <ns0:v/>
      </ns0:c>
      <ns0:c r="P17" s="32">
        <ns0:f>+P16/Q16</ns0:f>
        <ns0:v/>
      </ns0:c>
    </ns0:row>
    <ns0:row r="18" ht="34.5" customHeight="1">
      <ns0:c r="B18" s="33" t="n">
        <ns0:v>45707</ns0:v>
      </ns0:c>
      <ns0:c r="C18" s="32" t="inlineStr">
        <ns0:is>
          <ns0:t>Bonding amount 2.4~2.6mg</ns0:t>
        </ns0:is>
      </ns0:c>
      <ns0:c r="D18" s="32" t="inlineStr">
        <ns0:is>
          <ns0:t>AWF machine #1,#2</ns0:t>
        </ns0:is>
      </ns0:c>
      <ns0:c r="E18" s="32" t="n">
        <ns0:v>159</ns0:v>
      </ns0:c>
      <ns0:c r="F18" s="32">
        <ns0:f>+E18-M18</ns0:f>
        <ns0:v/>
      </ns0:c>
      <ns0:c r="G18" s="32" t="n">
        <ns0:v>0</ns0:v>
      </ns0:c>
      <ns0:c r="H18" s="32" t="n">
        <ns0:v>2</ns0:v>
      </ns0:c>
      <ns0:c r="I18" s="32" t="n">
        <ns0:v>0</ns0:v>
      </ns0:c>
      <ns0:c r="J18" s="32" t="n">
        <ns0:v>0</ns0:v>
      </ns0:c>
      <ns0:c r="K18" s="32" t="n">
        <ns0:v>1</ns0:v>
      </ns0:c>
      <ns0:c r="L18" s="32" t="n">
        <ns0:v>12</ns0:v>
      </ns0:c>
      <ns0:c r="M18" s="32">
        <ns0:f>SUM(G18:L18)</ns0:f>
        <ns0:v/>
      </ns0:c>
      <ns0:c r="N18" s="32">
        <ns0:f>+M18/E18</ns0:f>
        <ns0:v/>
      </ns0:c>
      <ns0:c r="O18" s="32" t="n">
        <ns0:v>0</ns0:v>
      </ns0:c>
      <ns0:c r="P18" s="32" t="n">
        <ns0:v>0</ns0:v>
      </ns0:c>
      <ns0:c r="Q18" s="32">
        <ns0:f>SUM(O18:P18)</ns0:f>
        <ns0:v/>
      </ns0:c>
      <ns0:c r="R18" s="32">
        <ns0:f>+Q18/E18</ns0:f>
        <ns0:v/>
      </ns0:c>
    </ns0:row>
    <ns0:row r="19" ht="34.5" customHeight="1">
      <ns0:c r="G19" s="32">
        <ns0:f>+G18/M18</ns0:f>
        <ns0:v/>
      </ns0:c>
      <ns0:c r="H19" s="32">
        <ns0:f>+H18/M18</ns0:f>
        <ns0:v/>
      </ns0:c>
      <ns0:c r="I19" s="32">
        <ns0:f>+I18/M18</ns0:f>
        <ns0:v/>
      </ns0:c>
      <ns0:c r="J19" s="32">
        <ns0:f>+J18/M18</ns0:f>
        <ns0:v/>
      </ns0:c>
      <ns0:c r="K19" s="32">
        <ns0:f>+K18/M18</ns0:f>
        <ns0:v/>
      </ns0:c>
      <ns0:c r="L19" s="32">
        <ns0:f>+L18/M18</ns0:f>
        <ns0:v/>
      </ns0:c>
      <ns0:c r="O19" s="32">
        <ns0:f>+O18/Q18</ns0:f>
        <ns0:v/>
      </ns0:c>
      <ns0:c r="P19" s="32">
        <ns0:f>+P18/Q18</ns0:f>
        <ns0:v/>
      </ns0:c>
    </ns0:row>
    <ns0:row r="20" ht="34.5" customHeight="1">
      <ns0:c r="D20" s="32" t="inlineStr">
        <ns0:is>
          <ns0:t>AWF machine #3,#4,#5</ns0:t>
        </ns0:is>
      </ns0:c>
      <ns0:c r="E20" s="32" t="n">
        <ns0:v>143</ns0:v>
      </ns0:c>
      <ns0:c r="F20" s="32">
        <ns0:f>+E20-M20</ns0:f>
        <ns0:v/>
      </ns0:c>
      <ns0:c r="G20" s="32" t="n">
        <ns0:v>0</ns0:v>
      </ns0:c>
      <ns0:c r="H20" s="32" t="n">
        <ns0:v>0</ns0:v>
      </ns0:c>
      <ns0:c r="I20" s="32" t="n">
        <ns0:v>0</ns0:v>
      </ns0:c>
      <ns0:c r="J20" s="32" t="n">
        <ns0:v>0</ns0:v>
      </ns0:c>
      <ns0:c r="K20" s="32" t="n">
        <ns0:v>2</ns0:v>
      </ns0:c>
      <ns0:c r="L20" s="32" t="n">
        <ns0:v>9</ns0:v>
      </ns0:c>
      <ns0:c r="M20" s="32">
        <ns0:f>SUM(G20:L20)</ns0:f>
        <ns0:v/>
      </ns0:c>
      <ns0:c r="N20" s="32">
        <ns0:f>+M20/E20</ns0:f>
        <ns0:v/>
      </ns0:c>
      <ns0:c r="O20" s="32" t="n">
        <ns0:v>1</ns0:v>
      </ns0:c>
      <ns0:c r="P20" s="32" t="n">
        <ns0:v>0</ns0:v>
      </ns0:c>
      <ns0:c r="Q20" s="32">
        <ns0:f>SUM(O20:P20)</ns0:f>
        <ns0:v/>
      </ns0:c>
      <ns0:c r="R20" s="32">
        <ns0:f>+Q20/E20</ns0:f>
        <ns0:v/>
      </ns0:c>
    </ns0:row>
    <ns0:row r="21" ht="34.5" customHeight="1">
      <ns0:c r="G21" s="32">
        <ns0:f>+G20/M20</ns0:f>
        <ns0:v/>
      </ns0:c>
      <ns0:c r="H21" s="32">
        <ns0:f>+H20/M20</ns0:f>
        <ns0:v/>
      </ns0:c>
      <ns0:c r="I21" s="32">
        <ns0:f>+I20/M20</ns0:f>
        <ns0:v/>
      </ns0:c>
      <ns0:c r="J21" s="32">
        <ns0:f>+J20/M20</ns0:f>
        <ns0:v/>
      </ns0:c>
      <ns0:c r="K21" s="32">
        <ns0:f>+K20/M20</ns0:f>
        <ns0:v/>
      </ns0:c>
      <ns0:c r="L21" s="32">
        <ns0:f>+L20/M20</ns0:f>
        <ns0:v/>
      </ns0:c>
      <ns0:c r="O21" s="32">
        <ns0:f>+O20/Q20</ns0:f>
        <ns0:v/>
      </ns0:c>
      <ns0:c r="P21" s="32">
        <ns0:f>+P20/Q20</ns0:f>
        <ns0:v/>
      </ns0:c>
    </ns0:row>
    <ns0:row r="22" ht="34.5" customHeight="1">
      <ns0:c r="C22" s="32" t="inlineStr">
        <ns0:is>
          <ns0:t>Bonding amount 1.8~2.0mg</ns0:t>
        </ns0:is>
      </ns0:c>
      <ns0:c r="D22" s="32" t="inlineStr">
        <ns0:is>
          <ns0:t>AWF machine #1,#2</ns0:t>
        </ns0:is>
      </ns0:c>
      <ns0:c r="E22" s="32" t="n">
        <ns0:v>119</ns0:v>
      </ns0:c>
      <ns0:c r="F22" s="32">
        <ns0:f>+E22-M22</ns0:f>
        <ns0:v/>
      </ns0:c>
      <ns0:c r="G22" s="32" t="n">
        <ns0:v>0</ns0:v>
      </ns0:c>
      <ns0:c r="H22" s="32" t="n">
        <ns0:v>0</ns0:v>
      </ns0:c>
      <ns0:c r="I22" s="32" t="n">
        <ns0:v>0</ns0:v>
      </ns0:c>
      <ns0:c r="J22" s="32" t="n">
        <ns0:v>0</ns0:v>
      </ns0:c>
      <ns0:c r="K22" s="32" t="n">
        <ns0:v>0</ns0:v>
      </ns0:c>
      <ns0:c r="L22" s="32" t="n">
        <ns0:v>14</ns0:v>
      </ns0:c>
      <ns0:c r="M22" s="32">
        <ns0:f>SUM(G22:L22)</ns0:f>
        <ns0:v/>
      </ns0:c>
      <ns0:c r="N22" s="32">
        <ns0:f>+M22/E22</ns0:f>
        <ns0:v/>
      </ns0:c>
      <ns0:c r="O22" s="32" t="n">
        <ns0:v>0</ns0:v>
      </ns0:c>
      <ns0:c r="P22" s="32" t="n">
        <ns0:v>0</ns0:v>
      </ns0:c>
      <ns0:c r="Q22" s="32">
        <ns0:f>SUM(O22:P22)</ns0:f>
        <ns0:v/>
      </ns0:c>
      <ns0:c r="R22" s="32">
        <ns0:f>+Q22/E22</ns0:f>
        <ns0:v/>
      </ns0:c>
    </ns0:row>
    <ns0:row r="23" ht="34.5" customHeight="1">
      <ns0:c r="G23" s="32">
        <ns0:f>+G22/M22</ns0:f>
        <ns0:v/>
      </ns0:c>
      <ns0:c r="H23" s="32">
        <ns0:f>+H22/M22</ns0:f>
        <ns0:v/>
      </ns0:c>
      <ns0:c r="I23" s="32">
        <ns0:f>+I22/M22</ns0:f>
        <ns0:v/>
      </ns0:c>
      <ns0:c r="J23" s="32">
        <ns0:f>+J22/M22</ns0:f>
        <ns0:v/>
      </ns0:c>
      <ns0:c r="K23" s="32">
        <ns0:f>+K22/M22</ns0:f>
        <ns0:v/>
      </ns0:c>
      <ns0:c r="L23" s="32">
        <ns0:f>+L22/M22</ns0:f>
        <ns0:v/>
      </ns0:c>
      <ns0:c r="O23" s="32">
        <ns0:f>+O22/Q22</ns0:f>
        <ns0:v/>
      </ns0:c>
      <ns0:c r="P23" s="32">
        <ns0:f>+P22/Q22</ns0:f>
        <ns0:v/>
      </ns0:c>
    </ns0:row>
    <ns0:row r="24" ht="34.5" customHeight="1">
      <ns0:c r="D24" s="32" t="inlineStr">
        <ns0:is>
          <ns0:t>AWF machine #3,#4,#5</ns0:t>
        </ns0:is>
      </ns0:c>
      <ns0:c r="E24" s="32" t="n">
        <ns0:v>171</ns0:v>
      </ns0:c>
      <ns0:c r="F24" s="32">
        <ns0:f>+E24-M24</ns0:f>
        <ns0:v/>
      </ns0:c>
      <ns0:c r="G24" s="32" t="n">
        <ns0:v>0</ns0:v>
      </ns0:c>
      <ns0:c r="H24" s="32" t="n">
        <ns0:v>0</ns0:v>
      </ns0:c>
      <ns0:c r="I24" s="32" t="n">
        <ns0:v>0</ns0:v>
      </ns0:c>
      <ns0:c r="J24" s="32" t="n">
        <ns0:v>0</ns0:v>
      </ns0:c>
      <ns0:c r="K24" s="32" t="n">
        <ns0:v>6</ns0:v>
      </ns0:c>
      <ns0:c r="L24" s="32" t="n">
        <ns0:v>7</ns0:v>
      </ns0:c>
      <ns0:c r="M24" s="32">
        <ns0:f>SUM(G24:L24)</ns0:f>
        <ns0:v/>
      </ns0:c>
      <ns0:c r="N24" s="32">
        <ns0:f>+M24/E24</ns0:f>
        <ns0:v/>
      </ns0:c>
      <ns0:c r="O24" s="32" t="n">
        <ns0:v>0</ns0:v>
      </ns0:c>
      <ns0:c r="P24" s="32" t="n">
        <ns0:v>0</ns0:v>
      </ns0:c>
      <ns0:c r="Q24" s="32">
        <ns0:f>SUM(O24:P24)</ns0:f>
        <ns0:v/>
      </ns0:c>
      <ns0:c r="R24" s="32">
        <ns0:f>+Q24/E24</ns0:f>
        <ns0:v/>
      </ns0:c>
    </ns0:row>
    <ns0:row r="25" ht="34.5" customHeight="1">
      <ns0:c r="G25" s="32">
        <ns0:f>+G24/M24</ns0:f>
        <ns0:v/>
      </ns0:c>
      <ns0:c r="H25" s="32">
        <ns0:f>+H24/M24</ns0:f>
        <ns0:v/>
      </ns0:c>
      <ns0:c r="I25" s="32">
        <ns0:f>+I24/M24</ns0:f>
        <ns0:v/>
      </ns0:c>
      <ns0:c r="J25" s="32">
        <ns0:f>+J24/M24</ns0:f>
        <ns0:v/>
      </ns0:c>
      <ns0:c r="K25" s="32">
        <ns0:f>+K24/M24</ns0:f>
        <ns0:v/>
      </ns0:c>
      <ns0:c r="L25" s="32">
        <ns0:f>+L24/M24</ns0:f>
        <ns0:v/>
      </ns0:c>
      <ns0:c r="O25" s="32">
        <ns0:f>+O24/Q24</ns0:f>
        <ns0:v/>
      </ns0:c>
      <ns0:c r="P25" s="32">
        <ns0:f>+P24/Q24</ns0:f>
        <ns0:v/>
      </ns0:c>
    </ns0:row>
    <ns0:row r="26" ht="34.5" customHeight="1">
      <ns0:c r="C26" s="32" t="inlineStr">
        <ns0:is>
          <ns0:t>Bonding amount 1.6~1.8mg</ns0:t>
        </ns0:is>
      </ns0:c>
      <ns0:c r="D26" s="32" t="inlineStr">
        <ns0:is>
          <ns0:t>AWF machine #1,#2</ns0:t>
        </ns0:is>
      </ns0:c>
      <ns0:c r="E26" s="32" t="n">
        <ns0:v>149</ns0:v>
      </ns0:c>
      <ns0:c r="F26" s="32">
        <ns0:f>+E26-M26</ns0:f>
        <ns0:v/>
      </ns0:c>
      <ns0:c r="G26" s="32" t="n">
        <ns0:v>0</ns0:v>
      </ns0:c>
      <ns0:c r="H26" s="32" t="n">
        <ns0:v>0</ns0:v>
      </ns0:c>
      <ns0:c r="I26" s="32" t="n">
        <ns0:v>0</ns0:v>
      </ns0:c>
      <ns0:c r="J26" s="32" t="n">
        <ns0:v>1</ns0:v>
      </ns0:c>
      <ns0:c r="K26" s="32" t="n">
        <ns0:v>4</ns0:v>
      </ns0:c>
      <ns0:c r="L26" s="32" t="n">
        <ns0:v>3</ns0:v>
      </ns0:c>
      <ns0:c r="M26" s="32">
        <ns0:f>SUM(G26:L26)</ns0:f>
        <ns0:v/>
      </ns0:c>
      <ns0:c r="N26" s="32">
        <ns0:f>+M26/E26</ns0:f>
        <ns0:v/>
      </ns0:c>
      <ns0:c r="O26" s="32" t="n">
        <ns0:v>2</ns0:v>
      </ns0:c>
      <ns0:c r="P26" s="32" t="n">
        <ns0:v>0</ns0:v>
      </ns0:c>
      <ns0:c r="Q26" s="32">
        <ns0:f>SUM(O26:P26)</ns0:f>
        <ns0:v/>
      </ns0:c>
      <ns0:c r="R26" s="32">
        <ns0:f>+Q26/E26</ns0:f>
        <ns0:v/>
      </ns0:c>
    </ns0:row>
    <ns0:row r="27" ht="34.5" customHeight="1">
      <ns0:c r="G27" s="32">
        <ns0:f>+G26/M26</ns0:f>
        <ns0:v/>
      </ns0:c>
      <ns0:c r="H27" s="32">
        <ns0:f>+H26/M26</ns0:f>
        <ns0:v/>
      </ns0:c>
      <ns0:c r="I27" s="32">
        <ns0:f>+I26/M26</ns0:f>
        <ns0:v/>
      </ns0:c>
      <ns0:c r="J27" s="32">
        <ns0:f>+J26/M26</ns0:f>
        <ns0:v/>
      </ns0:c>
      <ns0:c r="K27" s="32">
        <ns0:f>+K26/M26</ns0:f>
        <ns0:v/>
      </ns0:c>
      <ns0:c r="L27" s="32">
        <ns0:f>+L26/M26</ns0:f>
        <ns0:v/>
      </ns0:c>
      <ns0:c r="O27" s="32">
        <ns0:f>+O26/Q26</ns0:f>
        <ns0:v/>
      </ns0:c>
      <ns0:c r="P27" s="32">
        <ns0:f>+P26/Q26</ns0:f>
        <ns0:v/>
      </ns0:c>
    </ns0:row>
    <ns0:row r="28" ht="34.5" customHeight="1">
      <ns0:c r="D28" s="32" t="inlineStr">
        <ns0:is>
          <ns0:t>AWF machine #3,#4,#5</ns0:t>
        </ns0:is>
      </ns0:c>
      <ns0:c r="E28" s="32" t="n">
        <ns0:v>149</ns0:v>
      </ns0:c>
      <ns0:c r="F28" s="32">
        <ns0:f>+E28-M28</ns0:f>
        <ns0:v/>
      </ns0:c>
      <ns0:c r="G28" s="32" t="n">
        <ns0:v>0</ns0:v>
      </ns0:c>
      <ns0:c r="H28" s="32" t="n">
        <ns0:v>0</ns0:v>
      </ns0:c>
      <ns0:c r="I28" s="32" t="n">
        <ns0:v>0</ns0:v>
      </ns0:c>
      <ns0:c r="J28" s="32" t="n">
        <ns0:v>0</ns0:v>
      </ns0:c>
      <ns0:c r="K28" s="32" t="n">
        <ns0:v>2</ns0:v>
      </ns0:c>
      <ns0:c r="L28" s="32" t="n">
        <ns0:v>4</ns0:v>
      </ns0:c>
      <ns0:c r="M28" s="32">
        <ns0:f>SUM(G28:L28)</ns0:f>
        <ns0:v/>
      </ns0:c>
      <ns0:c r="N28" s="32">
        <ns0:f>+M28/E28</ns0:f>
        <ns0:v/>
      </ns0:c>
      <ns0:c r="O28" s="32" t="n">
        <ns0:v>2</ns0:v>
      </ns0:c>
      <ns0:c r="P28" s="32" t="n">
        <ns0:v>0</ns0:v>
      </ns0:c>
      <ns0:c r="Q28" s="32">
        <ns0:f>SUM(O28:P28)</ns0:f>
        <ns0:v/>
      </ns0:c>
      <ns0:c r="R28" s="32">
        <ns0:f>+Q28/E28</ns0:f>
        <ns0:v/>
      </ns0:c>
    </ns0:row>
    <ns0:row r="29" ht="34.5" customHeight="1">
      <ns0:c r="G29" s="32">
        <ns0:f>+G28/M28</ns0:f>
        <ns0:v/>
      </ns0:c>
      <ns0:c r="H29" s="32">
        <ns0:f>+H28/M28</ns0:f>
        <ns0:v/>
      </ns0:c>
      <ns0:c r="I29" s="32">
        <ns0:f>+I28/M28</ns0:f>
        <ns0:v/>
      </ns0:c>
      <ns0:c r="J29" s="32">
        <ns0:f>+J28/M28</ns0:f>
        <ns0:v/>
      </ns0:c>
      <ns0:c r="K29" s="32">
        <ns0:f>+K28/M28</ns0:f>
        <ns0:v/>
      </ns0:c>
      <ns0:c r="L29" s="32">
        <ns0:f>+L28/M28</ns0:f>
        <ns0:v/>
      </ns0:c>
      <ns0:c r="O29" s="32">
        <ns0:f>+O28/Q28</ns0:f>
        <ns0:v/>
      </ns0:c>
      <ns0:c r="P29" s="32">
        <ns0:f>+P28/Q28</ns0:f>
        <ns0:v/>
      </ns0:c>
    </ns0:row>
    <ns0:row r="30" ht="34.5" customHeight="1"/>
    <ns0:row r="31" ht="34.5" customHeight="1"/>
    <ns0:row r="32" ht="34.5" customHeight="1"/>
    <ns0:row r="33" ht="34.5" customHeight="1"/>
    <ns0:row r="34" ht="34.5" customHeight="1"/>
    <ns0:row r="35" ht="34.5" customHeight="1"/>
    <ns0:row r="36" ht="34.5" customHeight="1"/>
    <ns0:row r="37" ht="34.5" customHeight="1"/>
    <ns0:row r="38" ht="34.5" customHeight="1"/>
    <ns0:row r="39" ht="34.5" customHeight="1"/>
    <ns0:row r="40" ht="34.5" customHeight="1"/>
    <ns0:row r="41" ht="34.5" customHeight="1"/>
    <ns0:row r="42" ht="18.75" customHeight="1">
      <ns0:c r="B42" s="32" t="inlineStr">
        <ns0:is>
          <ns0:t>RESULT TENSION TEST COIL+CD</ns0:t>
        </ns0:is>
      </ns0:c>
    </ns0:row>
    <ns0:row r="43" ht="18.75" customHeight="1">
      <ns0:c r="B43" s="32" t="inlineStr">
        <ns0:is>
          <ns0:t>Date</ns0:t>
        </ns0:is>
      </ns0:c>
      <ns0:c r="C43" s="32" t="inlineStr">
        <ns0:is>
          <ns0:t>Bonding amount Coil+CD</ns0:t>
        </ns0:is>
      </ns0:c>
      <ns0:c r="E43" s="32" t="inlineStr">
        <ns0:is>
          <ns0:t>SPEC</ns0:t>
        </ns0:is>
      </ns0:c>
      <ns0:c r="F43" s="32" t="inlineStr">
        <ns0:is>
          <ns0:t>SAMPLE 1</ns0:t>
        </ns0:is>
      </ns0:c>
      <ns0:c r="G43" s="32" t="inlineStr">
        <ns0:is>
          <ns0:t>SAMPLE 2</ns0:t>
        </ns0:is>
      </ns0:c>
      <ns0:c r="H43" s="32" t="inlineStr">
        <ns0:is>
          <ns0:t>SAMPLE 3</ns0:t>
        </ns0:is>
      </ns0:c>
      <ns0:c r="I43" s="32" t="inlineStr">
        <ns0:is>
          <ns0:t>SAMPLE 4</ns0:t>
        </ns0:is>
      </ns0:c>
      <ns0:c r="J43" s="32" t="inlineStr">
        <ns0:is>
          <ns0:t>SAMPLE 5</ns0:t>
        </ns0:is>
      </ns0:c>
      <ns0:c r="K43" s="32" t="inlineStr">
        <ns0:is>
          <ns0:t>SAMPLE 6</ns0:t>
        </ns0:is>
      </ns0:c>
      <ns0:c r="L43" s="32" t="inlineStr">
        <ns0:is>
          <ns0:t>SAMPLE 7</ns0:t>
        </ns0:is>
      </ns0:c>
      <ns0:c r="M43" s="32" t="inlineStr">
        <ns0:is>
          <ns0:t>SAMPLE 8</ns0:t>
        </ns0:is>
      </ns0:c>
      <ns0:c r="N43" s="32" t="inlineStr">
        <ns0:is>
          <ns0:t>Max</ns0:t>
        </ns0:is>
      </ns0:c>
      <ns0:c r="O43" s="32" t="inlineStr">
        <ns0:is>
          <ns0:t>Min</ns0:t>
        </ns0:is>
      </ns0:c>
      <ns0:c r="P43" s="32" t="inlineStr">
        <ns0:is>
          <ns0:t>Avg</ns0:t>
        </ns0:is>
      </ns0:c>
    </ns0:row>
    <ns0:row r="44" ht="18.75" customHeight="1"/>
    <ns0:row r="45" ht="18.75" customHeight="1">
      <ns0:c r="B45" s="33" t="n">
        <ns0:v>45705</ns0:v>
      </ns0:c>
      <ns0:c r="C45" s="32" t="inlineStr">
        <ns0:is>
          <ns0:t>Bonding amount 1.8~2.0mg</ns0:t>
        </ns0:is>
      </ns0:c>
      <ns0:c r="E45" s="32" t="inlineStr">
        <ns0:is>
          <ns0:t>1.5Kgf</ns0:t>
        </ns0:is>
      </ns0:c>
      <ns0:c r="F45" s="32" t="n">
        <ns0:v>1.292</ns0:v>
      </ns0:c>
      <ns0:c r="G45" s="32" t="n">
        <ns0:v>1.569</ns0:v>
      </ns0:c>
      <ns0:c r="H45" s="32" t="n">
        <ns0:v>1.326</ns0:v>
      </ns0:c>
      <ns0:c r="I45" s="32" t="n">
        <ns0:v>1.589</ns0:v>
      </ns0:c>
      <ns0:c r="J45" s="32" t="n">
        <ns0:v>1.42</ns0:v>
      </ns0:c>
      <ns0:c r="N45" s="32">
        <ns0:f>MAX(F45:M45)</ns0:f>
        <ns0:v/>
      </ns0:c>
      <ns0:c r="O45" s="32">
        <ns0:f>MIN(F45:M45)</ns0:f>
        <ns0:v/>
      </ns0:c>
      <ns0:c r="P45" s="32">
        <ns0:f>AVERAGE(F45:M45)</ns0:f>
        <ns0:v/>
      </ns0:c>
    </ns0:row>
    <ns0:row r="46" ht="18.75" customHeight="1">
      <ns0:c r="C46" s="32" t="inlineStr">
        <ns0:is>
          <ns0:t>Bonding amount 2.0~2.2mg</ns0:t>
        </ns0:is>
      </ns0:c>
      <ns0:c r="F46" s="32" t="n">
        <ns0:v>1.233</ns0:v>
      </ns0:c>
      <ns0:c r="G46" s="32" t="n">
        <ns0:v>1.198</ns0:v>
      </ns0:c>
      <ns0:c r="H46" s="32" t="n">
        <ns0:v>1.02</ns0:v>
      </ns0:c>
      <ns0:c r="I46" s="32" t="n">
        <ns0:v>1.436</ns0:v>
      </ns0:c>
      <ns0:c r="J46" s="32" t="n">
        <ns0:v>1.401</ns0:v>
      </ns0:c>
      <ns0:c r="N46" s="32">
        <ns0:f>MAX(F46:M46)</ns0:f>
        <ns0:v/>
      </ns0:c>
      <ns0:c r="O46" s="32">
        <ns0:f>MIN(F46:M46)</ns0:f>
        <ns0:v/>
      </ns0:c>
      <ns0:c r="P46" s="32">
        <ns0:f>AVERAGE(F46:M46)</ns0:f>
        <ns0:v/>
      </ns0:c>
    </ns0:row>
    <ns0:row r="47" ht="18.75" customHeight="1">
      <ns0:c r="C47" s="32" t="inlineStr">
        <ns0:is>
          <ns0:t>Bonding amount 2.2~2.4mg</ns0:t>
        </ns0:is>
      </ns0:c>
      <ns0:c r="F47" s="32" t="n">
        <ns0:v>1.213</ns0:v>
      </ns0:c>
      <ns0:c r="G47" s="32" t="n">
        <ns0:v>1.63</ns0:v>
      </ns0:c>
      <ns0:c r="H47" s="32" t="n">
        <ns0:v>1.328</ns0:v>
      </ns0:c>
      <ns0:c r="I47" s="32" t="n">
        <ns0:v>1.381</ns0:v>
      </ns0:c>
      <ns0:c r="J47" s="32" t="n">
        <ns0:v>1.332</ns0:v>
      </ns0:c>
      <ns0:c r="N47" s="32">
        <ns0:f>MAX(F47:M47)</ns0:f>
        <ns0:v/>
      </ns0:c>
      <ns0:c r="O47" s="32">
        <ns0:f>MIN(F47:M47)</ns0:f>
        <ns0:v/>
      </ns0:c>
      <ns0:c r="P47" s="32">
        <ns0:f>AVERAGE(F47:M47)</ns0:f>
        <ns0:v/>
      </ns0:c>
    </ns0:row>
    <ns0:row r="48" ht="18.75" customHeight="1">
      <ns0:c r="C48" s="32" t="inlineStr">
        <ns0:is>
          <ns0:t>Bonding amount 2.4~2.6mg</ns0:t>
        </ns0:is>
      </ns0:c>
      <ns0:c r="F48" s="32" t="n">
        <ns0:v>1.602</ns0:v>
      </ns0:c>
      <ns0:c r="G48" s="32" t="n">
        <ns0:v>1.552</ns0:v>
      </ns0:c>
      <ns0:c r="H48" s="32" t="n">
        <ns0:v>1.778</ns0:v>
      </ns0:c>
      <ns0:c r="I48" s="32" t="n">
        <ns0:v>1.683</ns0:v>
      </ns0:c>
      <ns0:c r="J48" s="32" t="n">
        <ns0:v>1.1</ns0:v>
      </ns0:c>
      <ns0:c r="N48" s="32">
        <ns0:f>MAX(F48:M48)</ns0:f>
        <ns0:v/>
      </ns0:c>
      <ns0:c r="O48" s="32">
        <ns0:f>MIN(F48:M48)</ns0:f>
        <ns0:v/>
      </ns0:c>
      <ns0:c r="P48" s="32">
        <ns0:f>AVERAGE(F48:M48)</ns0:f>
        <ns0:v/>
      </ns0:c>
    </ns0:row>
    <ns0:row r="49" ht="18.75" customHeight="1">
      <ns0:c r="C49" s="32" t="inlineStr">
        <ns0:is>
          <ns0:t>bonding amount 2.6~2.8mg</ns0:t>
        </ns0:is>
      </ns0:c>
      <ns0:c r="F49" s="32" t="n">
        <ns0:v>1.699</ns0:v>
      </ns0:c>
      <ns0:c r="G49" s="32" t="n">
        <ns0:v>1.787</ns0:v>
      </ns0:c>
      <ns0:c r="H49" s="32" t="n">
        <ns0:v>1.622</ns0:v>
      </ns0:c>
      <ns0:c r="I49" s="32" t="n">
        <ns0:v>1.472</ns0:v>
      </ns0:c>
      <ns0:c r="J49" s="32" t="n">
        <ns0:v>1.691</ns0:v>
      </ns0:c>
      <ns0:c r="K49" s="32" t="n">
        <ns0:v>1.439</ns0:v>
      </ns0:c>
      <ns0:c r="L49" s="32" t="n">
        <ns0:v>1.447</ns0:v>
      </ns0:c>
      <ns0:c r="M49" s="32" t="n">
        <ns0:v>1.746</ns0:v>
      </ns0:c>
      <ns0:c r="N49" s="32">
        <ns0:f>MAX(F49:M49)</ns0:f>
        <ns0:v/>
      </ns0:c>
      <ns0:c r="O49" s="32">
        <ns0:f>MIN(F49:M49)</ns0:f>
        <ns0:v/>
      </ns0:c>
      <ns0:c r="P49" s="32">
        <ns0:f>AVERAGE(F49:M49)</ns0:f>
        <ns0:v/>
      </ns0:c>
    </ns0:row>
  </ns0:sheetData>
  <ns0:mergeCells count="1">
    <ns0:mergeCell ref="R24:R25"/>
  </ns0:mergeCells>
  <ns0:pageMargins left="0.75" right="0.75" top="1" bottom="1" header="0.5" footer="0.5"/>
</ns0:worksheet>
</file>

<file path=xl/worksheets/sheet21.xml><?xml version="1.0" encoding="utf-8"?>
<ns0:worksheet xmlns:ns0="http://schemas.openxmlformats.org/spreadsheetml/2006/main">
  <ns0:sheetPr>
    <ns0:outlinePr summaryBelow="1" summaryRight="1"/>
    <ns0:pageSetUpPr/>
  </ns0:sheetPr>
  <ns0:dimension ref="B3:Q11"/>
  <ns0:sheetViews>
    <ns0:sheetView workbookViewId="0">
      <ns0:selection activeCell="A1" sqref="A1"/>
    </ns0:sheetView>
  </ns0:sheetViews>
  <ns0:sheetFormatPr baseColWidth="8" defaultRowHeight="15"/>
  <ns0:cols>
    <ns0:col width="12" customWidth="1" min="2" max="2"/>
    <ns0:col width="42.38" customWidth="1" min="3" max="3"/>
    <ns0:col width="17.25" customWidth="1" min="4" max="4"/>
    <ns0:col width="15.75" customWidth="1" min="5" max="5"/>
    <ns0:col width="17.38" customWidth="1" min="6" max="6"/>
    <ns0:col width="17.38" customWidth="1" min="7" max="7"/>
    <ns0:col width="17.38" customWidth="1" min="8" max="8"/>
    <ns0:col width="17.38" customWidth="1" min="9" max="9"/>
    <ns0:col width="17.38" customWidth="1" min="10" max="10"/>
    <ns0:col width="17.38" customWidth="1" min="11" max="11"/>
    <ns0:col width="17.38" customWidth="1" min="12" max="12"/>
    <ns0:col width="17.38" customWidth="1" min="13" max="13"/>
    <ns0:col width="17.38" customWidth="1" min="14" max="14"/>
    <ns0:col width="17.38" customWidth="1" min="15" max="15"/>
    <ns0:col width="17.38" customWidth="1" min="16" max="16"/>
    <ns0:col width="17.38" customWidth="1" min="17" max="17"/>
  </ns0:cols>
  <ns0:sheetData>
    <ns0:row r="3" ht="18.75" customHeight="1">
      <ns0:c r="B3" s="32" t="inlineStr">
        <ns0:is>
          <ns0:t>RESULT CHECK FUNCTION OF LOT TEST AWF MACHINE #1, #2</ns0:t>
        </ns0:is>
      </ns0:c>
    </ns0:row>
    <ns0:row r="4" ht="35.25" customHeight="1">
      <ns0:c r="B4" s="32" t="inlineStr">
        <ns0:is>
          <ns0:t>Date</ns0:t>
        </ns0:is>
      </ns0:c>
      <ns0:c r="C4" s="32" t="inlineStr">
        <ns0:is>
          <ns0:t xml:space="preserve">AWF machine </ns0:t>
        </ns0:is>
      </ns0:c>
      <ns0:c r="D4" s="32" t="inlineStr">
        <ns0:is>
          <ns0:t xml:space="preserve">Input </ns0:t>
        </ns0:is>
      </ns0:c>
      <ns0:c r="E4" s="32" t="inlineStr">
        <ns0:is>
          <ns0:t xml:space="preserve">OK </ns0:t>
        </ns0:is>
      </ns0:c>
      <ns0:c r="F4" s="32" t="inlineStr">
        <ns0:is>
          <ns0:t xml:space="preserve">Sigma </ns0:t>
        </ns0:is>
      </ns0:c>
      <ns0:c r="J4" s="32" t="inlineStr">
        <ns0:is>
          <ns0:t xml:space="preserve">Hearing  ( + 1V ) </ns0:t>
        </ns0:is>
      </ns0:c>
      <ns0:c r="N4" s="32" t="inlineStr">
        <ns0:is>
          <ns0:t xml:space="preserve">Hearing  ( + 0V ) </ns0:t>
        </ns0:is>
      </ns0:c>
    </ns0:row>
    <ns0:row r="5" ht="35.25" customHeight="1">
      <ns0:c r="F5" s="32" t="inlineStr">
        <ns0:is>
          <ns0:t xml:space="preserve">SPL </ns0:t>
        </ns0:is>
      </ns0:c>
      <ns0:c r="G5" s="32" t="inlineStr">
        <ns0:is>
          <ns0:t xml:space="preserve">THD </ns0:t>
        </ns0:is>
      </ns0:c>
      <ns0:c r="H5" s="32" t="inlineStr">
        <ns0:is>
          <ns0:t xml:space="preserve">SPL+THD </ns0:t>
        </ns0:is>
      </ns0:c>
      <ns0:c r="I5" s="32" t="inlineStr">
        <ns0:is>
          <ns0:t>SPL+THD+F0</ns0:t>
        </ns0:is>
      </ns0:c>
      <ns0:c r="J5" s="32" t="inlineStr">
        <ns0:is>
          <ns0:t xml:space="preserve">Noise </ns0:t>
        </ns0:is>
      </ns0:c>
      <ns0:c r="K5" s="32" t="inlineStr">
        <ns0:is>
          <ns0:t xml:space="preserve">Touch </ns0:t>
        </ns0:is>
      </ns0:c>
      <ns0:c r="L5" s="32" t="inlineStr">
        <ns0:is>
          <ns0:t>Total NG</ns0:t>
        </ns0:is>
      </ns0:c>
      <ns0:c r="M5" s="32" t="inlineStr">
        <ns0:is>
          <ns0:t>NG Rate</ns0:t>
        </ns0:is>
      </ns0:c>
      <ns0:c r="N5" s="32" t="inlineStr">
        <ns0:is>
          <ns0:t xml:space="preserve">Noise </ns0:t>
        </ns0:is>
      </ns0:c>
      <ns0:c r="O5" s="32" t="inlineStr">
        <ns0:is>
          <ns0:t xml:space="preserve">Touch </ns0:t>
        </ns0:is>
      </ns0:c>
      <ns0:c r="P5" s="32" t="inlineStr">
        <ns0:is>
          <ns0:t>Total NG</ns0:t>
        </ns0:is>
      </ns0:c>
      <ns0:c r="Q5" s="32" t="inlineStr">
        <ns0:is>
          <ns0:t>NG Rate</ns0:t>
        </ns0:is>
      </ns0:c>
    </ns0:row>
    <ns0:row r="6" ht="34.5" customHeight="1">
      <ns0:c r="B6" s="33" t="n">
        <ns0:v>45706</ns0:v>
      </ns0:c>
      <ns0:c r="C6" s="32" t="inlineStr">
        <ns0:is>
          <ns0:t>AWF machine #1: increase tension from 85 to 105, out side dimension over 13.82</ns0:t>
        </ns0:is>
      </ns0:c>
      <ns0:c r="D6" s="32" t="n">
        <ns0:v>148</ns0:v>
      </ns0:c>
      <ns0:c r="E6" s="32">
        <ns0:f>+D6-L6</ns0:f>
        <ns0:v/>
      </ns0:c>
      <ns0:c r="F6" s="32" t="n">
        <ns0:v>0</ns0:v>
      </ns0:c>
      <ns0:c r="G6" s="32" t="n">
        <ns0:v>0</ns0:v>
      </ns0:c>
      <ns0:c r="H6" s="32" t="n">
        <ns0:v>0</ns0:v>
      </ns0:c>
      <ns0:c r="I6" s="32" t="n">
        <ns0:v>0</ns0:v>
      </ns0:c>
      <ns0:c r="J6" s="32" t="n">
        <ns0:v>2</ns0:v>
      </ns0:c>
      <ns0:c r="K6" s="32" t="n">
        <ns0:v>28</ns0:v>
      </ns0:c>
      <ns0:c r="L6" s="32">
        <ns0:f>SUM(F6:K6)</ns0:f>
        <ns0:v/>
      </ns0:c>
      <ns0:c r="M6" s="32">
        <ns0:f>+L6/D6</ns0:f>
        <ns0:v/>
      </ns0:c>
      <ns0:c r="N6" s="32" t="n">
        <ns0:v>1</ns0:v>
      </ns0:c>
      <ns0:c r="O6" s="32" t="n">
        <ns0:v>0</ns0:v>
      </ns0:c>
      <ns0:c r="P6" s="32">
        <ns0:f>SUM(N6:O6)</ns0:f>
        <ns0:v/>
      </ns0:c>
      <ns0:c r="Q6" s="32">
        <ns0:f>+P6/D6</ns0:f>
        <ns0:v/>
      </ns0:c>
    </ns0:row>
    <ns0:row r="7" ht="34.5" customHeight="1">
      <ns0:c r="F7" s="32">
        <ns0:f>+F6/L6</ns0:f>
        <ns0:v/>
      </ns0:c>
      <ns0:c r="G7" s="32">
        <ns0:f>+G6/L6</ns0:f>
        <ns0:v/>
      </ns0:c>
      <ns0:c r="H7" s="32">
        <ns0:f>+H6/L6</ns0:f>
        <ns0:v/>
      </ns0:c>
      <ns0:c r="I7" s="32">
        <ns0:f>+I6/L6</ns0:f>
        <ns0:v/>
      </ns0:c>
      <ns0:c r="J7" s="32">
        <ns0:f>+J6/L6</ns0:f>
        <ns0:v/>
      </ns0:c>
      <ns0:c r="K7" s="32">
        <ns0:f>+K6/L6</ns0:f>
        <ns0:v/>
      </ns0:c>
      <ns0:c r="N7" s="32">
        <ns0:f>+N6/P6</ns0:f>
        <ns0:v/>
      </ns0:c>
      <ns0:c r="O7" s="32">
        <ns0:f>+O6/P6</ns0:f>
        <ns0:v/>
      </ns0:c>
    </ns0:row>
    <ns0:row r="8" ht="34.5" customHeight="1">
      <ns0:c r="C8" s="32" t="inlineStr">
        <ns0:is>
          <ns0:t>AWF machine #1: increase tension from 85 to 105, after setting out side dimension  small</ns0:t>
        </ns0:is>
      </ns0:c>
      <ns0:c r="D8" s="32" t="n">
        <ns0:v>170</ns0:v>
      </ns0:c>
      <ns0:c r="E8" s="32">
        <ns0:f>+D8-L8</ns0:f>
        <ns0:v/>
      </ns0:c>
      <ns0:c r="F8" s="32" t="n">
        <ns0:v>0</ns0:v>
      </ns0:c>
      <ns0:c r="G8" s="32" t="n">
        <ns0:v>0</ns0:v>
      </ns0:c>
      <ns0:c r="H8" s="32" t="n">
        <ns0:v>0</ns0:v>
      </ns0:c>
      <ns0:c r="I8" s="32" t="n">
        <ns0:v>0</ns0:v>
      </ns0:c>
      <ns0:c r="J8" s="32" t="n">
        <ns0:v>0</ns0:v>
      </ns0:c>
      <ns0:c r="K8" s="32" t="n">
        <ns0:v>11</ns0:v>
      </ns0:c>
      <ns0:c r="L8" s="32">
        <ns0:f>SUM(F8:K8)</ns0:f>
        <ns0:v/>
      </ns0:c>
      <ns0:c r="M8" s="32">
        <ns0:f>+L8/D8</ns0:f>
        <ns0:v/>
      </ns0:c>
      <ns0:c r="N8" s="32" t="n">
        <ns0:v>0</ns0:v>
      </ns0:c>
      <ns0:c r="O8" s="32" t="n">
        <ns0:v>1</ns0:v>
      </ns0:c>
      <ns0:c r="P8" s="32">
        <ns0:f>SUM(N8:O8)</ns0:f>
        <ns0:v/>
      </ns0:c>
      <ns0:c r="Q8" s="32">
        <ns0:f>+P8/D8</ns0:f>
        <ns0:v/>
      </ns0:c>
    </ns0:row>
    <ns0:row r="9" ht="34.5" customHeight="1">
      <ns0:c r="F9" s="32">
        <ns0:f>+F8/L8</ns0:f>
        <ns0:v/>
      </ns0:c>
      <ns0:c r="G9" s="32">
        <ns0:f>+G8/L8</ns0:f>
        <ns0:v/>
      </ns0:c>
      <ns0:c r="H9" s="32">
        <ns0:f>+H8/L8</ns0:f>
        <ns0:v/>
      </ns0:c>
      <ns0:c r="I9" s="32">
        <ns0:f>+I8/L8</ns0:f>
        <ns0:v/>
      </ns0:c>
      <ns0:c r="J9" s="32">
        <ns0:f>+J8/L8</ns0:f>
        <ns0:v/>
      </ns0:c>
      <ns0:c r="K9" s="32">
        <ns0:f>+K8/L8</ns0:f>
        <ns0:v/>
      </ns0:c>
      <ns0:c r="N9" s="32">
        <ns0:f>+N8/P8</ns0:f>
        <ns0:v/>
      </ns0:c>
      <ns0:c r="O9" s="32">
        <ns0:f>+O8/P8</ns0:f>
        <ns0:v/>
      </ns0:c>
    </ns0:row>
    <ns0:row r="10" ht="34.5" customHeight="1">
      <ns0:c r="C10" s="32" t="inlineStr">
        <ns0:is>
          <ns0:t>AWF machine #2: setting 3D dimension small ( 7.64 x 12.56)</ns0:t>
        </ns0:is>
      </ns0:c>
      <ns0:c r="D10" s="32" t="n">
        <ns0:v>128</ns0:v>
      </ns0:c>
      <ns0:c r="E10" s="32">
        <ns0:f>+D10-L10</ns0:f>
        <ns0:v/>
      </ns0:c>
      <ns0:c r="F10" s="32" t="n">
        <ns0:v>0</ns0:v>
      </ns0:c>
      <ns0:c r="G10" s="32" t="n">
        <ns0:v>0</ns0:v>
      </ns0:c>
      <ns0:c r="H10" s="32" t="n">
        <ns0:v>0</ns0:v>
      </ns0:c>
      <ns0:c r="I10" s="32" t="n">
        <ns0:v>0</ns0:v>
      </ns0:c>
      <ns0:c r="J10" s="32" t="n">
        <ns0:v>3</ns0:v>
      </ns0:c>
      <ns0:c r="K10" s="32" t="n">
        <ns0:v>11</ns0:v>
      </ns0:c>
      <ns0:c r="L10" s="32">
        <ns0:f>SUM(F10:K10)</ns0:f>
        <ns0:v/>
      </ns0:c>
      <ns0:c r="M10" s="32">
        <ns0:f>+L10/D10</ns0:f>
        <ns0:v/>
      </ns0:c>
      <ns0:c r="N10" s="32" t="n">
        <ns0:v>2</ns0:v>
      </ns0:c>
      <ns0:c r="O10" s="32" t="n">
        <ns0:v>0</ns0:v>
      </ns0:c>
      <ns0:c r="P10" s="32">
        <ns0:f>SUM(N10:O10)</ns0:f>
        <ns0:v/>
      </ns0:c>
      <ns0:c r="Q10" s="32">
        <ns0:f>+P10/D10</ns0:f>
        <ns0:v/>
      </ns0:c>
    </ns0:row>
    <ns0:row r="11" ht="34.5" customHeight="1">
      <ns0:c r="F11" s="32">
        <ns0:f>+F10/L10</ns0:f>
        <ns0:v/>
      </ns0:c>
      <ns0:c r="G11" s="32">
        <ns0:f>+G10/L10</ns0:f>
        <ns0:v/>
      </ns0:c>
      <ns0:c r="H11" s="32">
        <ns0:f>+H10/L10</ns0:f>
        <ns0:v/>
      </ns0:c>
      <ns0:c r="I11" s="32">
        <ns0:f>+I10/L10</ns0:f>
        <ns0:v/>
      </ns0:c>
      <ns0:c r="J11" s="32">
        <ns0:f>+J10/L10</ns0:f>
        <ns0:v/>
      </ns0:c>
      <ns0:c r="K11" s="32">
        <ns0:f>+K10/L10</ns0:f>
        <ns0:v/>
      </ns0:c>
      <ns0:c r="N11" s="32">
        <ns0:f>+N10/P10</ns0:f>
        <ns0:v/>
      </ns0:c>
      <ns0:c r="O11" s="32">
        <ns0:f>+O10/P10</ns0:f>
        <ns0:v/>
      </ns0:c>
    </ns0:row>
    <ns0:row r="12" ht="34.5" customHeight="1"/>
    <ns0:row r="13" ht="34.5" customHeight="1"/>
  </ns0:sheetData>
  <ns0:pageMargins left="0.75" right="0.75" top="1" bottom="1" header="0.5" footer="0.5"/>
</ns0:worksheet>
</file>

<file path=xl/worksheets/sheet22.xml><?xml version="1.0" encoding="utf-8"?>
<ns0:worksheet xmlns:ns0="http://schemas.openxmlformats.org/spreadsheetml/2006/main">
  <ns0:sheetPr>
    <ns0:outlinePr summaryBelow="1" summaryRight="1"/>
    <ns0:pageSetUpPr/>
  </ns0:sheetPr>
  <ns0:dimension ref="C7:I15"/>
  <ns0:sheetViews>
    <ns0:sheetView workbookViewId="0">
      <ns0:selection activeCell="A1" sqref="A1"/>
    </ns0:sheetView>
  </ns0:sheetViews>
  <ns0:sheetFormatPr baseColWidth="8" defaultRowHeight="15"/>
  <ns0:cols>
    <ns0:col width="8.380000000000001" customWidth="1" min="3" max="3"/>
    <ns0:col width="8.380000000000001" customWidth="1" min="4" max="4"/>
    <ns0:col width="36.25" customWidth="1" min="5" max="5"/>
    <ns0:col width="31" customWidth="1" min="6" max="6"/>
    <ns0:col width="31" customWidth="1" min="7" max="7"/>
    <ns0:col width="10.5" customWidth="1" min="8" max="8"/>
    <ns0:col width="11.38" customWidth="1" min="9" max="9"/>
  </ns0:cols>
  <ns0:sheetData>
    <ns0:row r="7" ht="26.25" customHeight="1">
      <ns0:c r="C7" s="38" t="inlineStr">
        <ns0:is>
          <ns0:t>No</ns0:t>
        </ns0:is>
      </ns0:c>
      <ns0:c r="D7" s="38" t="inlineStr">
        <ns0:is>
          <ns0:t>Date</ns0:t>
        </ns0:is>
      </ns0:c>
      <ns0:c r="E7" s="38" t="inlineStr">
        <ns0:is>
          <ns0:t xml:space="preserve">Type tét </ns0:t>
        </ns0:is>
      </ns0:c>
      <ns0:c r="H7" s="38" t="inlineStr">
        <ns0:is>
          <ns0:t>OK</ns0:t>
        </ns0:is>
      </ns0:c>
      <ns0:c r="I7" s="38" t="inlineStr">
        <ns0:is>
          <ns0:t>Note</ns0:t>
        </ns0:is>
      </ns0:c>
    </ns0:row>
    <ns0:row r="8" ht="16.5" customHeight="1">
      <ns0:c r="C8" s="38" t="n">
        <ns0:v>1</ns0:v>
      </ns0:c>
      <ns0:c r="D8" s="39" t="n">
        <ns0:v>45710</ns0:v>
      </ns0:c>
      <ns0:c r="E8" s="38" t="inlineStr">
        <ns0:is>
          <ns0:t xml:space="preserve">AWF MC : #4 , 5 </ns0:t>
        </ns0:is>
      </ns0:c>
      <ns0:c r="F8" s="38" t="inlineStr">
        <ns0:is>
          <ns0:t>Frame normal</ns0:t>
        </ns0:is>
      </ns0:c>
      <ns0:c r="G8" s="38" t="inlineStr">
        <ns0:is>
          <ns0:t xml:space="preserve">Yoke normal </ns0:t>
        </ns0:is>
      </ns0:c>
      <ns0:c r="H8" s="38" t="n">
        <ns0:v>120</ns0:v>
      </ns0:c>
      <ns0:c r="I8" s="38" t="inlineStr">
        <ns0:is>
          <ns0:t>8V</ns0:t>
        </ns0:is>
      </ns0:c>
    </ns0:row>
    <ns0:row r="9" ht="16.5" customHeight="1"/>
    <ns0:row r="10" ht="16.5" customHeight="1">
      <ns0:c r="C10" s="38" t="n">
        <ns0:v>2</ns0:v>
      </ns0:c>
      <ns0:c r="D10" s="39" t="n">
        <ns0:v>45710</ns0:v>
      </ns0:c>
      <ns0:c r="E10" s="38" t="inlineStr">
        <ns0:is>
          <ns0:t xml:space="preserve">AWF MC : #3 ( Coil : 0.096 ) </ns0:t>
        </ns0:is>
      </ns0:c>
      <ns0:c r="F10" s="38" t="inlineStr">
        <ns0:is>
          <ns0:t>Frame test V1</ns0:t>
        </ns0:is>
      </ns0:c>
      <ns0:c r="G10" s="38" t="inlineStr">
        <ns0:is>
          <ns0:t xml:space="preserve">Yoke normal </ns0:t>
        </ns0:is>
      </ns0:c>
      <ns0:c r="H10" s="38" t="n">
        <ns0:v>24</ns0:v>
      </ns0:c>
      <ns0:c r="I10" s="40" t="inlineStr">
        <ns0:is>
          <ns0:t>7V</ns0:t>
        </ns0:is>
      </ns0:c>
    </ns0:row>
    <ns0:row r="11" ht="16.5" customHeight="1"/>
    <ns0:row r="12" ht="16.5" customHeight="1">
      <ns0:c r="C12" s="38" t="n">
        <ns0:v>3</ns0:v>
      </ns0:c>
      <ns0:c r="D12" s="39" t="n">
        <ns0:v>45710</ns0:v>
      </ns0:c>
      <ns0:c r="E12" s="38" t="inlineStr">
        <ns0:is>
          <ns0:t>Test press 4 point Suspension before ass'y Yoke</ns0:t>
        </ns0:is>
      </ns0:c>
      <ns0:c r="H12" s="38" t="n">
        <ns0:v>98</ns0:v>
      </ns0:c>
      <ns0:c r="I12" s="38" t="inlineStr">
        <ns0:is>
          <ns0:t>8V</ns0:t>
        </ns0:is>
      </ns0:c>
    </ns0:row>
    <ns0:row r="13" ht="16.5" customHeight="1"/>
    <ns0:row r="14" ht="16.5" customHeight="1">
      <ns0:c r="C14" s="38" t="n">
        <ns0:v>4</ns0:v>
      </ns0:c>
      <ns0:c r="D14" s="39" t="n">
        <ns0:v>45710</ns0:v>
      </ns0:c>
      <ns0:c r="E14" s="38" t="inlineStr">
        <ns0:is>
          <ns0:t xml:space="preserve">AWF MC : #3 ( Coil : 0.096 ) </ns0:t>
        </ns0:is>
      </ns0:c>
      <ns0:c r="F14" s="38" t="inlineStr">
        <ns0:is>
          <ns0:t>Frame normal</ns0:t>
        </ns0:is>
      </ns0:c>
      <ns0:c r="G14" s="38" t="inlineStr">
        <ns0:is>
          <ns0:t xml:space="preserve">Yoke normal </ns0:t>
        </ns0:is>
      </ns0:c>
      <ns0:c r="H14" s="40" t="n">
        <ns0:v>77</ns0:v>
      </ns0:c>
      <ns0:c r="I14" s="38" t="inlineStr">
        <ns0:is>
          <ns0:t>8V</ns0:t>
        </ns0:is>
      </ns0:c>
    </ns0:row>
    <ns0:row r="15" ht="16.5" customHeight="1"/>
  </ns0:sheetData>
  <ns0:mergeCells count="2">
    <ns0:mergeCell ref="H14:H15"/>
    <ns0:mergeCell ref="I10:I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2026-05-12T09:00:29Z</dcterms:created>
  <dcterms:modified xsi:type="dcterms:W3CDTF">2026-05-12T09:02:20Z</dcterms:modified>
</cp:coreProperties>
</file>