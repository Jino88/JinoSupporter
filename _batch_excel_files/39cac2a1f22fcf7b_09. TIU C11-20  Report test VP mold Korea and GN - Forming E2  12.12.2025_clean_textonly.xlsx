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U50"/>
  <ns0:sheetViews>
    <ns0:sheetView workbookViewId="0">
      <ns0:selection activeCell="A1" sqref="A1"/>
    </ns0:sheetView>
  </ns0:sheetViews>
  <ns0:sheetFormatPr baseColWidth="8" defaultRowHeight="15"/>
  <ns0:cols>
    <ns0:col width="7.13" customWidth="1" min="1" max="1"/>
    <ns0:col width="18.5" customWidth="1" min="2" max="2"/>
    <ns0:col width="18.5" customWidth="1" min="3" max="3"/>
    <ns0:col width="18.5" customWidth="1" min="4" max="4"/>
    <ns0:col width="18.5" customWidth="1" min="5" max="5"/>
    <ns0:col width="18.5" customWidth="1" min="6" max="6"/>
    <ns0:col width="21" customWidth="1" min="7" max="7"/>
    <ns0:col width="18.5" customWidth="1" min="8" max="8"/>
    <ns0:col width="18.5" customWidth="1" min="9" max="9"/>
    <ns0:col width="18.5" customWidth="1" min="10" max="10"/>
    <ns0:col width="18.5" customWidth="1" min="11" max="11"/>
    <ns0:col width="18.5" customWidth="1" min="12" max="12"/>
    <ns0:col width="18.5" customWidth="1" min="13" max="13"/>
    <ns0:col width="18.5" customWidth="1" min="14" max="14"/>
    <ns0:col width="18.5" customWidth="1" min="15" max="15"/>
    <ns0:col width="18.5" customWidth="1" min="16" max="16"/>
    <ns0:col width="18.5" customWidth="1" min="17" max="17"/>
    <ns0:col width="18.5" customWidth="1" min="18" max="18"/>
    <ns0:col width="18.5" customWidth="1" min="19" max="19"/>
    <ns0:col width="18.5" customWidth="1" min="20" max="20"/>
    <ns0:col width="18.5" customWidth="1" min="21" max="21"/>
    <ns0:col width="8.630000000000001" customWidth="1" min="22" max="22"/>
    <ns0:col width="8.630000000000001" customWidth="1" min="23" max="23"/>
    <ns0:col width="8.630000000000001" customWidth="1" min="24" max="24"/>
    <ns0:col width="8.630000000000001" customWidth="1" min="25" max="25"/>
    <ns0:col width="8.630000000000001" customWidth="1" min="26" max="26"/>
    <ns0:col width="8.630000000000001" customWidth="1" min="27" max="27"/>
    <ns0:col width="8.630000000000001" customWidth="1" min="28" max="28"/>
    <ns0:col width="8.630000000000001" customWidth="1" min="29" max="29"/>
    <ns0:col width="8.630000000000001" customWidth="1" min="30" max="30"/>
    <ns0:col width="8.630000000000001" customWidth="1" min="31" max="31"/>
    <ns0:col width="8.630000000000001" customWidth="1" min="32" max="32"/>
    <ns0:col width="8.630000000000001" customWidth="1" min="33" max="33"/>
    <ns0:col width="8.630000000000001" customWidth="1" min="34" max="34"/>
    <ns0:col width="8.630000000000001" customWidth="1" min="35" max="35"/>
    <ns0:col width="8.630000000000001" customWidth="1" min="36" max="36"/>
    <ns0:col width="8.630000000000001" customWidth="1" min="37" max="37"/>
    <ns0:col width="8.630000000000001" customWidth="1" min="38" max="38"/>
    <ns0:col width="8.630000000000001" customWidth="1" min="39" max="39"/>
    <ns0:col width="8.630000000000001" customWidth="1" min="40" max="40"/>
    <ns0:col width="8.630000000000001" customWidth="1" min="41" max="41"/>
    <ns0:col width="8.630000000000001" customWidth="1" min="42" max="42"/>
    <ns0:col width="8.630000000000001" customWidth="1" min="43" max="43"/>
    <ns0:col width="8.630000000000001" customWidth="1" min="44" max="44"/>
    <ns0:col width="8.630000000000001" customWidth="1" min="45" max="45"/>
    <ns0:col width="8.630000000000001" customWidth="1" min="46" max="46"/>
    <ns0:col width="8.630000000000001" customWidth="1" min="47" max="47"/>
    <ns0:col width="8.630000000000001" customWidth="1" min="48" max="48"/>
    <ns0:col width="8.630000000000001" customWidth="1" min="49" max="49"/>
    <ns0:col width="8.630000000000001" customWidth="1" min="50" max="50"/>
    <ns0:col width="8.630000000000001" customWidth="1" min="51" max="51"/>
    <ns0:col width="8.630000000000001" customWidth="1" min="52" max="52"/>
    <ns0:col width="8.630000000000001" customWidth="1" min="53" max="53"/>
    <ns0:col width="8.630000000000001" customWidth="1" min="54" max="54"/>
    <ns0:col width="8.630000000000001" customWidth="1" min="55" max="55"/>
    <ns0:col width="8.630000000000001" customWidth="1" min="56" max="56"/>
    <ns0:col width="8.630000000000001" customWidth="1" min="57" max="57"/>
    <ns0:col width="8.630000000000001" customWidth="1" min="58" max="58"/>
  </ns0:cols>
  <ns0:sheetData>
    <ns0:row r="1" ht="37.5" customHeight="1"/>
    <ns0:row r="2" ht="40.5" customHeight="1">
      <ns0:c r="B2" s="1" t="inlineStr">
        <ns0:is>
          <ns0:t>TITLE</ns0:t>
        </ns0:is>
      </ns0:c>
      <ns0:c r="D2" s="1" t="inlineStr">
        <ns0:is>
          <ns0:t>REPORT TEST VP MOLD KOREA AND GN  - FORMING E2 TIU-C11-20</ns0:t>
        </ns0:is>
      </ns0:c>
      <ns0:c r="T2" s="1" t="inlineStr">
        <ns0:is>
          <ns0:t>Dept</ns0:t>
        </ns0:is>
      </ns0:c>
      <ns0:c r="U2" s="1" t="inlineStr">
        <ns0:is>
          <ns0:t>ME</ns0:t>
        </ns0:is>
      </ns0:c>
    </ns0:row>
    <ns0:row r="3" ht="40.5" customHeight="1">
      <ns0:c r="T3" s="1" t="inlineStr">
        <ns0:is>
          <ns0:t>Date</ns0:t>
        </ns0:is>
      </ns0:c>
      <ns0:c r="U3" s="2" t="n">
        <ns0:v>46003</ns0:v>
      </ns0:c>
    </ns0:row>
    <ns0:row r="4" ht="40.5" customHeight="1">
      <ns0:c r="T4" s="1" t="inlineStr">
        <ns0:is>
          <ns0:t>Marker</ns0:t>
        </ns0:is>
      </ns0:c>
      <ns0:c r="U4" s="1" t="inlineStr">
        <ns0:is>
          <ns0:t>Trung</ns0:t>
        </ns0:is>
      </ns0:c>
    </ns0:row>
    <ns0:row r="5" ht="40.5" customHeight="1">
      <ns0:c r="B5" s="1" t="inlineStr">
        <ns0:is>
          <ns0:t>I. Purpose.</ns0:t>
        </ns0:is>
      </ns0:c>
    </ns0:row>
    <ns0:row r="6" ht="40.5" customHeight="1">
      <ns0:c r="B6" s="1" t="inlineStr">
        <ns0:is>
          <ns0:t xml:space="preserve"> - Test VP OK or Not</ns0:t>
        </ns0:is>
      </ns0:c>
    </ns0:row>
    <ns0:row r="7" ht="40.5" customHeight="1">
      <ns0:c r="B7" s="1" t="inlineStr">
        <ns0:is>
          <ns0:t>II. Content.</ns0:t>
        </ns0:is>
      </ns0:c>
    </ns0:row>
    <ns0:row r="8" ht="40.5" customHeight="1">
      <ns0:c r="B8" s="1" t="inlineStr">
        <ns0:is>
          <ns0:t xml:space="preserve"> - Test VP TIU C11-20 ED  forming NO1-4H in E2 - Mold Korea</ns0:t>
        </ns0:is>
      </ns0:c>
    </ns0:row>
    <ns0:row r="9" ht="40.5" customHeight="1">
      <ns0:c r="B9" s="1" t="inlineStr">
        <ns0:is>
          <ns0:t xml:space="preserve"> - Test VP TIU C11-20 ED  forming NO1-4H in E2 - Mold GN</ns0:t>
        </ns0:is>
      </ns0:c>
    </ns0:row>
    <ns0:row r="10" ht="40.5" customHeight="1">
      <ns0:c r="B10" s="1" t="inlineStr">
        <ns0:is>
          <ns0:t xml:space="preserve"> - Test VP TIU C11-20 CD  forming D3 - Mold Korea</ns0:t>
        </ns0:is>
      </ns0:c>
    </ns0:row>
    <ns0:row r="11" ht="40.5" customHeight="1">
      <ns0:c r="B11" s="1" t="inlineStr">
        <ns0:is>
          <ns0:t>Make final sample and check function</ns0:t>
        </ns0:is>
      </ns0:c>
    </ns0:row>
    <ns0:row r="12" ht="40.5" customHeight="1">
      <ns0:c r="B12" s="1" t="inlineStr">
        <ns0:is>
          <ns0:t>Compare with normal lot</ns0:t>
        </ns0:is>
      </ns0:c>
    </ns0:row>
    <ns0:row r="13" ht="44.25" customHeight="1">
      <ns0:c r="B13" s="1" t="inlineStr">
        <ns0:is>
          <ns0:t xml:space="preserve">III. Result </ns0:t>
        </ns0:is>
      </ns0:c>
    </ns0:row>
    <ns0:row r="14" ht="39.75" customHeight="1"/>
    <ns0:row r="15" ht="39.75" customHeight="1">
      <ns0:c r="C15" s="1" t="inlineStr">
        <ns0:is>
          <ns0:t>1. Result check function</ns0:t>
        </ns0:is>
      </ns0:c>
    </ns0:row>
    <ns0:row r="16" ht="49.5" customHeight="1">
      <ns0:c r="C16" s="1" t="inlineStr">
        <ns0:is>
          <ns0:t>No</ns0:t>
        </ns0:is>
      </ns0:c>
      <ns0:c r="D16" s="1" t="inlineStr">
        <ns0:is>
          <ns0:t>Date</ns0:t>
        </ns0:is>
      </ns0:c>
      <ns0:c r="E16" s="1" t="inlineStr">
        <ns0:is>
          <ns0:t>Type</ns0:t>
        </ns0:is>
      </ns0:c>
      <ns0:c r="H16" s="1" t="inlineStr">
        <ns0:is>
          <ns0:t>Input</ns0:t>
        </ns0:is>
      </ns0:c>
      <ns0:c r="I16" s="1" t="inlineStr">
        <ns0:is>
          <ns0:t>OK</ns0:t>
        </ns0:is>
      </ns0:c>
      <ns0:c r="J16" s="1" t="inlineStr">
        <ns0:is>
          <ns0:t>NG AUDIOBUS</ns0:t>
        </ns0:is>
      </ns0:c>
      <ns0:c r="N16" s="1" t="inlineStr">
        <ns0:is>
          <ns0:t>NG HEARING</ns0:t>
        </ns0:is>
      </ns0:c>
      <ns0:c r="P16" s="1" t="inlineStr">
        <ns0:is>
          <ns0:t>Total NG</ns0:t>
        </ns0:is>
      </ns0:c>
      <ns0:c r="Q16" s="1" t="inlineStr">
        <ns0:is>
          <ns0:t>NG rate</ns0:t>
        </ns0:is>
      </ns0:c>
      <ns0:c r="R16" s="1" t="inlineStr">
        <ns0:is>
          <ns0:t>Note</ns0:t>
        </ns0:is>
      </ns0:c>
    </ns0:row>
    <ns0:row r="17" ht="49.5" customHeight="1">
      <ns0:c r="J17" s="1" t="inlineStr">
        <ns0:is>
          <ns0:t>SPL</ns0:t>
        </ns0:is>
      </ns0:c>
      <ns0:c r="K17" s="1" t="inlineStr">
        <ns0:is>
          <ns0:t>SPL+RB</ns0:t>
        </ns0:is>
      </ns0:c>
      <ns0:c r="L17" s="1" t="inlineStr">
        <ns0:is>
          <ns0:t>RB</ns0:t>
        </ns0:is>
      </ns0:c>
      <ns0:c r="M17" s="1" t="inlineStr">
        <ns0:is>
          <ns0:t>No sound</ns0:t>
        </ns0:is>
      </ns0:c>
      <ns0:c r="N17" s="1" t="inlineStr">
        <ns0:is>
          <ns0:t xml:space="preserve">Noise </ns0:t>
        </ns0:is>
      </ns0:c>
      <ns0:c r="O17" s="1" t="inlineStr">
        <ns0:is>
          <ns0:t>Touch</ns0:t>
        </ns0:is>
      </ns0:c>
    </ns0:row>
    <ns0:row r="18" ht="33.75" customHeight="1">
      <ns0:c r="C18" s="1" t="n">
        <ns0:v>1</ns0:v>
      </ns0:c>
      <ns0:c r="D18" s="2" t="n">
        <ns0:v>46003</ns0:v>
      </ns0:c>
      <ns0:c r="E18" s="1" t="inlineStr">
        <ns0:is>
          <ns0:t xml:space="preserve"> VP TIU C11-20 ED  
Forming NO1-4H in E2 
Mold Korea</ns0:t>
        </ns0:is>
      </ns0:c>
      <ns0:c r="H18" s="1" t="n">
        <ns0:v>164</ns0:v>
      </ns0:c>
      <ns0:c r="I18" s="1">
        <ns0:f>H18-P18</ns0:f>
        <ns0:v/>
      </ns0:c>
      <ns0:c r="J18" s="1" t="n">
        <ns0:v>0</ns0:v>
      </ns0:c>
      <ns0:c r="K18" s="1" t="n">
        <ns0:v>4</ns0:v>
      </ns0:c>
      <ns0:c r="L18" s="1" t="n">
        <ns0:v>2</ns0:v>
      </ns0:c>
      <ns0:c r="M18" s="1" t="n">
        <ns0:v>0</ns0:v>
      </ns0:c>
      <ns0:c r="N18" s="1" t="n">
        <ns0:v>2</ns0:v>
      </ns0:c>
      <ns0:c r="O18" s="1" t="n">
        <ns0:v>0</ns0:v>
      </ns0:c>
      <ns0:c r="P18" s="1">
        <ns0:f>SUM(N18:O18,J18:K18)</ns0:f>
        <ns0:v/>
      </ns0:c>
      <ns0:c r="Q18" s="1">
        <ns0:f>P18/H18</ns0:f>
        <ns0:v/>
      </ns0:c>
    </ns0:row>
    <ns0:row r="19" ht="33.75" customHeight="1">
      <ns0:c r="J19" s="1">
        <ns0:f>+J18/H18</ns0:f>
        <ns0:v/>
      </ns0:c>
      <ns0:c r="K19" s="1">
        <ns0:f>K18/H18</ns0:f>
        <ns0:v/>
      </ns0:c>
      <ns0:c r="L19" s="1">
        <ns0:f>+L18/H18</ns0:f>
        <ns0:v/>
      </ns0:c>
      <ns0:c r="M19" s="1">
        <ns0:f>+M18/H18</ns0:f>
        <ns0:v/>
      </ns0:c>
      <ns0:c r="N19" s="1">
        <ns0:f>N18/H18</ns0:f>
        <ns0:v/>
      </ns0:c>
      <ns0:c r="O19" s="1">
        <ns0:f>O18/H18</ns0:f>
        <ns0:v/>
      </ns0:c>
    </ns0:row>
    <ns0:row r="20" ht="33.75" customHeight="1">
      <ns0:c r="C20" s="1" t="n">
        <ns0:v>2</ns0:v>
      </ns0:c>
      <ns0:c r="E20" s="1" t="inlineStr">
        <ns0:is>
          <ns0:t xml:space="preserve"> VP TIU C11-20 ED  
Forming NO1-4H in E2 
Mold GN</ns0:t>
        </ns0:is>
      </ns0:c>
      <ns0:c r="H20" s="1" t="n">
        <ns0:v>174</ns0:v>
      </ns0:c>
      <ns0:c r="I20" s="1">
        <ns0:f>H20-P20</ns0:f>
        <ns0:v/>
      </ns0:c>
      <ns0:c r="J20" s="1" t="n">
        <ns0:v>1</ns0:v>
      </ns0:c>
      <ns0:c r="K20" s="1" t="n">
        <ns0:v>1</ns0:v>
      </ns0:c>
      <ns0:c r="L20" s="1" t="n">
        <ns0:v>4</ns0:v>
      </ns0:c>
      <ns0:c r="M20" s="1" t="n">
        <ns0:v>0</ns0:v>
      </ns0:c>
      <ns0:c r="N20" s="1" t="n">
        <ns0:v>2</ns0:v>
      </ns0:c>
      <ns0:c r="O20" s="1" t="n">
        <ns0:v>1</ns0:v>
      </ns0:c>
      <ns0:c r="P20" s="1">
        <ns0:f>SUM(N20:O20,J20:K20)</ns0:f>
        <ns0:v/>
      </ns0:c>
      <ns0:c r="Q20" s="1">
        <ns0:f>P20/H20</ns0:f>
        <ns0:v/>
      </ns0:c>
    </ns0:row>
    <ns0:row r="21" ht="33.75" customHeight="1">
      <ns0:c r="J21" s="1">
        <ns0:f>+J20/H20</ns0:f>
        <ns0:v/>
      </ns0:c>
      <ns0:c r="K21" s="1">
        <ns0:f>K20/H20</ns0:f>
        <ns0:v/>
      </ns0:c>
      <ns0:c r="L21" s="1">
        <ns0:f>+L20/H20</ns0:f>
        <ns0:v/>
      </ns0:c>
      <ns0:c r="M21" s="1">
        <ns0:f>+M20/H20</ns0:f>
        <ns0:v/>
      </ns0:c>
      <ns0:c r="N21" s="1">
        <ns0:f>N20/H20</ns0:f>
        <ns0:v/>
      </ns0:c>
      <ns0:c r="O21" s="1">
        <ns0:f>O20/H20</ns0:f>
        <ns0:v/>
      </ns0:c>
    </ns0:row>
    <ns0:row r="22" ht="33.75" customHeight="1">
      <ns0:c r="C22" s="1" t="n">
        <ns0:v>3</ns0:v>
      </ns0:c>
      <ns0:c r="E22" s="1" t="inlineStr">
        <ns0:is>
          <ns0:t>VP TIU C11-20 CD  forming D3 
 Mold Korea</ns0:t>
        </ns0:is>
      </ns0:c>
      <ns0:c r="H22" s="1" t="n">
        <ns0:v>172</ns0:v>
      </ns0:c>
      <ns0:c r="I22" s="1">
        <ns0:f>H22-P22</ns0:f>
        <ns0:v/>
      </ns0:c>
      <ns0:c r="J22" s="1" t="n">
        <ns0:v>1</ns0:v>
      </ns0:c>
      <ns0:c r="K22" s="1" t="n">
        <ns0:v>0</ns0:v>
      </ns0:c>
      <ns0:c r="L22" s="1" t="n">
        <ns0:v>2</ns0:v>
      </ns0:c>
      <ns0:c r="M22" s="1" t="n">
        <ns0:v>0</ns0:v>
      </ns0:c>
      <ns0:c r="N22" s="1" t="n">
        <ns0:v>2</ns0:v>
      </ns0:c>
      <ns0:c r="O22" s="1" t="n">
        <ns0:v>0</ns0:v>
      </ns0:c>
      <ns0:c r="P22" s="1">
        <ns0:f>SUM(N22:O22,J22:K22)</ns0:f>
        <ns0:v/>
      </ns0:c>
      <ns0:c r="Q22" s="1">
        <ns0:f>P22/H22</ns0:f>
        <ns0:v/>
      </ns0:c>
    </ns0:row>
    <ns0:row r="23" ht="33.75" customHeight="1">
      <ns0:c r="J23" s="1">
        <ns0:f>+J22/H22</ns0:f>
        <ns0:v/>
      </ns0:c>
      <ns0:c r="K23" s="1">
        <ns0:f>K22/H22</ns0:f>
        <ns0:v/>
      </ns0:c>
      <ns0:c r="L23" s="1">
        <ns0:f>+L22/H22</ns0:f>
        <ns0:v/>
      </ns0:c>
      <ns0:c r="M23" s="1">
        <ns0:f>+M22/H22</ns0:f>
        <ns0:v/>
      </ns0:c>
      <ns0:c r="N23" s="1">
        <ns0:f>N22/H22</ns0:f>
        <ns0:v/>
      </ns0:c>
      <ns0:c r="O23" s="1">
        <ns0:f>O22/H22</ns0:f>
        <ns0:v/>
      </ns0:c>
    </ns0:row>
    <ns0:row r="24" ht="33.75" customHeight="1">
      <ns0:c r="C24" s="1" t="n">
        <ns0:v>4</ns0:v>
      </ns0:c>
      <ns0:c r="E24" s="1" t="inlineStr">
        <ns0:is>
          <ns0:t>Normal
VP Forming D3 
 Mold Korea</ns0:t>
        </ns0:is>
      </ns0:c>
      <ns0:c r="H24" s="1" t="n">
        <ns0:v>341</ns0:v>
      </ns0:c>
      <ns0:c r="I24" s="1">
        <ns0:f>H24-P24</ns0:f>
        <ns0:v/>
      </ns0:c>
      <ns0:c r="J24" s="1" t="n">
        <ns0:v>0</ns0:v>
      </ns0:c>
      <ns0:c r="K24" s="1" t="n">
        <ns0:v>0</ns0:v>
      </ns0:c>
      <ns0:c r="L24" s="1" t="n">
        <ns0:v>20</ns0:v>
      </ns0:c>
      <ns0:c r="M24" s="1" t="n">
        <ns0:v>0</ns0:v>
      </ns0:c>
      <ns0:c r="N24" s="1" t="n">
        <ns0:v>15</ns0:v>
      </ns0:c>
      <ns0:c r="O24" s="1" t="n">
        <ns0:v>2</ns0:v>
      </ns0:c>
      <ns0:c r="P24" s="1">
        <ns0:f>SUM(N24:O24,J24:K24)</ns0:f>
        <ns0:v/>
      </ns0:c>
      <ns0:c r="Q24" s="1">
        <ns0:f>P24/H24</ns0:f>
        <ns0:v/>
      </ns0:c>
    </ns0:row>
    <ns0:row r="25" ht="33.75" customHeight="1">
      <ns0:c r="J25" s="1">
        <ns0:f>+J24/H24</ns0:f>
        <ns0:v/>
      </ns0:c>
      <ns0:c r="K25" s="1">
        <ns0:f>K24/H24</ns0:f>
        <ns0:v/>
      </ns0:c>
      <ns0:c r="L25" s="1">
        <ns0:f>+L24/H24</ns0:f>
        <ns0:v/>
      </ns0:c>
      <ns0:c r="M25" s="1">
        <ns0:f>+M24/H24</ns0:f>
        <ns0:v/>
      </ns0:c>
      <ns0:c r="N25" s="1">
        <ns0:f>N24/H24</ns0:f>
        <ns0:v/>
      </ns0:c>
      <ns0:c r="O25" s="1">
        <ns0:f>O24/H24</ns0:f>
        <ns0:v/>
      </ns0:c>
    </ns0:row>
    <ns0:row r="26" ht="39.75" customHeight="1">
      <ns0:c r="C26" s="1" t="inlineStr">
        <ns0:is>
          <ns0:t>2. Result check tension Fr+VP, VP+Coil</ns0:t>
        </ns0:is>
      </ns0:c>
    </ns0:row>
    <ns0:row r="27" ht="39.75" customHeight="1">
      <ns0:c r="C27" s="1" t="inlineStr">
        <ns0:is>
          <ns0:t>No</ns0:t>
        </ns0:is>
      </ns0:c>
      <ns0:c r="D27" s="1" t="inlineStr">
        <ns0:is>
          <ns0:t>Date</ns0:t>
        </ns0:is>
      </ns0:c>
      <ns0:c r="E27" s="1" t="inlineStr">
        <ns0:is>
          <ns0:t>Type</ns0:t>
        </ns0:is>
      </ns0:c>
      <ns0:c r="H27" s="1" t="inlineStr">
        <ns0:is>
          <ns0:t>Spec</ns0:t>
        </ns0:is>
      </ns0:c>
      <ns0:c r="I27" s="1" t="inlineStr">
        <ns0:is>
          <ns0:t>Result</ns0:t>
        </ns0:is>
      </ns0:c>
      <ns0:c r="J27" s="1" t="inlineStr">
        <ns0:is>
          <ns0:t>No sample</ns0:t>
        </ns0:is>
      </ns0:c>
      <ns0:c r="R27" s="1" t="inlineStr">
        <ns0:is>
          <ns0:t>Min</ns0:t>
        </ns0:is>
      </ns0:c>
      <ns0:c r="S27" s="1" t="inlineStr">
        <ns0:is>
          <ns0:t>Max</ns0:t>
        </ns0:is>
      </ns0:c>
      <ns0:c r="T27" s="1" t="inlineStr">
        <ns0:is>
          <ns0:t>AVG</ns0:t>
        </ns0:is>
      </ns0:c>
    </ns0:row>
    <ns0:row r="28" ht="39.75" customHeight="1">
      <ns0:c r="J28" s="1" t="inlineStr">
        <ns0:is>
          <ns0:t>#1</ns0:t>
        </ns0:is>
      </ns0:c>
      <ns0:c r="K28" s="1" t="inlineStr">
        <ns0:is>
          <ns0:t>#2</ns0:t>
        </ns0:is>
      </ns0:c>
      <ns0:c r="L28" s="1" t="inlineStr">
        <ns0:is>
          <ns0:t>#3</ns0:t>
        </ns0:is>
      </ns0:c>
      <ns0:c r="M28" s="1" t="inlineStr">
        <ns0:is>
          <ns0:t>#4</ns0:t>
        </ns0:is>
      </ns0:c>
      <ns0:c r="N28" s="1" t="inlineStr">
        <ns0:is>
          <ns0:t>#5</ns0:t>
        </ns0:is>
      </ns0:c>
      <ns0:c r="O28" s="1" t="inlineStr">
        <ns0:is>
          <ns0:t>#6</ns0:t>
        </ns0:is>
      </ns0:c>
      <ns0:c r="P28" s="1" t="inlineStr">
        <ns0:is>
          <ns0:t>#7</ns0:t>
        </ns0:is>
      </ns0:c>
      <ns0:c r="Q28" s="1" t="inlineStr">
        <ns0:is>
          <ns0:t>#8</ns0:t>
        </ns0:is>
      </ns0:c>
    </ns0:row>
    <ns0:row r="29" ht="57" customHeight="1">
      <ns0:c r="C29" s="1" t="n">
        <ns0:v>1</ns0:v>
      </ns0:c>
      <ns0:c r="D29" s="2" t="n">
        <ns0:v>46003</ns0:v>
      </ns0:c>
      <ns0:c r="E29" s="1" t="inlineStr">
        <ns0:is>
          <ns0:t>Fr+VP</ns0:t>
        </ns0:is>
      </ns0:c>
      <ns0:c r="F29" s="1" t="inlineStr">
        <ns0:is>
          <ns0:t xml:space="preserve"> VP TIU C11-20 ED  
Forming NO1-4H in E2 
Mold Korea</ns0:t>
        </ns0:is>
      </ns0:c>
      <ns0:c r="H29" s="1" t="n">
        <ns0:v>0.4</ns0:v>
      </ns0:c>
      <ns0:c r="I29" s="1" t="inlineStr">
        <ns0:is>
          <ns0:t>Pass</ns0:t>
        </ns0:is>
      </ns0:c>
      <ns0:c r="J29" s="1" t="n">
        <ns0:v>1.138</ns0:v>
      </ns0:c>
      <ns0:c r="K29" s="1" t="n">
        <ns0:v>0.981</ns0:v>
      </ns0:c>
      <ns0:c r="L29" s="1" t="n">
        <ns0:v>0.805</ns0:v>
      </ns0:c>
      <ns0:c r="M29" s="1" t="n">
        <ns0:v>0.657</ns0:v>
      </ns0:c>
      <ns0:c r="N29" s="1" t="n">
        <ns0:v>0.922</ns0:v>
      </ns0:c>
      <ns0:c r="O29" s="1" t="n">
        <ns0:v>0.773</ns0:v>
      </ns0:c>
      <ns0:c r="P29" s="1" t="n">
        <ns0:v>0.899</ns0:v>
      </ns0:c>
      <ns0:c r="Q29" s="1" t="n">
        <ns0:v>0.714</ns0:v>
      </ns0:c>
      <ns0:c r="R29" s="1">
        <ns0:f>MIN(J29:Q29)</ns0:f>
        <ns0:v/>
      </ns0:c>
      <ns0:c r="S29" s="1">
        <ns0:f>MAX(J29:Q29)</ns0:f>
        <ns0:v/>
      </ns0:c>
      <ns0:c r="T29" s="1">
        <ns0:f>AVERAGE(J29:Q29)</ns0:f>
        <ns0:v/>
      </ns0:c>
    </ns0:row>
    <ns0:row r="30" ht="57" customHeight="1">
      <ns0:c r="C30" s="1" t="n">
        <ns0:v>2</ns0:v>
      </ns0:c>
      <ns0:c r="F30" s="1" t="inlineStr">
        <ns0:is>
          <ns0:t xml:space="preserve"> VP TIU C11-20 ED  
Forming NO1-4H in E2 
Mold GN</ns0:t>
        </ns0:is>
      </ns0:c>
      <ns0:c r="I30" s="1" t="inlineStr">
        <ns0:is>
          <ns0:t>Pass</ns0:t>
        </ns0:is>
      </ns0:c>
      <ns0:c r="J30" s="1" t="n">
        <ns0:v>0.724</ns0:v>
      </ns0:c>
      <ns0:c r="K30" s="1" t="n">
        <ns0:v>0.862</ns0:v>
      </ns0:c>
      <ns0:c r="L30" s="1" t="n">
        <ns0:v>0.628</ns0:v>
      </ns0:c>
      <ns0:c r="M30" s="1" t="n">
        <ns0:v>0.876</ns0:v>
      </ns0:c>
      <ns0:c r="N30" s="1" t="n">
        <ns0:v>0.573</ns0:v>
      </ns0:c>
      <ns0:c r="O30" s="1" t="n">
        <ns0:v>0.754</ns0:v>
      </ns0:c>
      <ns0:c r="P30" s="1" t="n">
        <ns0:v>0.963</ns0:v>
      </ns0:c>
      <ns0:c r="Q30" s="1" t="n">
        <ns0:v>1.055</ns0:v>
      </ns0:c>
      <ns0:c r="R30" s="1">
        <ns0:f>MIN(J30:Q30)</ns0:f>
        <ns0:v/>
      </ns0:c>
      <ns0:c r="S30" s="1">
        <ns0:f>MAX(J30:Q30)</ns0:f>
        <ns0:v/>
      </ns0:c>
      <ns0:c r="T30" s="1">
        <ns0:f>AVERAGE(J30:Q30)</ns0:f>
        <ns0:v/>
      </ns0:c>
    </ns0:row>
    <ns0:row r="31" ht="57" customHeight="1">
      <ns0:c r="C31" s="1" t="n">
        <ns0:v>3</ns0:v>
      </ns0:c>
      <ns0:c r="F31" s="1" t="inlineStr">
        <ns0:is>
          <ns0:t>VP TIU C11-20 CD  forming D3 
 Mold Korea</ns0:t>
        </ns0:is>
      </ns0:c>
      <ns0:c r="I31" s="1" t="inlineStr">
        <ns0:is>
          <ns0:t>Pass</ns0:t>
        </ns0:is>
      </ns0:c>
      <ns0:c r="J31" s="1" t="n">
        <ns0:v>0.827</ns0:v>
      </ns0:c>
      <ns0:c r="K31" s="1" t="n">
        <ns0:v>0.881</ns0:v>
      </ns0:c>
      <ns0:c r="L31" s="1" t="n">
        <ns0:v>0.93</ns0:v>
      </ns0:c>
      <ns0:c r="M31" s="1" t="n">
        <ns0:v>0.917</ns0:v>
      </ns0:c>
      <ns0:c r="N31" s="1" t="n">
        <ns0:v>0.875</ns0:v>
      </ns0:c>
      <ns0:c r="O31" s="1" t="n">
        <ns0:v>0.837</ns0:v>
      </ns0:c>
      <ns0:c r="P31" s="1" t="n">
        <ns0:v>0.928</ns0:v>
      </ns0:c>
      <ns0:c r="Q31" s="1" t="n">
        <ns0:v>0.931</ns0:v>
      </ns0:c>
      <ns0:c r="R31" s="1">
        <ns0:f>MIN(J31:Q31)</ns0:f>
        <ns0:v/>
      </ns0:c>
      <ns0:c r="S31" s="1">
        <ns0:f>MAX(J31:Q31)</ns0:f>
        <ns0:v/>
      </ns0:c>
      <ns0:c r="T31" s="1">
        <ns0:f>AVERAGE(J31:Q31)</ns0:f>
        <ns0:v/>
      </ns0:c>
    </ns0:row>
    <ns0:row r="32" ht="57" customHeight="1">
      <ns0:c r="C32" s="1" t="n">
        <ns0:v>4</ns0:v>
      </ns0:c>
      <ns0:c r="F32" s="1" t="inlineStr">
        <ns0:is>
          <ns0:t>Normal</ns0:t>
        </ns0:is>
      </ns0:c>
      <ns0:c r="I32" s="1" t="inlineStr">
        <ns0:is>
          <ns0:t>Pass</ns0:t>
        </ns0:is>
      </ns0:c>
      <ns0:c r="J32" s="1" t="n">
        <ns0:v>1.022</ns0:v>
      </ns0:c>
      <ns0:c r="K32" s="1" t="n">
        <ns0:v>0.977</ns0:v>
      </ns0:c>
      <ns0:c r="L32" s="1" t="n">
        <ns0:v>0.902</ns0:v>
      </ns0:c>
      <ns0:c r="M32" s="1" t="n">
        <ns0:v>1.011</ns0:v>
      </ns0:c>
      <ns0:c r="N32" s="1" t="n">
        <ns0:v>0.907</ns0:v>
      </ns0:c>
      <ns0:c r="O32" s="1" t="n">
        <ns0:v>0.959</ns0:v>
      </ns0:c>
      <ns0:c r="P32" s="1" t="n">
        <ns0:v>0.824</ns0:v>
      </ns0:c>
      <ns0:c r="Q32" s="1" t="n">
        <ns0:v>0.757</ns0:v>
      </ns0:c>
      <ns0:c r="R32" s="1">
        <ns0:f>MIN(J32:Q32)</ns0:f>
        <ns0:v/>
      </ns0:c>
      <ns0:c r="S32" s="1">
        <ns0:f>MAX(J32:Q32)</ns0:f>
        <ns0:v/>
      </ns0:c>
      <ns0:c r="T32" s="1">
        <ns0:f>AVERAGE(J32:Q32)</ns0:f>
        <ns0:v/>
      </ns0:c>
    </ns0:row>
    <ns0:row r="33" ht="57" customHeight="1">
      <ns0:c r="C33" s="1" t="n">
        <ns0:v>5</ns0:v>
      </ns0:c>
      <ns0:c r="E33" s="1" t="inlineStr">
        <ns0:is>
          <ns0:t>VP+Coil</ns0:t>
        </ns0:is>
      </ns0:c>
      <ns0:c r="F33" s="1" t="inlineStr">
        <ns0:is>
          <ns0:t xml:space="preserve"> VP TIU C11-20 ED  
Forming NO1-4H in E2 
Mold Korea</ns0:t>
        </ns0:is>
      </ns0:c>
      <ns0:c r="I33" s="1" t="inlineStr">
        <ns0:is>
          <ns0:t>Pass</ns0:t>
        </ns0:is>
      </ns0:c>
      <ns0:c r="J33" s="1" t="n">
        <ns0:v>0.8110000000000001</ns0:v>
      </ns0:c>
      <ns0:c r="K33" s="1" t="n">
        <ns0:v>0.762</ns0:v>
      </ns0:c>
      <ns0:c r="L33" s="1" t="n">
        <ns0:v>0.845</ns0:v>
      </ns0:c>
      <ns0:c r="M33" s="1" t="n">
        <ns0:v>0.826</ns0:v>
      </ns0:c>
      <ns0:c r="N33" s="1" t="n">
        <ns0:v>0.758</ns0:v>
      </ns0:c>
      <ns0:c r="O33" s="1" t="n">
        <ns0:v>0.867</ns0:v>
      </ns0:c>
      <ns0:c r="P33" s="1" t="n">
        <ns0:v>0.891</ns0:v>
      </ns0:c>
      <ns0:c r="Q33" s="1" t="n">
        <ns0:v>0.834</ns0:v>
      </ns0:c>
      <ns0:c r="R33" s="1">
        <ns0:f>MIN(J33:Q33)</ns0:f>
        <ns0:v/>
      </ns0:c>
      <ns0:c r="S33" s="1">
        <ns0:f>MAX(J33:Q33)</ns0:f>
        <ns0:v/>
      </ns0:c>
      <ns0:c r="T33" s="1">
        <ns0:f>AVERAGE(J33:Q33)</ns0:f>
        <ns0:v/>
      </ns0:c>
    </ns0:row>
    <ns0:row r="34" ht="57" customHeight="1">
      <ns0:c r="C34" s="1" t="n">
        <ns0:v>6</ns0:v>
      </ns0:c>
      <ns0:c r="F34" s="1" t="inlineStr">
        <ns0:is>
          <ns0:t xml:space="preserve"> VP TIU C11-20 ED  
Forming NO1-4H in E2 
Mold GN</ns0:t>
        </ns0:is>
      </ns0:c>
      <ns0:c r="I34" s="1" t="inlineStr">
        <ns0:is>
          <ns0:t>Pass</ns0:t>
        </ns0:is>
      </ns0:c>
      <ns0:c r="J34" s="1" t="n">
        <ns0:v>0.9419999999999999</ns0:v>
      </ns0:c>
      <ns0:c r="K34" s="1" t="n">
        <ns0:v>0.906</ns0:v>
      </ns0:c>
      <ns0:c r="L34" s="1" t="n">
        <ns0:v>0.783</ns0:v>
      </ns0:c>
      <ns0:c r="M34" s="1" t="n">
        <ns0:v>0.886</ns0:v>
      </ns0:c>
      <ns0:c r="N34" s="1" t="n">
        <ns0:v>0.599</ns0:v>
      </ns0:c>
      <ns0:c r="O34" s="1" t="n">
        <ns0:v>0.835</ns0:v>
      </ns0:c>
      <ns0:c r="P34" s="1" t="n">
        <ns0:v>0.72</ns0:v>
      </ns0:c>
      <ns0:c r="Q34" s="1" t="n">
        <ns0:v>0.985</ns0:v>
      </ns0:c>
      <ns0:c r="R34" s="1">
        <ns0:f>MIN(J34:Q34)</ns0:f>
        <ns0:v/>
      </ns0:c>
      <ns0:c r="S34" s="1">
        <ns0:f>MAX(J34:Q34)</ns0:f>
        <ns0:v/>
      </ns0:c>
      <ns0:c r="T34" s="1">
        <ns0:f>AVERAGE(J34:Q34)</ns0:f>
        <ns0:v/>
      </ns0:c>
    </ns0:row>
    <ns0:row r="35" ht="57" customHeight="1">
      <ns0:c r="C35" s="1" t="n">
        <ns0:v>7</ns0:v>
      </ns0:c>
      <ns0:c r="F35" s="1" t="inlineStr">
        <ns0:is>
          <ns0:t>VP TIU C11-20 CD  forming D3 
 Mold Korea</ns0:t>
        </ns0:is>
      </ns0:c>
      <ns0:c r="I35" s="1" t="inlineStr">
        <ns0:is>
          <ns0:t>Pass</ns0:t>
        </ns0:is>
      </ns0:c>
      <ns0:c r="J35" s="1" t="n">
        <ns0:v>0.918</ns0:v>
      </ns0:c>
      <ns0:c r="K35" s="1" t="n">
        <ns0:v>0.705</ns0:v>
      </ns0:c>
      <ns0:c r="L35" s="1" t="n">
        <ns0:v>0.78</ns0:v>
      </ns0:c>
      <ns0:c r="M35" s="1" t="n">
        <ns0:v>0.583</ns0:v>
      </ns0:c>
      <ns0:c r="N35" s="1" t="n">
        <ns0:v>0.587</ns0:v>
      </ns0:c>
      <ns0:c r="O35" s="1" t="n">
        <ns0:v>0.873</ns0:v>
      </ns0:c>
      <ns0:c r="P35" s="1" t="n">
        <ns0:v>0.652</ns0:v>
      </ns0:c>
      <ns0:c r="Q35" s="1" t="n">
        <ns0:v>0.742</ns0:v>
      </ns0:c>
      <ns0:c r="R35" s="1">
        <ns0:f>MIN(J35:Q35)</ns0:f>
        <ns0:v/>
      </ns0:c>
      <ns0:c r="S35" s="1">
        <ns0:f>MAX(J35:Q35)</ns0:f>
        <ns0:v/>
      </ns0:c>
      <ns0:c r="T35" s="1">
        <ns0:f>AVERAGE(J35:Q35)</ns0:f>
        <ns0:v/>
      </ns0:c>
    </ns0:row>
    <ns0:row r="36" ht="57" customHeight="1">
      <ns0:c r="C36" s="1" t="n">
        <ns0:v>8</ns0:v>
      </ns0:c>
      <ns0:c r="F36" s="1" t="inlineStr">
        <ns0:is>
          <ns0:t>Normal</ns0:t>
        </ns0:is>
      </ns0:c>
      <ns0:c r="I36" s="1" t="inlineStr">
        <ns0:is>
          <ns0:t>Pass</ns0:t>
        </ns0:is>
      </ns0:c>
      <ns0:c r="J36" s="1" t="n">
        <ns0:v>0.722</ns0:v>
      </ns0:c>
      <ns0:c r="K36" s="1" t="n">
        <ns0:v>0.648</ns0:v>
      </ns0:c>
      <ns0:c r="L36" s="1" t="n">
        <ns0:v>0.582</ns0:v>
      </ns0:c>
      <ns0:c r="M36" s="1" t="n">
        <ns0:v>0.509</ns0:v>
      </ns0:c>
      <ns0:c r="N36" s="1" t="n">
        <ns0:v>0.501</ns0:v>
      </ns0:c>
      <ns0:c r="O36" s="1" t="n">
        <ns0:v>0.748</ns0:v>
      </ns0:c>
      <ns0:c r="P36" s="1" t="n">
        <ns0:v>0.514</ns0:v>
      </ns0:c>
      <ns0:c r="Q36" s="1" t="n">
        <ns0:v>0.715</ns0:v>
      </ns0:c>
      <ns0:c r="R36" s="1">
        <ns0:f>MIN(J36:Q36)</ns0:f>
        <ns0:v/>
      </ns0:c>
      <ns0:c r="S36" s="1">
        <ns0:f>MAX(J36:Q36)</ns0:f>
        <ns0:v/>
      </ns0:c>
      <ns0:c r="T36" s="1">
        <ns0:f>AVERAGE(J36:Q36)</ns0:f>
        <ns0:v/>
      </ns0:c>
    </ns0:row>
    <ns0:row r="37" ht="39.75" customHeight="1">
      <ns0:c r="C37" s="1" t="inlineStr">
        <ns0:is>
          <ns0:t>3. Result check Drop test final sample</ns0:t>
        </ns0:is>
      </ns0:c>
    </ns0:row>
    <ns0:row r="38" ht="39.75" customHeight="1">
      <ns0:c r="C38" s="1" t="inlineStr">
        <ns0:is>
          <ns0:t>No</ns0:t>
        </ns0:is>
      </ns0:c>
      <ns0:c r="D38" s="1" t="inlineStr">
        <ns0:is>
          <ns0:t>Date</ns0:t>
        </ns0:is>
      </ns0:c>
      <ns0:c r="E38" s="1" t="inlineStr">
        <ns0:is>
          <ns0:t>Type</ns0:t>
        </ns0:is>
      </ns0:c>
      <ns0:c r="H38" s="1" t="inlineStr">
        <ns0:is>
          <ns0:t>Input</ns0:t>
        </ns0:is>
      </ns0:c>
      <ns0:c r="I38" s="1" t="inlineStr">
        <ns0:is>
          <ns0:t>OK</ns0:t>
        </ns0:is>
      </ns0:c>
      <ns0:c r="J38" s="1" t="inlineStr">
        <ns0:is>
          <ns0:t>NG</ns0:t>
        </ns0:is>
      </ns0:c>
      <ns0:c r="K38" s="1" t="inlineStr">
        <ns0:is>
          <ns0:t>NG rate</ns0:t>
        </ns0:is>
      </ns0:c>
      <ns0:c r="L38" s="1" t="inlineStr">
        <ns0:is>
          <ns0:t>Result</ns0:t>
        </ns0:is>
      </ns0:c>
    </ns0:row>
    <ns0:row r="39" ht="39.75" customHeight="1"/>
    <ns0:row r="40" ht="39.75" customHeight="1">
      <ns0:c r="C40" s="1" t="n">
        <ns0:v>1</ns0:v>
      </ns0:c>
      <ns0:c r="D40" s="2" t="n">
        <ns0:v>46003</ns0:v>
      </ns0:c>
      <ns0:c r="E40" s="1" t="inlineStr">
        <ns0:is>
          <ns0:t>Auto</ns0:t>
        </ns0:is>
      </ns0:c>
      <ns0:c r="F40" s="1" t="inlineStr">
        <ns0:is>
          <ns0:t xml:space="preserve"> VP TIU C11-20 ED  
Forming NO1-4H in E2 
Mold Korea</ns0:t>
        </ns0:is>
      </ns0:c>
      <ns0:c r="H40" s="1" t="n">
        <ns0:v>5</ns0:v>
      </ns0:c>
      <ns0:c r="I40" s="1" t="n">
        <ns0:v>5</ns0:v>
      </ns0:c>
      <ns0:c r="J40" s="1" t="n">
        <ns0:v>0</ns0:v>
      </ns0:c>
      <ns0:c r="K40" s="1">
        <ns0:f>J40/H40</ns0:f>
        <ns0:v/>
      </ns0:c>
      <ns0:c r="L40" s="1" t="inlineStr">
        <ns0:is>
          <ns0:t>Pass</ns0:t>
        </ns0:is>
      </ns0:c>
    </ns0:row>
    <ns0:row r="41" ht="39.75" customHeight="1">
      <ns0:c r="C41" s="1" t="n">
        <ns0:v>2</ns0:v>
      </ns0:c>
      <ns0:c r="F41" s="1" t="inlineStr">
        <ns0:is>
          <ns0:t xml:space="preserve"> VP TIU C11-20 ED  
Forming NO1-4H in E2 
Mold GN</ns0:t>
        </ns0:is>
      </ns0:c>
      <ns0:c r="H41" s="1" t="n">
        <ns0:v>5</ns0:v>
      </ns0:c>
      <ns0:c r="I41" s="1" t="n">
        <ns0:v>5</ns0:v>
      </ns0:c>
      <ns0:c r="J41" s="1" t="n">
        <ns0:v>0</ns0:v>
      </ns0:c>
      <ns0:c r="K41" s="1">
        <ns0:f>J41/H41</ns0:f>
        <ns0:v/>
      </ns0:c>
      <ns0:c r="L41" s="1" t="inlineStr">
        <ns0:is>
          <ns0:t>Pass</ns0:t>
        </ns0:is>
      </ns0:c>
    </ns0:row>
    <ns0:row r="42" ht="39.75" customHeight="1">
      <ns0:c r="C42" s="1" t="n">
        <ns0:v>3</ns0:v>
      </ns0:c>
      <ns0:c r="F42" s="1" t="inlineStr">
        <ns0:is>
          <ns0:t>VP TIU C11-20 CD  forming D3 
 Mold Korea</ns0:t>
        </ns0:is>
      </ns0:c>
      <ns0:c r="H42" s="1" t="n">
        <ns0:v>5</ns0:v>
      </ns0:c>
      <ns0:c r="I42" s="1" t="n">
        <ns0:v>5</ns0:v>
      </ns0:c>
      <ns0:c r="J42" s="1" t="n">
        <ns0:v>0</ns0:v>
      </ns0:c>
      <ns0:c r="K42" s="1">
        <ns0:f>J42/H42</ns0:f>
        <ns0:v/>
      </ns0:c>
      <ns0:c r="L42" s="1" t="inlineStr">
        <ns0:is>
          <ns0:t>Pass</ns0:t>
        </ns0:is>
      </ns0:c>
    </ns0:row>
    <ns0:row r="43" ht="39.75" customHeight="1">
      <ns0:c r="C43" s="1" t="n">
        <ns0:v>4</ns0:v>
      </ns0:c>
      <ns0:c r="F43" s="1" t="inlineStr">
        <ns0:is>
          <ns0:t>Normal</ns0:t>
        </ns0:is>
      </ns0:c>
      <ns0:c r="H43" s="1" t="n">
        <ns0:v>5</ns0:v>
      </ns0:c>
      <ns0:c r="I43" s="1" t="n">
        <ns0:v>5</ns0:v>
      </ns0:c>
      <ns0:c r="J43" s="1" t="n">
        <ns0:v>0</ns0:v>
      </ns0:c>
      <ns0:c r="K43" s="1">
        <ns0:f>J43/H43</ns0:f>
        <ns0:v/>
      </ns0:c>
      <ns0:c r="L43" s="1" t="inlineStr">
        <ns0:is>
          <ns0:t>Pass</ns0:t>
        </ns0:is>
      </ns0:c>
    </ns0:row>
    <ns0:row r="44" ht="39.75" customHeight="1">
      <ns0:c r="C44" s="1" t="n">
        <ns0:v>5</ns0:v>
      </ns0:c>
      <ns0:c r="E44" s="1" t="inlineStr">
        <ns0:is>
          <ns0:t>Manual</ns0:t>
        </ns0:is>
      </ns0:c>
      <ns0:c r="F44" s="1" t="inlineStr">
        <ns0:is>
          <ns0:t xml:space="preserve"> VP TIU C11-20 ED  
Forming NO1-4H in E2 
Mold Korea</ns0:t>
        </ns0:is>
      </ns0:c>
      <ns0:c r="H44" s="1" t="n">
        <ns0:v>5</ns0:v>
      </ns0:c>
      <ns0:c r="I44" s="1" t="n">
        <ns0:v>5</ns0:v>
      </ns0:c>
      <ns0:c r="J44" s="1" t="n">
        <ns0:v>0</ns0:v>
      </ns0:c>
      <ns0:c r="K44" s="1">
        <ns0:f>J44/H44</ns0:f>
        <ns0:v/>
      </ns0:c>
      <ns0:c r="L44" s="1" t="inlineStr">
        <ns0:is>
          <ns0:t>Pass</ns0:t>
        </ns0:is>
      </ns0:c>
    </ns0:row>
    <ns0:row r="45" ht="39.75" customHeight="1">
      <ns0:c r="C45" s="1" t="n">
        <ns0:v>6</ns0:v>
      </ns0:c>
      <ns0:c r="F45" s="1" t="inlineStr">
        <ns0:is>
          <ns0:t xml:space="preserve"> VP TIU C11-20 ED  
Forming NO1-4H in E2 
Mold GN</ns0:t>
        </ns0:is>
      </ns0:c>
      <ns0:c r="H45" s="1" t="n">
        <ns0:v>5</ns0:v>
      </ns0:c>
      <ns0:c r="I45" s="1" t="n">
        <ns0:v>5</ns0:v>
      </ns0:c>
      <ns0:c r="J45" s="1" t="n">
        <ns0:v>0</ns0:v>
      </ns0:c>
      <ns0:c r="K45" s="1">
        <ns0:f>J45/H45</ns0:f>
        <ns0:v/>
      </ns0:c>
      <ns0:c r="L45" s="1" t="inlineStr">
        <ns0:is>
          <ns0:t>Pass</ns0:t>
        </ns0:is>
      </ns0:c>
    </ns0:row>
    <ns0:row r="46" ht="39.75" customHeight="1">
      <ns0:c r="C46" s="1" t="n">
        <ns0:v>7</ns0:v>
      </ns0:c>
      <ns0:c r="F46" s="1" t="inlineStr">
        <ns0:is>
          <ns0:t>VP TIU C11-20 CD  forming D3 
 Mold Korea</ns0:t>
        </ns0:is>
      </ns0:c>
      <ns0:c r="H46" s="1" t="n">
        <ns0:v>5</ns0:v>
      </ns0:c>
      <ns0:c r="I46" s="1" t="n">
        <ns0:v>5</ns0:v>
      </ns0:c>
      <ns0:c r="J46" s="1" t="n">
        <ns0:v>0</ns0:v>
      </ns0:c>
      <ns0:c r="K46" s="1">
        <ns0:f>J46/H46</ns0:f>
        <ns0:v/>
      </ns0:c>
      <ns0:c r="L46" s="1" t="inlineStr">
        <ns0:is>
          <ns0:t>Pass</ns0:t>
        </ns0:is>
      </ns0:c>
    </ns0:row>
    <ns0:row r="47" ht="39.75" customHeight="1">
      <ns0:c r="C47" s="1" t="n">
        <ns0:v>8</ns0:v>
      </ns0:c>
      <ns0:c r="F47" s="1" t="inlineStr">
        <ns0:is>
          <ns0:t>Normal</ns0:t>
        </ns0:is>
      </ns0:c>
      <ns0:c r="H47" s="1" t="n">
        <ns0:v>5</ns0:v>
      </ns0:c>
      <ns0:c r="I47" s="1" t="n">
        <ns0:v>5</ns0:v>
      </ns0:c>
      <ns0:c r="J47" s="1" t="n">
        <ns0:v>0</ns0:v>
      </ns0:c>
      <ns0:c r="K47" s="1">
        <ns0:f>J47/H47</ns0:f>
        <ns0:v/>
      </ns0:c>
      <ns0:c r="L47" s="1" t="inlineStr">
        <ns0:is>
          <ns0:t>Pass</ns0:t>
        </ns0:is>
      </ns0:c>
    </ns0:row>
    <ns0:row r="48" ht="39.75" customHeight="1"/>
    <ns0:row r="49" ht="44.25" customHeight="1">
      <ns0:c r="B49" s="1" t="inlineStr">
        <ns0:is>
          <ns0:t>IV. Decision</ns0:t>
        </ns0:is>
      </ns0:c>
    </ns0:row>
    <ns0:row r="50" ht="44.25" customHeight="1">
      <ns0:c r="B50" s="1" t="inlineStr">
        <ns0:is>
          <ns0:t>- Follow result test we can use 3 type test:  VP TIU C11-20 ED  
Forming NO1-4H in E2 
Mold Korea,  VP TIU C11-20 ED  
Forming NO1-4H in E2 
Mold GN, VP TIU C11-20 CD  forming D3 
 Mold Korea.</ns0:t>
        </ns0:is>
      </ns0:c>
    </ns0:row>
    <ns0:row r="51" ht="41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2026-05-12T08:15:22Z</dcterms:created>
  <dcterms:modified xsi:type="dcterms:W3CDTF">2026-05-12T08:15:48Z</dcterms:modified>
</cp:coreProperties>
</file>