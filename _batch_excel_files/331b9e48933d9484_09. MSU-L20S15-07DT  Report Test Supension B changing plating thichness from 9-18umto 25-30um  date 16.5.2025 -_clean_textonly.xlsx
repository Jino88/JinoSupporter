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6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B1:U48"/>
  <ns0:sheetViews>
    <ns0:sheetView workbookViewId="0">
      <ns0:selection activeCell="A1" sqref="A1"/>
    </ns0:sheetView>
  </ns0:sheetViews>
  <ns0:sheetFormatPr baseColWidth="8" defaultRowHeight="15"/>
  <ns0:cols>
    <ns0:col width="2" customWidth="1" min="1" max="1"/>
    <ns0:col width="14.75" customWidth="1" min="2" max="2"/>
    <ns0:col width="19.75" customWidth="1" min="3" max="3"/>
    <ns0:col width="19.75" customWidth="1" min="4" max="4"/>
    <ns0:col width="41.13" customWidth="1" min="5" max="5"/>
    <ns0:col width="44.75" customWidth="1" min="6" max="6"/>
    <ns0:col width="44.75" customWidth="1" min="7" max="7"/>
    <ns0:col width="19.75" customWidth="1" min="8" max="8"/>
    <ns0:col width="27.25" customWidth="1" min="9" max="9"/>
    <ns0:col width="27.25" customWidth="1" min="10" max="10"/>
    <ns0:col width="19.75" customWidth="1" min="11" max="11"/>
    <ns0:col width="19.75" customWidth="1" min="12" max="12"/>
    <ns0:col width="19.75" customWidth="1" min="13" max="13"/>
    <ns0:col width="13.88" customWidth="1" min="14" max="14"/>
    <ns0:col width="16" customWidth="1" min="15" max="15"/>
    <ns0:col width="14" customWidth="1" min="16" max="16"/>
    <ns0:col width="14" customWidth="1" min="17" max="17"/>
    <ns0:col width="14" customWidth="1" min="18" max="18"/>
    <ns0:col width="14" customWidth="1" min="19" max="19"/>
    <ns0:col width="13" customWidth="1" min="20" max="20"/>
    <ns0:col width="13.38" customWidth="1" min="21" max="21"/>
    <ns0:col width="8.75" customWidth="1" min="22" max="22"/>
    <ns0:col width="8.75" customWidth="1" min="23" max="23"/>
    <ns0:col width="8.75" customWidth="1" min="24" max="24"/>
    <ns0:col width="8.75" customWidth="1" min="25" max="25"/>
    <ns0:col width="8.75" customWidth="1" min="26" max="26"/>
    <ns0:col width="8.75" customWidth="1" min="27" max="27"/>
    <ns0:col width="8.75" customWidth="1" min="28" max="28"/>
    <ns0:col width="8.75" customWidth="1" min="29" max="29"/>
    <ns0:col width="8.75" customWidth="1" min="30" max="30"/>
    <ns0:col width="8.75" customWidth="1" min="31" max="31"/>
    <ns0:col width="8.75" customWidth="1" min="32" max="32"/>
    <ns0:col width="8.75" customWidth="1" min="33" max="33"/>
    <ns0:col width="21.38" customWidth="1" min="34" max="34"/>
    <ns0:col width="21.38" customWidth="1" min="35" max="35"/>
    <ns0:col width="8.75" customWidth="1" min="36" max="36"/>
    <ns0:col width="8.75" customWidth="1" min="37" max="37"/>
    <ns0:col width="8.75" customWidth="1" min="38" max="38"/>
    <ns0:col width="8.75" customWidth="1" min="39" max="39"/>
    <ns0:col width="8.75" customWidth="1" min="40" max="40"/>
    <ns0:col width="8.75" customWidth="1" min="41" max="41"/>
    <ns0:col width="8.75" customWidth="1" min="42" max="42"/>
    <ns0:col width="8.75" customWidth="1" min="43" max="43"/>
    <ns0:col width="8.75" customWidth="1" min="44" max="44"/>
    <ns0:col width="8.75" customWidth="1" min="45" max="45"/>
    <ns0:col width="8.75" customWidth="1" min="46" max="46"/>
    <ns0:col width="8.75" customWidth="1" min="47" max="47"/>
    <ns0:col width="8.75" customWidth="1" min="48" max="48"/>
    <ns0:col width="8.75" customWidth="1" min="49" max="49"/>
    <ns0:col width="8.75" customWidth="1" min="50" max="50"/>
    <ns0:col width="8.75" customWidth="1" min="51" max="51"/>
    <ns0:col width="8.75" customWidth="1" min="52" max="52"/>
    <ns0:col width="8.75" customWidth="1" min="53" max="53"/>
    <ns0:col width="8.75" customWidth="1" min="54" max="54"/>
    <ns0:col width="8.75" customWidth="1" min="55" max="55"/>
  </ns0:cols>
  <ns0:sheetData>
    <ns0:row r="1" ht="26.25" customHeight="1">
      <ns0:c r="C1" t="n">
        <ns0:v>1</ns0:v>
      </ns0:c>
    </ns0:row>
    <ns0:row r="2" ht="24.75" customHeight="1">
      <ns0:c r="B2" t="inlineStr">
        <ns0:is>
          <ns0:t>TITLE</ns0:t>
        </ns0:is>
      </ns0:c>
      <ns0:c r="D2" t="inlineStr">
        <ns0:is>
          <ns0:t>REPORT SUSPENSION B CHANGING PLATING THICKNESS FROM 9-18µm TO 25-30µm  MSU-L20S15-07</ns0:t>
        </ns0:is>
      </ns0:c>
      <ns0:c r="T2" t="inlineStr">
        <ns0:is>
          <ns0:t>Dept:</ns0:t>
        </ns0:is>
      </ns0:c>
      <ns0:c r="U2" t="inlineStr">
        <ns0:is>
          <ns0:t>ME</ns0:t>
        </ns0:is>
      </ns0:c>
    </ns0:row>
    <ns0:row r="3" ht="24.75" customHeight="1">
      <ns0:c r="T3" t="inlineStr">
        <ns0:is>
          <ns0:t>Date:</ns0:t>
        </ns0:is>
      </ns0:c>
      <ns0:c r="U3" s="1" t="n">
        <ns0:v>45793</ns0:v>
      </ns0:c>
    </ns0:row>
    <ns0:row r="4" ht="24.75" customHeight="1">
      <ns0:c r="T4" t="inlineStr">
        <ns0:is>
          <ns0:t>Marker:</ns0:t>
        </ns0:is>
      </ns0:c>
      <ns0:c r="U4" t="inlineStr">
        <ns0:is>
          <ns0:t>Le</ns0:t>
        </ns0:is>
      </ns0:c>
    </ns0:row>
    <ns0:row r="5" ht="24.75" customHeight="1">
      <ns0:c r="B5" t="inlineStr">
        <ns0:is>
          <ns0:t> </ns0:t>
        </ns0:is>
      </ns0:c>
    </ns0:row>
    <ns0:row r="6" ht="24.75" customHeight="1">
      <ns0:c r="B6" t="inlineStr">
        <ns0:is>
          <ns0:t xml:space="preserve"> - Check  NG spot welding OK or Not ? </ns0:t>
        </ns0:is>
      </ns0:c>
    </ns0:row>
    <ns0:row r="7" ht="24.75" customHeight="1">
      <ns0:c r="B7" t="inlineStr">
        <ns0:is>
          <ns0:t>II. Content.</ns0:t>
        </ns0:is>
      </ns0:c>
    </ns0:row>
    <ns0:row r="8" ht="24.75" customHeight="1">
      <ns0:c r="B8" t="inlineStr">
        <ns0:is>
          <ns0:t xml:space="preserve"> - Test check process spot welding </ns0:t>
        </ns0:is>
      </ns0:c>
    </ns0:row>
    <ns0:row r="9" ht="24.75" customHeight="1">
      <ns0:c r="B9" t="inlineStr">
        <ns0:is>
          <ns0:t xml:space="preserve"> - Tension test with Normal Lot</ns0:t>
        </ns0:is>
      </ns0:c>
    </ns0:row>
    <ns0:row r="10" ht="24.75" customHeight="1"/>
    <ns0:row r="11" ht="24.75" customHeight="1"/>
    <ns0:row r="12" ht="24.75" customHeight="1"/>
    <ns0:row r="13" ht="24.75" customHeight="1"/>
    <ns0:row r="14" ht="24.75" customHeight="1"/>
    <ns0:row r="15" ht="24.75" customHeight="1"/>
    <ns0:row r="16" ht="24.75" customHeight="1"/>
    <ns0:row r="17" ht="24.75" customHeight="1"/>
    <ns0:row r="18" ht="24.75" customHeight="1"/>
    <ns0:row r="19" ht="24.75" customHeight="1"/>
    <ns0:row r="20" ht="24.75" customHeight="1"/>
    <ns0:row r="21" ht="24.75" customHeight="1"/>
    <ns0:row r="22" ht="24.75" customHeight="1">
      <ns0:c r="B22" t="inlineStr">
        <ns0:is>
          <ns0:t>III. Result.</ns0:t>
        </ns0:is>
      </ns0:c>
    </ns0:row>
    <ns0:row r="23" ht="24.75" customHeight="1"/>
    <ns0:row r="24" ht="24.75" customHeight="1">
      <ns0:c r="C24" t="inlineStr">
        <ns0:is>
          <ns0:t xml:space="preserve">1. RESULT CHECK PROCESS VISION SPOT WELDING </ns0:t>
        </ns0:is>
      </ns0:c>
    </ns0:row>
    <ns0:row r="25" ht="42.5" customHeight="1">
      <ns0:c r="C25" t="inlineStr">
        <ns0:is>
          <ns0:t>No</ns0:t>
        </ns0:is>
      </ns0:c>
      <ns0:c r="D25" t="inlineStr">
        <ns0:is>
          <ns0:t xml:space="preserve">Date </ns0:t>
        </ns0:is>
      </ns0:c>
      <ns0:c r="E25" t="inlineStr">
        <ns0:is>
          <ns0:t>Content</ns0:t>
        </ns0:is>
      </ns0:c>
      <ns0:c r="G25" t="inlineStr">
        <ns0:is>
          <ns0:t xml:space="preserve">Input </ns0:t>
        </ns0:is>
      </ns0:c>
      <ns0:c r="H25" t="inlineStr">
        <ns0:is>
          <ns0:t xml:space="preserve">OK </ns0:t>
        </ns0:is>
      </ns0:c>
      <ns0:c r="I25" t="inlineStr">
        <ns0:is>
          <ns0:t xml:space="preserve">Vision Spot Welding </ns0:t>
        </ns0:is>
      </ns0:c>
      <ns0:c r="K25" t="inlineStr">
        <ns0:is>
          <ns0:t xml:space="preserve">Total NG </ns0:t>
        </ns0:is>
      </ns0:c>
      <ns0:c r="L25" t="inlineStr">
        <ns0:is>
          <ns0:t xml:space="preserve">NG Rate </ns0:t>
        </ns0:is>
      </ns0:c>
    </ns0:row>
    <ns0:row r="26" ht="42.5" customHeight="1">
      <ns0:c r="I26" t="inlineStr">
        <ns0:is>
          <ns0:t xml:space="preserve">Weak solder </ns0:t>
        </ns0:is>
      </ns0:c>
      <ns0:c r="J26" t="inlineStr">
        <ns0:is>
          <ns0:t xml:space="preserve">Offset </ns0:t>
        </ns0:is>
      </ns0:c>
    </ns0:row>
    <ns0:row r="27" ht="45.5" customHeight="1">
      <ns0:c r="C27" t="n">
        <ns0:v>1</ns0:v>
      </ns0:c>
      <ns0:c r="D27" s="1" t="n">
        <ns0:v>45793</ns0:v>
      </ns0:c>
      <ns0:c r="E27" t="inlineStr">
        <ns0:is>
          <ns0:t>Test Suspension B changing plating from 9-18µm to 25-30µm</ns0:t>
        </ns0:is>
      </ns0:c>
      <ns0:c r="G27" t="n">
        <ns0:v>330</ns0:v>
      </ns0:c>
      <ns0:c r="H27">
        <ns0:f>G27-K27</ns0:f>
        <ns0:v/>
      </ns0:c>
      <ns0:c r="I27" t="n">
        <ns0:v>61</ns0:v>
      </ns0:c>
      <ns0:c r="J27" t="n">
        <ns0:v>0</ns0:v>
      </ns0:c>
      <ns0:c r="K27">
        <ns0:f>J27+I27</ns0:f>
        <ns0:v/>
      </ns0:c>
      <ns0:c r="L27">
        <ns0:f>K27/G27</ns0:f>
        <ns0:v/>
      </ns0:c>
    </ns0:row>
    <ns0:row r="28" ht="45.5" customHeight="1"/>
    <ns0:row r="29" ht="50" customHeight="1">
      <ns0:c r="C29" t="n">
        <ns0:v>2</ns0:v>
      </ns0:c>
      <ns0:c r="E29" t="inlineStr">
        <ns0:is>
          <ns0:t xml:space="preserve">Normal ( Bonding more solder PAD B (Bond G05-0001) </ns0:t>
        </ns0:is>
      </ns0:c>
      <ns0:c r="G29" t="n">
        <ns0:v>500</ns0:v>
      </ns0:c>
      <ns0:c r="H29">
        <ns0:f>G29-K29</ns0:f>
        <ns0:v/>
      </ns0:c>
      <ns0:c r="I29" t="n">
        <ns0:v>0</ns0:v>
      </ns0:c>
      <ns0:c r="J29" t="n">
        <ns0:v>0</ns0:v>
      </ns0:c>
      <ns0:c r="K29">
        <ns0:f>J29+I29</ns0:f>
        <ns0:v/>
      </ns0:c>
      <ns0:c r="L29">
        <ns0:f>K29/G29</ns0:f>
        <ns0:v/>
      </ns0:c>
    </ns0:row>
    <ns0:row r="30" ht="50" customHeight="1"/>
    <ns0:row r="31" ht="24.75" customHeight="1"/>
    <ns0:row r="32" ht="24.5" customHeight="1">
      <ns0:c r="C32" t="inlineStr">
        <ns0:is>
          <ns0:t xml:space="preserve">2.RESULT CHECK TENSION SPOT WELDING ( Spec : 0.03kgf ) </ns0:t>
        </ns0:is>
      </ns0:c>
    </ns0:row>
    <ns0:row r="33" ht="24.75" customHeight="1">
      <ns0:c r="C33" t="inlineStr">
        <ns0:is>
          <ns0:t>Date</ns0:t>
        </ns0:is>
      </ns0:c>
      <ns0:c r="D33" t="inlineStr">
        <ns0:is>
          <ns0:t>Line</ns0:t>
        </ns0:is>
      </ns0:c>
      <ns0:c r="E33" t="inlineStr">
        <ns0:is>
          <ns0:t xml:space="preserve">Type </ns0:t>
        </ns0:is>
      </ns0:c>
      <ns0:c r="F33" t="inlineStr">
        <ns0:is>
          <ns0:t xml:space="preserve">Conten </ns0:t>
        </ns0:is>
      </ns0:c>
      <ns0:c r="H33" t="inlineStr">
        <ns0:is>
          <ns0:t>Sample #1</ns0:t>
        </ns0:is>
      </ns0:c>
      <ns0:c r="I33" t="inlineStr">
        <ns0:is>
          <ns0:t>Sample #2</ns0:t>
        </ns0:is>
      </ns0:c>
      <ns0:c r="J33" t="inlineStr">
        <ns0:is>
          <ns0:t>Sample #3</ns0:t>
        </ns0:is>
      </ns0:c>
      <ns0:c r="K33" t="inlineStr">
        <ns0:is>
          <ns0:t>Sample #4</ns0:t>
        </ns0:is>
      </ns0:c>
      <ns0:c r="L33" t="inlineStr">
        <ns0:is>
          <ns0:t>Min</ns0:t>
        </ns0:is>
      </ns0:c>
      <ns0:c r="M33" t="inlineStr">
        <ns0:is>
          <ns0:t>Max</ns0:t>
        </ns0:is>
      </ns0:c>
      <ns0:c r="N33" t="inlineStr">
        <ns0:is>
          <ns0:t>Average</ns0:t>
        </ns0:is>
      </ns0:c>
      <ns0:c r="O33" t="inlineStr">
        <ns0:is>
          <ns0:t xml:space="preserve">Note </ns0:t>
        </ns0:is>
      </ns0:c>
    </ns0:row>
    <ns0:row r="34" ht="24.75" customHeight="1"/>
    <ns0:row r="35" ht="24.75" customHeight="1"/>
    <ns0:row r="36" ht="24.75" customHeight="1">
      <ns0:c r="C36" s="1" t="n">
        <ns0:v>45793</ns0:v>
      </ns0:c>
      <ns0:c r="D36" t="inlineStr">
        <ns0:is>
          <ns0:t>C2-2A</ns0:t>
        </ns0:is>
      </ns0:c>
      <ns0:c r="E36" t="inlineStr">
        <ns0:is>
          <ns0:t>Test Suspension B changing plating from 9-18µm to 25-30µm</ns0:t>
        </ns0:is>
      </ns0:c>
      <ns0:c r="F36" t="inlineStr">
        <ns0:is>
          <ns0:t>Suspension B</ns0:t>
        </ns0:is>
      </ns0:c>
      <ns0:c r="H36" t="n">
        <ns0:v>0.076</ns0:v>
      </ns0:c>
      <ns0:c r="I36" t="n">
        <ns0:v>0.06900000000000001</ns0:v>
      </ns0:c>
      <ns0:c r="J36" t="n">
        <ns0:v>0.1</ns0:v>
      </ns0:c>
      <ns0:c r="K36" t="n">
        <ns0:v>0.092</ns0:v>
      </ns0:c>
      <ns0:c r="L36">
        <ns0:f>MIN(H36:K39)</ns0:f>
        <ns0:v/>
      </ns0:c>
      <ns0:c r="M36">
        <ns0:f>MAX(H36:K39)</ns0:f>
        <ns0:v/>
      </ns0:c>
      <ns0:c r="N36">
        <ns0:f>AVERAGE(H36:K39)</ns0:f>
        <ns0:v/>
      </ns0:c>
      <ns0:c r="O36" t="inlineStr">
        <ns0:is>
          <ns0:t>Pass</ns0:t>
        </ns0:is>
      </ns0:c>
    </ns0:row>
    <ns0:row r="37" ht="24.75" customHeight="1"/>
    <ns0:row r="38" ht="24.75" customHeight="1"/>
    <ns0:row r="39" ht="24.75" customHeight="1"/>
    <ns0:row r="40" ht="24.75" customHeight="1">
      <ns0:c r="E40" t="inlineStr">
        <ns0:is>
          <ns0:t>Normal</ns0:t>
        </ns0:is>
      </ns0:c>
      <ns0:c r="F40" t="inlineStr">
        <ns0:is>
          <ns0:t>Suspension B</ns0:t>
        </ns0:is>
      </ns0:c>
      <ns0:c r="H40" t="n">
        <ns0:v>0.131</ns0:v>
      </ns0:c>
      <ns0:c r="I40" t="n">
        <ns0:v>0.138</ns0:v>
      </ns0:c>
      <ns0:c r="J40" t="n">
        <ns0:v>0.182</ns0:v>
      </ns0:c>
      <ns0:c r="K40" t="n">
        <ns0:v>0.165</ns0:v>
      </ns0:c>
      <ns0:c r="L40">
        <ns0:f>MIN(H40:K43)</ns0:f>
        <ns0:v/>
      </ns0:c>
      <ns0:c r="M40">
        <ns0:f>MAX(H40:K43)</ns0:f>
        <ns0:v/>
      </ns0:c>
      <ns0:c r="N40">
        <ns0:f>AVERAGE(H40:K43)</ns0:f>
        <ns0:v/>
      </ns0:c>
      <ns0:c r="O40" t="inlineStr">
        <ns0:is>
          <ns0:t>Pass</ns0:t>
        </ns0:is>
      </ns0:c>
    </ns0:row>
    <ns0:row r="41" ht="24.75" customHeight="1"/>
    <ns0:row r="42" ht="24.75" customHeight="1"/>
    <ns0:row r="43" ht="24.75" customHeight="1"/>
    <ns0:row r="44" ht="24.75" customHeight="1">
      <ns0:c r="C44" t="inlineStr">
        <ns0:is>
          <ns0:t xml:space="preserve"> =&gt; Result check process vision spot welding happen NG high 61//330~18.5% ( After spot welding happen height tin 20/330~6%)</ns0:t>
        </ns0:is>
      </ns0:c>
    </ns0:row>
    <ns0:row r="45" ht="24.75" customHeight="1">
      <ns0:c r="C45" t="inlineStr">
        <ns0:is>
          <ns0:t xml:space="preserve"> =&gt; Can not use </ns0:t>
        </ns0:is>
      </ns0:c>
    </ns0:row>
    <ns0:row r="46" ht="24.75" customHeight="1"/>
    <ns0:row r="47" ht="24.75" customHeight="1"/>
    <ns0:row r="48" ht="24.75" customHeight="1">
      <ns0:c r="B48" t="inlineStr">
        <ns0:is>
          <ns0:t>IV. Decision.</ns0:t>
        </ns0:is>
      </ns0:c>
    </ns0:row>
    <ns0:row r="49" ht="24.75" customHeight="1"/>
    <ns0:row r="50" ht="24.75" customHeight="1"/>
    <ns0:row r="51" ht="36" customHeight="1"/>
    <ns0:row r="52" ht="26.25" customHeight="1"/>
    <ns0:row r="53" ht="26.25" customHeight="1"/>
    <ns0:row r="54" ht="26.25" customHeight="1"/>
    <ns0:row r="55" ht="26.25" customHeight="1"/>
    <ns0:row r="56" ht="26.25" customHeight="1"/>
    <ns0:row r="57" ht="26.25" customHeight="1"/>
    <ns0:row r="58" ht="26.25" customHeight="1"/>
    <ns0:row r="59" ht="26.25" customHeight="1"/>
    <ns0:row r="60" ht="26.25" customHeight="1"/>
    <ns0:row r="61" ht="26.25" customHeight="1"/>
    <ns0:row r="62" ht="26.25" customHeight="1"/>
    <ns0:row r="63" ht="26.25" customHeight="1"/>
    <ns0:row r="64" ht="26.25" customHeight="1"/>
    <ns0:row r="65" ht="26.25" customHeight="1"/>
    <ns0:row r="66" ht="26.25" customHeight="1"/>
    <ns0:row r="67" ht="26.25" customHeight="1"/>
    <ns0:row r="68" ht="26.25" customHeight="1"/>
    <ns0:row r="69" ht="26.25" customHeight="1"/>
    <ns0:row r="70" ht="26.25" customHeight="1"/>
  </ns0:sheetData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2026-05-12T08:14:32Z</dcterms:created>
  <dcterms:modified xsi:type="dcterms:W3CDTF">2026-05-12T08:15:04Z</dcterms:modified>
</cp:coreProperties>
</file>