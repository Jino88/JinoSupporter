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[$-409]d\-mmm;@"/>
    <numFmt numFmtId="168" formatCode="#,##0;#,##0"/>
    <numFmt numFmtId="169" formatCode="0.0%"/>
    <numFmt numFmtId="170" formatCode="_(* #,##0_);_(* \(#,##0\);_(* &quot;-&quot;??_);_(@_)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C5D9F1"/>
      </patternFill>
    </fill>
    <fill>
      <patternFill patternType="solid">
        <fgColor rgb="FFB8CCE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166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4" borderId="25" applyAlignment="1" pivotButton="0" quotePrefix="0" xfId="0">
      <alignment horizontal="center" vertical="center"/>
    </xf>
    <xf numFmtId="0" fontId="0" fillId="0" borderId="27" pivotButton="0" quotePrefix="0" xfId="0"/>
    <xf numFmtId="0" fontId="1" fillId="0" borderId="0" applyAlignment="1" pivotButton="0" quotePrefix="0" xfId="0">
      <alignment vertical="center"/>
    </xf>
    <xf numFmtId="0" fontId="3" fillId="4" borderId="2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3" borderId="25" applyAlignment="1" pivotButton="0" quotePrefix="0" xfId="0">
      <alignment horizontal="center" vertical="center"/>
    </xf>
    <xf numFmtId="1" fontId="3" fillId="3" borderId="25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3" fillId="0" borderId="0" pivotButton="0" quotePrefix="0" xfId="0"/>
    <xf numFmtId="170" fontId="3" fillId="0" borderId="24" applyAlignment="1" pivotButton="0" quotePrefix="0" xfId="0">
      <alignment vertical="center"/>
    </xf>
    <xf numFmtId="166" fontId="1" fillId="5" borderId="25" applyAlignment="1" pivotButton="0" quotePrefix="0" xfId="0">
      <alignment horizontal="center" vertical="center"/>
    </xf>
    <xf numFmtId="166" fontId="1" fillId="5" borderId="13" applyAlignment="1" pivotButton="0" quotePrefix="0" xfId="0">
      <alignment horizontal="center" vertical="center"/>
    </xf>
    <xf numFmtId="0" fontId="0" fillId="0" borderId="16" pivotButton="0" quotePrefix="0" xfId="0"/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1" fillId="5" borderId="30" applyAlignment="1" pivotButton="0" quotePrefix="0" xfId="0">
      <alignment horizontal="center" vertical="center" wrapText="1"/>
    </xf>
    <xf numFmtId="166" fontId="3" fillId="0" borderId="31" applyAlignment="1" pivotButton="0" quotePrefix="0" xfId="0">
      <alignment horizontal="center" vertical="center" wrapText="1"/>
    </xf>
    <xf numFmtId="166" fontId="3" fillId="3" borderId="25" applyAlignment="1" pivotButton="0" quotePrefix="0" xfId="0">
      <alignment horizontal="center" vertical="center" wrapText="1"/>
    </xf>
    <xf numFmtId="0" fontId="0" fillId="0" borderId="26" pivotButton="0" quotePrefix="0" xfId="0"/>
    <xf numFmtId="169" fontId="5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169" fontId="3" fillId="3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169" fontId="5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69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0" fontId="6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5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3.14285714285714" customWidth="1" min="5" max="5"/>
    <ns0:col width="21.85714285714286" customWidth="1" min="6" max="6"/>
    <ns0:col width="24.71428571428572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  <ns0:col width="21.85714285714286" customWidth="1" min="22" max="22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CHANGE CONDITION UV DRY TO IMPROVE NG FUNCTION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U3" s="10" t="inlineStr">
        <ns0:is>
          <ns0:t>Date</ns0:t>
        </ns0:is>
      </ns0:c>
      <ns0:c r="V3" s="11" t="n">
        <ns0:v>46040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0" t="inlineStr">
        <ns0:is>
          <ns0:t>Marker</ns0:t>
        </ns0:is>
      </ns0:c>
      <ns0:c r="V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0.5" customHeight="1">
      <ns0:c r="B6" s="20" t="inlineStr">
        <ns0:is>
          <ns0:t>- Change condition UV Dry to improve NG function Bako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9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</ns0:row>
    <ns0:row r="8" ht="40.5" customHeight="1">
      <ns0:c r="B8" s="24" t="inlineStr">
        <ns0:is>
          <ns0:t xml:space="preserve">- Increase PEAK from 1250~1350W/cm² =&gt; 1400~1450W/cm² (Total not change)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5" t="n"/>
      <ns0:c r="V8" s="26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</ns0:row>
    <ns0:row r="9" ht="40.5" customHeight="1">
      <ns0:c r="B9" s="24" t="inlineStr">
        <ns0:is>
          <ns0:t>=&gt; Separate lot to check function =&gt; Compare with normal (Dry final sample 12h)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  <ns0:c r="V9" s="26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8" t="n"/>
      <ns0:c r="V10" s="1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</ns0:row>
    <ns0:row r="11" ht="44.25" customHeight="1">
      <ns0:c r="A11" s="27" t="n"/>
      <ns0:c r="B11" s="28" t="n"/>
      <ns0:c r="C11" s="29" t="inlineStr">
        <ns0:is>
          <ns0:t>1. Result check UV DRY: Normal Peak: 1250~1350W/cm², Total: 5500~6500J/cm²</ns0:t>
        </ns0:is>
      </ns0:c>
      <ns0:c r="D11" s="29" t="n"/>
      <ns0:c r="E11" s="29" t="n"/>
      <ns0:c r="F11" s="29" t="n"/>
      <ns0:c r="G11" s="29" t="n"/>
      <ns0:c r="H11" s="29" t="n"/>
      <ns0:c r="I11" s="30" t="inlineStr">
        <ns0:is>
          <ns0:t>- Test: Peak: 1400 ~ 1450W/cm², Total: 5500~6500J/cm²</ns0:t>
        </ns0:is>
      </ns0:c>
      <ns0:c r="J11" s="30" t="n"/>
      <ns0:c r="K11" s="30" t="n"/>
      <ns0:c r="L11" s="30" t="n"/>
      <ns0:c r="M11" s="31" t="n"/>
      <ns0:c r="N11" s="32" t="n"/>
      <ns0:c r="O11" s="32" t="n"/>
      <ns0:c r="P11" s="32" t="n"/>
      <ns0:c r="Q11" s="32" t="n"/>
      <ns0:c r="R11" s="32" t="n"/>
      <ns0:c r="S11" s="32" t="n"/>
      <ns0:c r="T11" s="32" t="n"/>
      <ns0:c r="U11" s="32" t="n"/>
      <ns0:c r="V11" s="3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</ns0:row>
    <ns0:row r="12" ht="44.25" customHeight="1">
      <ns0:c r="A12" s="27" t="n"/>
      <ns0:c r="B12" s="28" t="n"/>
      <ns0:c r="C12" s="34" t="inlineStr">
        <ns0:is>
          <ns0:t>RESULT CHECK UV DRY Peak: 1250~1350W/cm², Total: 5500~6500J/cm²</ns0:t>
        </ns0:is>
      </ns0:c>
      <ns0:c r="D12" s="18" t="n"/>
      <ns0:c r="E12" s="18" t="n"/>
      <ns0:c r="F12" s="18" t="n"/>
      <ns0:c r="G12" s="18" t="n"/>
      <ns0:c r="H12" s="35" t="n"/>
      <ns0:c r="I12" s="36" t="n"/>
      <ns0:c r="J12" s="36" t="n"/>
      <ns0:c r="K12" s="36" t="n"/>
      <ns0:c r="L12" s="36" t="n"/>
      <ns0:c r="M12" s="32" t="n"/>
      <ns0:c r="N12" s="32" t="n"/>
      <ns0:c r="O12" s="32" t="n"/>
      <ns0:c r="P12" s="32" t="n"/>
      <ns0:c r="Q12" s="32" t="n"/>
      <ns0:c r="R12" s="32" t="n"/>
      <ns0:c r="S12" s="32" t="n"/>
      <ns0:c r="T12" s="32" t="n"/>
      <ns0:c r="U12" s="32" t="n"/>
      <ns0:c r="V12" s="3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</ns0:row>
    <ns0:row r="13" ht="44.25" customHeight="1">
      <ns0:c r="A13" s="27" t="n"/>
      <ns0:c r="B13" s="28" t="n"/>
      <ns0:c r="C13" s="37" t="inlineStr">
        <ns0:is>
          <ns0:t>Date</ns0:t>
        </ns0:is>
      </ns0:c>
      <ns0:c r="D13" s="37" t="inlineStr">
        <ns0:is>
          <ns0:t>Line</ns0:t>
        </ns0:is>
      </ns0:c>
      <ns0:c r="E13" s="37" t="inlineStr">
        <ns0:is>
          <ns0:t>Machine</ns0:t>
        </ns0:is>
      </ns0:c>
      <ns0:c r="F13" s="37" t="inlineStr">
        <ns0:is>
          <ns0:t>Type</ns0:t>
        </ns0:is>
      </ns0:c>
      <ns0:c r="G13" s="37" t="inlineStr">
        <ns0:is>
          <ns0:t>PEAK</ns0:t>
        </ns0:is>
      </ns0:c>
      <ns0:c r="H13" s="37" t="inlineStr">
        <ns0:is>
          <ns0:t>TOTAL</ns0:t>
        </ns0:is>
      </ns0:c>
      <ns0:c r="I13" s="38" t="n"/>
      <ns0:c r="J13" s="38" t="n"/>
      <ns0:c r="K13" s="27" t="n"/>
      <ns0:c r="L13" s="27" t="n"/>
      <ns0:c r="M13" s="32" t="n"/>
      <ns0:c r="N13" s="32" t="n"/>
      <ns0:c r="O13" s="32" t="n"/>
      <ns0:c r="P13" s="32" t="n"/>
      <ns0:c r="Q13" s="32" t="n"/>
      <ns0:c r="R13" s="32" t="n"/>
      <ns0:c r="S13" s="32" t="n"/>
      <ns0:c r="T13" s="32" t="n"/>
      <ns0:c r="U13" s="32" t="n"/>
      <ns0:c r="V13" s="3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</ns0:row>
    <ns0:row r="14" ht="44.25" customHeight="1">
      <ns0:c r="A14" s="27" t="n"/>
      <ns0:c r="B14" s="28" t="n"/>
      <ns0:c r="C14" s="39" t="n">
        <ns0:v>46040</ns0:v>
      </ns0:c>
      <ns0:c r="D14" s="39" t="inlineStr">
        <ns0:is>
          <ns0:t>Line R</ns0:t>
        </ns0:is>
      </ns0:c>
      <ns0:c r="E14" s="40" t="inlineStr">
        <ns0:is>
          <ns0:t>UV DRY COIL/VP</ns0:t>
        </ns0:is>
      </ns0:c>
      <ns0:c r="F14" s="41" t="inlineStr">
        <ns0:is>
          <ns0:t>Test</ns0:t>
        </ns0:is>
      </ns0:c>
      <ns0:c r="G14" s="41" t="n">
        <ns0:v>1410</ns0:v>
      </ns0:c>
      <ns0:c r="H14" s="42" t="n">
        <ns0:v>6095</ns0:v>
      </ns0:c>
      <ns0:c r="I14" s="43" t="n"/>
      <ns0:c r="J14" s="43" t="n"/>
      <ns0:c r="K14" s="44" t="n"/>
      <ns0:c r="L14" s="45" t="n"/>
      <ns0:c r="M14" s="32" t="n"/>
      <ns0:c r="N14" s="32" t="n"/>
      <ns0:c r="O14" s="32" t="n"/>
      <ns0:c r="P14" s="32" t="n"/>
      <ns0:c r="Q14" s="32" t="n"/>
      <ns0:c r="R14" s="32" t="n"/>
      <ns0:c r="S14" s="32" t="n"/>
      <ns0:c r="T14" s="32" t="n"/>
      <ns0:c r="U14" s="32" t="n"/>
      <ns0:c r="V14" s="3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</ns0:row>
    <ns0:row r="15" ht="44.25" customHeight="1">
      <ns0:c r="A15" s="27" t="n"/>
      <ns0:c r="B15" s="28" t="n"/>
      <ns0:c r="C15" s="46" t="n"/>
      <ns0:c r="D15" s="46" t="n"/>
      <ns0:c r="E15" s="47" t="n"/>
      <ns0:c r="F15" s="48" t="inlineStr">
        <ns0:is>
          <ns0:t>Normal</ns0:t>
        </ns0:is>
      </ns0:c>
      <ns0:c r="G15" s="48" t="n">
        <ns0:v>1334</ns0:v>
      </ns0:c>
      <ns0:c r="H15" s="49" t="n">
        <ns0:v>5775</ns0:v>
      </ns0:c>
      <ns0:c r="I15" s="43" t="n"/>
      <ns0:c r="J15" s="43" t="n"/>
      <ns0:c r="K15" s="44" t="n"/>
      <ns0:c r="L15" s="45" t="n"/>
      <ns0:c r="M15" s="32" t="n"/>
      <ns0:c r="N15" s="32" t="n"/>
      <ns0:c r="O15" s="32" t="n"/>
      <ns0:c r="P15" s="32" t="n"/>
      <ns0:c r="Q15" s="32" t="n"/>
      <ns0:c r="R15" s="32" t="n"/>
      <ns0:c r="S15" s="32" t="n"/>
      <ns0:c r="T15" s="32" t="n"/>
      <ns0:c r="U15" s="32" t="n"/>
      <ns0:c r="V15" s="3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</ns0:row>
    <ns0:row r="16" ht="44.25" customHeight="1">
      <ns0:c r="A16" s="27" t="n"/>
      <ns0:c r="B16" s="28" t="n"/>
      <ns0:c r="C16" s="46" t="n"/>
      <ns0:c r="D16" s="46" t="n"/>
      <ns0:c r="E16" s="40" t="inlineStr">
        <ns0:is>
          <ns0:t>UV DRY F-PCB SEALING</ns0:t>
        </ns0:is>
      </ns0:c>
      <ns0:c r="F16" s="41" t="inlineStr">
        <ns0:is>
          <ns0:t>Test</ns0:t>
        </ns0:is>
      </ns0:c>
      <ns0:c r="G16" s="41" t="n">
        <ns0:v>1423</ns0:v>
      </ns0:c>
      <ns0:c r="H16" s="42" t="n">
        <ns0:v>5683</ns0:v>
      </ns0:c>
      <ns0:c r="I16" s="43" t="n"/>
      <ns0:c r="J16" s="43" t="n"/>
      <ns0:c r="K16" s="44" t="n"/>
      <ns0:c r="L16" s="45" t="n"/>
      <ns0:c r="M16" s="32" t="n"/>
      <ns0:c r="N16" s="32" t="n"/>
      <ns0:c r="O16" s="32" t="n"/>
      <ns0:c r="P16" s="32" t="n"/>
      <ns0:c r="Q16" s="32" t="n"/>
      <ns0:c r="R16" s="32" t="n"/>
      <ns0:c r="S16" s="32" t="n"/>
      <ns0:c r="T16" s="32" t="n"/>
      <ns0:c r="U16" s="32" t="n"/>
      <ns0:c r="V16" s="3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</ns0:row>
    <ns0:row r="17" ht="44.25" customHeight="1">
      <ns0:c r="A17" s="27" t="n"/>
      <ns0:c r="B17" s="28" t="n"/>
      <ns0:c r="C17" s="46" t="n"/>
      <ns0:c r="D17" s="47" t="n"/>
      <ns0:c r="E17" s="47" t="n"/>
      <ns0:c r="F17" s="48" t="inlineStr">
        <ns0:is>
          <ns0:t>Normal</ns0:t>
        </ns0:is>
      </ns0:c>
      <ns0:c r="G17" s="48" t="n">
        <ns0:v>1273</ns0:v>
      </ns0:c>
      <ns0:c r="H17" s="49" t="n">
        <ns0:v>6429</ns0:v>
      </ns0:c>
      <ns0:c r="I17" s="43" t="n"/>
      <ns0:c r="J17" s="43" t="n"/>
      <ns0:c r="K17" s="44" t="n"/>
      <ns0:c r="L17" s="45" t="n"/>
      <ns0:c r="M17" s="32" t="n"/>
      <ns0:c r="N17" s="32" t="n"/>
      <ns0:c r="O17" s="32" t="n"/>
      <ns0:c r="P17" s="32" t="n"/>
      <ns0:c r="Q17" s="32" t="n"/>
      <ns0:c r="R17" s="32" t="n"/>
      <ns0:c r="S17" s="32" t="n"/>
      <ns0:c r="T17" s="32" t="n"/>
      <ns0:c r="U17" s="32" t="n"/>
      <ns0:c r="V17" s="3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</ns0:row>
    <ns0:row r="18" ht="44.25" customHeight="1">
      <ns0:c r="A18" s="27" t="n"/>
      <ns0:c r="B18" s="28" t="n"/>
      <ns0:c r="C18" s="46" t="n"/>
      <ns0:c r="D18" s="39" t="inlineStr">
        <ns0:is>
          <ns0:t>Line L</ns0:t>
        </ns0:is>
      </ns0:c>
      <ns0:c r="E18" s="40" t="inlineStr">
        <ns0:is>
          <ns0:t>UV DRY COIL/VP</ns0:t>
        </ns0:is>
      </ns0:c>
      <ns0:c r="F18" s="41" t="inlineStr">
        <ns0:is>
          <ns0:t>Test</ns0:t>
        </ns0:is>
      </ns0:c>
      <ns0:c r="G18" s="41" t="n">
        <ns0:v>1401</ns0:v>
      </ns0:c>
      <ns0:c r="H18" s="42" t="n">
        <ns0:v>5713</ns0:v>
      </ns0:c>
      <ns0:c r="I18" s="43" t="n"/>
      <ns0:c r="J18" s="43" t="n"/>
      <ns0:c r="K18" s="44" t="n"/>
      <ns0:c r="L18" s="45" t="n"/>
      <ns0:c r="M18" s="32" t="n"/>
      <ns0:c r="N18" s="32" t="n"/>
      <ns0:c r="O18" s="32" t="n"/>
      <ns0:c r="P18" s="32" t="n"/>
      <ns0:c r="Q18" s="32" t="n"/>
      <ns0:c r="R18" s="32" t="n"/>
      <ns0:c r="S18" s="32" t="n"/>
      <ns0:c r="T18" s="32" t="n"/>
      <ns0:c r="U18" s="32" t="n"/>
      <ns0:c r="V18" s="3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</ns0:row>
    <ns0:row r="19" ht="44.25" customHeight="1">
      <ns0:c r="A19" s="27" t="n"/>
      <ns0:c r="B19" s="28" t="n"/>
      <ns0:c r="C19" s="46" t="n"/>
      <ns0:c r="D19" s="46" t="n"/>
      <ns0:c r="E19" s="47" t="n"/>
      <ns0:c r="F19" s="48" t="inlineStr">
        <ns0:is>
          <ns0:t>Normal</ns0:t>
        </ns0:is>
      </ns0:c>
      <ns0:c r="G19" s="48" t="n">
        <ns0:v>1259</ns0:v>
      </ns0:c>
      <ns0:c r="H19" s="49" t="n">
        <ns0:v>6066</ns0:v>
      </ns0:c>
      <ns0:c r="I19" s="43" t="n"/>
      <ns0:c r="J19" s="43" t="n"/>
      <ns0:c r="K19" s="44" t="n"/>
      <ns0:c r="L19" s="45" t="n"/>
      <ns0:c r="M19" s="32" t="n"/>
      <ns0:c r="N19" s="32" t="n"/>
      <ns0:c r="O19" s="32" t="n"/>
      <ns0:c r="P19" s="32" t="n"/>
      <ns0:c r="Q19" s="32" t="n"/>
      <ns0:c r="R19" s="32" t="n"/>
      <ns0:c r="S19" s="32" t="n"/>
      <ns0:c r="T19" s="32" t="n"/>
      <ns0:c r="U19" s="32" t="n"/>
      <ns0:c r="V19" s="3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44.25" customHeight="1">
      <ns0:c r="A20" s="27" t="n"/>
      <ns0:c r="B20" s="28" t="n"/>
      <ns0:c r="C20" s="46" t="n"/>
      <ns0:c r="D20" s="46" t="n"/>
      <ns0:c r="E20" s="40" t="inlineStr">
        <ns0:is>
          <ns0:t>UV DRY F-PCB SEALING</ns0:t>
        </ns0:is>
      </ns0:c>
      <ns0:c r="F20" s="41" t="inlineStr">
        <ns0:is>
          <ns0:t>Test</ns0:t>
        </ns0:is>
      </ns0:c>
      <ns0:c r="G20" s="41" t="n">
        <ns0:v>1426</ns0:v>
      </ns0:c>
      <ns0:c r="H20" s="42" t="n">
        <ns0:v>6486</ns0:v>
      </ns0:c>
      <ns0:c r="I20" s="43" t="n"/>
      <ns0:c r="J20" s="43" t="n"/>
      <ns0:c r="K20" s="44" t="n"/>
      <ns0:c r="L20" s="45" t="n"/>
      <ns0:c r="M20" s="32" t="n"/>
      <ns0:c r="N20" s="32" t="n"/>
      <ns0:c r="O20" s="32" t="n"/>
      <ns0:c r="P20" s="32" t="n"/>
      <ns0:c r="Q20" s="32" t="n"/>
      <ns0:c r="R20" s="32" t="n"/>
      <ns0:c r="S20" s="32" t="n"/>
      <ns0:c r="T20" s="32" t="n"/>
      <ns0:c r="U20" s="32" t="n"/>
      <ns0:c r="V20" s="3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44.25" customHeight="1">
      <ns0:c r="A21" s="27" t="n"/>
      <ns0:c r="B21" s="28" t="n"/>
      <ns0:c r="C21" s="47" t="n"/>
      <ns0:c r="D21" s="47" t="n"/>
      <ns0:c r="E21" s="47" t="n"/>
      <ns0:c r="F21" s="48" t="inlineStr">
        <ns0:is>
          <ns0:t>Normal</ns0:t>
        </ns0:is>
      </ns0:c>
      <ns0:c r="G21" s="48" t="n">
        <ns0:v>1262</ns0:v>
      </ns0:c>
      <ns0:c r="H21" s="49" t="n">
        <ns0:v>6057</ns0:v>
      </ns0:c>
      <ns0:c r="I21" s="43" t="n"/>
      <ns0:c r="J21" s="43" t="n"/>
      <ns0:c r="K21" s="44" t="n"/>
      <ns0:c r="L21" s="45" t="n"/>
      <ns0:c r="M21" s="32" t="n"/>
      <ns0:c r="N21" s="32" t="n"/>
      <ns0:c r="O21" s="32" t="n"/>
      <ns0:c r="P21" s="32" t="n"/>
      <ns0:c r="Q21" s="32" t="n"/>
      <ns0:c r="R21" s="32" t="n"/>
      <ns0:c r="S21" s="32" t="n"/>
      <ns0:c r="T21" s="32" t="n"/>
      <ns0:c r="U21" s="32" t="n"/>
      <ns0:c r="V21" s="3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44.25" customHeight="1">
      <ns0:c r="A22" s="27" t="n"/>
      <ns0:c r="B22" s="50" t="n"/>
      <ns0:c r="C22" s="32" t="n"/>
      <ns0:c r="D22" s="32" t="n"/>
      <ns0:c r="E22" s="32" t="n"/>
      <ns0:c r="F22" s="32" t="n"/>
      <ns0:c r="G22" s="32" t="n"/>
      <ns0:c r="H22" s="32" t="n"/>
      <ns0:c r="I22" s="32" t="n"/>
      <ns0:c r="J22" s="32" t="n"/>
      <ns0:c r="K22" s="32" t="n"/>
      <ns0:c r="L22" s="32" t="n"/>
      <ns0:c r="M22" s="32" t="n"/>
      <ns0:c r="N22" s="32" t="n"/>
      <ns0:c r="O22" s="32" t="n"/>
      <ns0:c r="P22" s="32" t="n"/>
      <ns0:c r="Q22" s="32" t="n"/>
      <ns0:c r="R22" s="32" t="n"/>
      <ns0:c r="S22" s="32" t="n"/>
      <ns0:c r="T22" s="32" t="n"/>
      <ns0:c r="U22" s="32" t="n"/>
      <ns0:c r="V22" s="3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39.75" customHeight="1">
      <ns0:c r="A23" s="27" t="n"/>
      <ns0:c r="B23" s="28" t="n"/>
      <ns0:c r="C23" s="29" t="inlineStr">
        <ns0:is>
          <ns0:t>2. Result check function</ns0:t>
        </ns0:is>
      </ns0:c>
      <ns0:c r="D23" s="29" t="n"/>
      <ns0:c r="E23" s="29" t="n"/>
      <ns0:c r="F23" s="29" t="n"/>
      <ns0:c r="G23" s="29" t="n"/>
      <ns0:c r="H23" s="29" t="n"/>
      <ns0:c r="I23" s="29" t="n"/>
      <ns0:c r="J23" s="29" t="n"/>
      <ns0:c r="K23" s="29" t="n"/>
      <ns0:c r="L23" s="29" t="n"/>
      <ns0:c r="M23" s="29" t="n"/>
      <ns0:c r="N23" s="29" t="n"/>
      <ns0:c r="O23" s="29" t="n"/>
      <ns0:c r="P23" s="29" t="n"/>
      <ns0:c r="Q23" s="29" t="n"/>
      <ns0:c r="R23" s="29" t="n"/>
      <ns0:c r="S23" s="29" t="n"/>
      <ns0:c r="T23" s="29" t="n"/>
      <ns0:c r="U23" s="51" t="n"/>
      <ns0:c r="V23" s="52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9.5" customHeight="1">
      <ns0:c r="A24" s="27" t="n"/>
      <ns0:c r="B24" s="28" t="n"/>
      <ns0:c r="C24" s="53" t="inlineStr">
        <ns0:is>
          <ns0:t>No</ns0:t>
        </ns0:is>
      </ns0:c>
      <ns0:c r="D24" s="53" t="inlineStr">
        <ns0:is>
          <ns0:t>Date</ns0:t>
        </ns0:is>
      </ns0:c>
      <ns0:c r="E24" s="54" t="inlineStr">
        <ns0:is>
          <ns0:t>Type</ns0:t>
        </ns0:is>
      </ns0:c>
      <ns0:c r="F24" s="55" t="n"/>
      <ns0:c r="G24" s="55" t="n"/>
      <ns0:c r="H24" s="53" t="inlineStr">
        <ns0:is>
          <ns0:t>Input</ns0:t>
        </ns0:is>
      </ns0:c>
      <ns0:c r="I24" s="53" t="inlineStr">
        <ns0:is>
          <ns0:t>OK</ns0:t>
        </ns0:is>
      </ns0:c>
      <ns0:c r="J24" s="53" t="inlineStr">
        <ns0:is>
          <ns0:t>NG BAKO</ns0:t>
        </ns0:is>
      </ns0:c>
      <ns0:c r="K24" s="18" t="n"/>
      <ns0:c r="L24" s="18" t="n"/>
      <ns0:c r="M24" s="18" t="n"/>
      <ns0:c r="N24" s="35" t="n"/>
      <ns0:c r="O24" s="56" t="inlineStr">
        <ns0:is>
          <ns0:t>HEARING</ns0:t>
        </ns0:is>
      </ns0:c>
      <ns0:c r="P24" s="18" t="n"/>
      <ns0:c r="Q24" s="18" t="n"/>
      <ns0:c r="R24" s="35" t="n"/>
      <ns0:c r="S24" s="57" t="inlineStr">
        <ns0:is>
          <ns0:t>Total NG</ns0:t>
        </ns0:is>
      </ns0:c>
      <ns0:c r="T24" s="58" t="inlineStr">
        <ns0:is>
          <ns0:t>Total NG rate</ns0:t>
        </ns0:is>
      </ns0:c>
      <ns0:c r="U24" s="56" t="inlineStr">
        <ns0:is>
          <ns0:t>Note</ns0:t>
        </ns0:is>
      </ns0:c>
      <ns0:c r="V24" s="52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49.5" customHeight="1">
      <ns0:c r="A25" s="27" t="n"/>
      <ns0:c r="B25" s="28" t="n"/>
      <ns0:c r="C25" s="47" t="n"/>
      <ns0:c r="D25" s="47" t="n"/>
      <ns0:c r="E25" s="14" t="n"/>
      <ns0:c r="F25" s="15" t="n"/>
      <ns0:c r="G25" s="15" t="n"/>
      <ns0:c r="H25" s="47" t="n"/>
      <ns0:c r="I25" s="47" t="n"/>
      <ns0:c r="J25" s="53" t="inlineStr">
        <ns0:is>
          <ns0:t>FRF high</ns0:t>
        </ns0:is>
      </ns0:c>
      <ns0:c r="K25" s="53" t="inlineStr">
        <ns0:is>
          <ns0:t>FRF Low</ns0:t>
        </ns0:is>
      </ns0:c>
      <ns0:c r="L25" s="53" t="inlineStr">
        <ns0:is>
          <ns0:t>FRF+SPL</ns0:t>
        </ns0:is>
      </ns0:c>
      <ns0:c r="M25" s="53" t="inlineStr">
        <ns0:is>
          <ns0:t>THD</ns0:t>
        </ns0:is>
      </ns0:c>
      <ns0:c r="N25" s="53" t="inlineStr">
        <ns0:is>
          <ns0:t>No sound</ns0:t>
        </ns0:is>
      </ns0:c>
      <ns0:c r="O25" s="56" t="inlineStr">
        <ns0:is>
          <ns0:t>Input</ns0:t>
        </ns0:is>
      </ns0:c>
      <ns0:c r="P25" s="56" t="inlineStr">
        <ns0:is>
          <ns0:t>Touch</ns0:t>
        </ns0:is>
      </ns0:c>
      <ns0:c r="Q25" s="56" t="inlineStr">
        <ns0:is>
          <ns0:t>Noise</ns0:t>
        </ns0:is>
      </ns0:c>
      <ns0:c r="R25" s="56" t="inlineStr">
        <ns0:is>
          <ns0:t>No sound</ns0:t>
        </ns0:is>
      </ns0:c>
      <ns0:c r="S25" s="47" t="n"/>
      <ns0:c r="T25" s="13" t="n"/>
      <ns0:c r="U25" s="47" t="n"/>
      <ns0:c r="V25" s="52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3.75" customHeight="1">
      <ns0:c r="A26" s="27" t="n"/>
      <ns0:c r="B26" s="28" t="n"/>
      <ns0:c r="C26" s="49" t="n">
        <ns0:v>1</ns0:v>
      </ns0:c>
      <ns0:c r="D26" s="39" t="n">
        <ns0:v>46040</ns0:v>
      </ns0:c>
      <ns0:c r="E26" s="59" t="inlineStr">
        <ns0:is>
          <ns0:t>Line R</ns0:t>
        </ns0:is>
      </ns0:c>
      <ns0:c r="F26" s="60" t="inlineStr">
        <ns0:is>
          <ns0:t>Test</ns0:t>
        </ns0:is>
      </ns0:c>
      <ns0:c r="G26" s="61" t="n"/>
      <ns0:c r="H26" s="42" t="n">
        <ns0:v>594</ns0:v>
      </ns0:c>
      <ns0:c r="I26" s="42" t="n">
        <ns0:v>587</ns0:v>
      </ns0:c>
      <ns0:c r="J26" s="42" t="n">
        <ns0:v>1</ns0:v>
      </ns0:c>
      <ns0:c r="K26" s="42" t="n">
        <ns0:v>6</ns0:v>
      </ns0:c>
      <ns0:c r="L26" s="42" t="n">
        <ns0:v>0</ns0:v>
      </ns0:c>
      <ns0:c r="M26" s="42" t="n">
        <ns0:v>0</ns0:v>
      </ns0:c>
      <ns0:c r="N26" s="42" t="n">
        <ns0:v>0</ns0:v>
      </ns0:c>
      <ns0:c r="O26" s="42" t="n">
        <ns0:v>587</ns0:v>
      </ns0:c>
      <ns0:c r="P26" s="41" t="n">
        <ns0:v>0</ns0:v>
      </ns0:c>
      <ns0:c r="Q26" s="41" t="n">
        <ns0:v>0</ns0:v>
      </ns0:c>
      <ns0:c r="R26" s="41" t="n">
        <ns0:v>0</ns0:v>
      </ns0:c>
      <ns0:c r="S26" s="42" t="n">
        <ns0:v>7</ns0:v>
      </ns0:c>
      <ns0:c r="T26" s="62" t="n">
        <ns0:v>0.01178451178451178</ns0:v>
      </ns0:c>
      <ns0:c r="U26" s="63" t="inlineStr">
        <ns0:is>
          <ns0:t>Dry oven box 85˚C/1h</ns0:t>
        </ns0:is>
      </ns0:c>
      <ns0:c r="V26" s="52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27" t="n"/>
      <ns0:c r="B27" s="28" t="n"/>
      <ns0:c r="C27" s="47" t="n"/>
      <ns0:c r="D27" s="46" t="n"/>
      <ns0:c r="E27" s="46" t="n"/>
      <ns0:c r="F27" s="14" t="n"/>
      <ns0:c r="G27" s="13" t="n"/>
      <ns0:c r="H27" s="47" t="n"/>
      <ns0:c r="I27" s="47" t="n"/>
      <ns0:c r="J27" s="64" t="n">
        <ns0:v>0.001683501683501683</ns0:v>
      </ns0:c>
      <ns0:c r="K27" s="64" t="n">
        <ns0:v>0.0101010101010101</ns0:v>
      </ns0:c>
      <ns0:c r="L27" s="64" t="n">
        <ns0:v>0</ns0:v>
      </ns0:c>
      <ns0:c r="M27" s="64" t="n">
        <ns0:v>0</ns0:v>
      </ns0:c>
      <ns0:c r="N27" s="64" t="n">
        <ns0:v>0</ns0:v>
      </ns0:c>
      <ns0:c r="O27" s="47" t="n"/>
      <ns0:c r="P27" s="62" t="n">
        <ns0:v>0</ns0:v>
      </ns0:c>
      <ns0:c r="Q27" s="62" t="n">
        <ns0:v>0</ns0:v>
      </ns0:c>
      <ns0:c r="R27" s="62" t="n">
        <ns0:v>0</ns0:v>
      </ns0:c>
      <ns0:c r="S27" s="47" t="n"/>
      <ns0:c r="T27" s="47" t="n"/>
      <ns0:c r="U27" s="47" t="n"/>
      <ns0:c r="V27" s="52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27" t="n"/>
      <ns0:c r="B28" s="28" t="n"/>
      <ns0:c r="C28" s="49" t="n">
        <ns0:v>2</ns0:v>
      </ns0:c>
      <ns0:c r="D28" s="46" t="n"/>
      <ns0:c r="E28" s="46" t="n"/>
      <ns0:c r="F28" s="65" t="inlineStr">
        <ns0:is>
          <ns0:t>Normal</ns0:t>
        </ns0:is>
      </ns0:c>
      <ns0:c r="G28" s="61" t="n"/>
      <ns0:c r="H28" s="49" t="n">
        <ns0:v>500</ns0:v>
      </ns0:c>
      <ns0:c r="I28" s="49" t="n">
        <ns0:v>492</ns0:v>
      </ns0:c>
      <ns0:c r="J28" s="49" t="n">
        <ns0:v>1</ns0:v>
      </ns0:c>
      <ns0:c r="K28" s="49" t="n">
        <ns0:v>7</ns0:v>
      </ns0:c>
      <ns0:c r="L28" s="49" t="n">
        <ns0:v>0</ns0:v>
      </ns0:c>
      <ns0:c r="M28" s="49" t="n">
        <ns0:v>0</ns0:v>
      </ns0:c>
      <ns0:c r="N28" s="49" t="n">
        <ns0:v>0</ns0:v>
      </ns0:c>
      <ns0:c r="O28" s="49" t="n">
        <ns0:v>492</ns0:v>
      </ns0:c>
      <ns0:c r="P28" s="48" t="n">
        <ns0:v>0</ns0:v>
      </ns0:c>
      <ns0:c r="Q28" s="48" t="n">
        <ns0:v>0</ns0:v>
      </ns0:c>
      <ns0:c r="R28" s="48" t="n">
        <ns0:v>0</ns0:v>
      </ns0:c>
      <ns0:c r="S28" s="49" t="n">
        <ns0:v>8</ns0:v>
      </ns0:c>
      <ns0:c r="T28" s="66" t="n">
        <ns0:v>0.016</ns0:v>
      </ns0:c>
      <ns0:c r="U28" s="48" t="inlineStr">
        <ns0:is>
          <ns0:t>Dry 12h</ns0:t>
        </ns0:is>
      </ns0:c>
      <ns0:c r="V28" s="52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27" t="n"/>
      <ns0:c r="B29" s="28" t="n"/>
      <ns0:c r="C29" s="47" t="n"/>
      <ns0:c r="D29" s="46" t="n"/>
      <ns0:c r="E29" s="46" t="n"/>
      <ns0:c r="F29" s="14" t="n"/>
      <ns0:c r="G29" s="13" t="n"/>
      <ns0:c r="H29" s="47" t="n"/>
      <ns0:c r="I29" s="47" t="n"/>
      <ns0:c r="J29" s="67" t="n">
        <ns0:v>0.002</ns0:v>
      </ns0:c>
      <ns0:c r="K29" s="67" t="n">
        <ns0:v>0.014</ns0:v>
      </ns0:c>
      <ns0:c r="L29" s="67" t="n">
        <ns0:v>0</ns0:v>
      </ns0:c>
      <ns0:c r="M29" s="67" t="n">
        <ns0:v>0</ns0:v>
      </ns0:c>
      <ns0:c r="N29" s="67" t="n">
        <ns0:v>0</ns0:v>
      </ns0:c>
      <ns0:c r="O29" s="47" t="n"/>
      <ns0:c r="P29" s="66" t="n">
        <ns0:v>0</ns0:v>
      </ns0:c>
      <ns0:c r="Q29" s="66" t="n">
        <ns0:v>0</ns0:v>
      </ns0:c>
      <ns0:c r="R29" s="66" t="n">
        <ns0:v>0</ns0:v>
      </ns0:c>
      <ns0:c r="S29" s="47" t="n"/>
      <ns0:c r="T29" s="47" t="n"/>
      <ns0:c r="U29" s="47" t="n"/>
      <ns0:c r="V29" s="52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</ns0:row>
    <ns0:row r="30" ht="33.75" customHeight="1">
      <ns0:c r="A30" s="27" t="n"/>
      <ns0:c r="B30" s="28" t="n"/>
      <ns0:c r="C30" s="49" t="n">
        <ns0:v>3</ns0:v>
      </ns0:c>
      <ns0:c r="D30" s="46" t="n"/>
      <ns0:c r="E30" s="65" t="inlineStr">
        <ns0:is>
          <ns0:t>Line L</ns0:t>
        </ns0:is>
      </ns0:c>
      <ns0:c r="F30" s="60" t="inlineStr">
        <ns0:is>
          <ns0:t>Test</ns0:t>
        </ns0:is>
      </ns0:c>
      <ns0:c r="G30" s="61" t="n"/>
      <ns0:c r="H30" s="42" t="n">
        <ns0:v>500</ns0:v>
      </ns0:c>
      <ns0:c r="I30" s="42" t="n">
        <ns0:v>473</ns0:v>
      </ns0:c>
      <ns0:c r="J30" s="42" t="n">
        <ns0:v>13</ns0:v>
      </ns0:c>
      <ns0:c r="K30" s="42" t="n">
        <ns0:v>14</ns0:v>
      </ns0:c>
      <ns0:c r="L30" s="42" t="n">
        <ns0:v>0</ns0:v>
      </ns0:c>
      <ns0:c r="M30" s="42" t="n">
        <ns0:v>0</ns0:v>
      </ns0:c>
      <ns0:c r="N30" s="42" t="n">
        <ns0:v>0</ns0:v>
      </ns0:c>
      <ns0:c r="O30" s="42" t="n">
        <ns0:v>473</ns0:v>
      </ns0:c>
      <ns0:c r="P30" s="41" t="n">
        <ns0:v>0</ns0:v>
      </ns0:c>
      <ns0:c r="Q30" s="41" t="n">
        <ns0:v>0</ns0:v>
      </ns0:c>
      <ns0:c r="R30" s="41" t="n">
        <ns0:v>0</ns0:v>
      </ns0:c>
      <ns0:c r="S30" s="42" t="n">
        <ns0:v>27</ns0:v>
      </ns0:c>
      <ns0:c r="T30" s="62" t="n">
        <ns0:v>0.054</ns0:v>
      </ns0:c>
      <ns0:c r="U30" s="63" t="inlineStr">
        <ns0:is>
          <ns0:t>Dry oven box 85˚C/1h</ns0:t>
        </ns0:is>
      </ns0:c>
      <ns0:c r="V30" s="52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</ns0:row>
    <ns0:row r="31" ht="33.75" customHeight="1">
      <ns0:c r="A31" s="27" t="n"/>
      <ns0:c r="B31" s="28" t="n"/>
      <ns0:c r="C31" s="47" t="n"/>
      <ns0:c r="D31" s="46" t="n"/>
      <ns0:c r="E31" s="46" t="n"/>
      <ns0:c r="F31" s="14" t="n"/>
      <ns0:c r="G31" s="13" t="n"/>
      <ns0:c r="H31" s="47" t="n"/>
      <ns0:c r="I31" s="47" t="n"/>
      <ns0:c r="J31" s="64" t="n">
        <ns0:v>0.026</ns0:v>
      </ns0:c>
      <ns0:c r="K31" s="64" t="n">
        <ns0:v>0.028</ns0:v>
      </ns0:c>
      <ns0:c r="L31" s="64" t="n">
        <ns0:v>0</ns0:v>
      </ns0:c>
      <ns0:c r="M31" s="64" t="n">
        <ns0:v>0</ns0:v>
      </ns0:c>
      <ns0:c r="N31" s="64" t="n">
        <ns0:v>0</ns0:v>
      </ns0:c>
      <ns0:c r="O31" s="47" t="n"/>
      <ns0:c r="P31" s="62" t="n">
        <ns0:v>0</ns0:v>
      </ns0:c>
      <ns0:c r="Q31" s="62" t="n">
        <ns0:v>0</ns0:v>
      </ns0:c>
      <ns0:c r="R31" s="62" t="n">
        <ns0:v>0</ns0:v>
      </ns0:c>
      <ns0:c r="S31" s="47" t="n"/>
      <ns0:c r="T31" s="47" t="n"/>
      <ns0:c r="U31" s="47" t="n"/>
      <ns0:c r="V31" s="52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</ns0:row>
    <ns0:row r="32" ht="33.75" customHeight="1">
      <ns0:c r="A32" s="27" t="n"/>
      <ns0:c r="B32" s="28" t="n"/>
      <ns0:c r="C32" s="49" t="n">
        <ns0:v>4</ns0:v>
      </ns0:c>
      <ns0:c r="D32" s="46" t="n"/>
      <ns0:c r="E32" s="46" t="n"/>
      <ns0:c r="F32" s="65" t="inlineStr">
        <ns0:is>
          <ns0:t>Normal</ns0:t>
        </ns0:is>
      </ns0:c>
      <ns0:c r="G32" s="61" t="n"/>
      <ns0:c r="H32" s="49" t="n">
        <ns0:v>500</ns0:v>
      </ns0:c>
      <ns0:c r="I32" s="49" t="n">
        <ns0:v>489</ns0:v>
      </ns0:c>
      <ns0:c r="J32" s="49" t="n">
        <ns0:v>0</ns0:v>
      </ns0:c>
      <ns0:c r="K32" s="49" t="n">
        <ns0:v>11</ns0:v>
      </ns0:c>
      <ns0:c r="L32" s="49" t="n">
        <ns0:v>0</ns0:v>
      </ns0:c>
      <ns0:c r="M32" s="49" t="n">
        <ns0:v>0</ns0:v>
      </ns0:c>
      <ns0:c r="N32" s="49" t="n">
        <ns0:v>0</ns0:v>
      </ns0:c>
      <ns0:c r="O32" s="49" t="n">
        <ns0:v>489</ns0:v>
      </ns0:c>
      <ns0:c r="P32" s="48" t="n">
        <ns0:v>0</ns0:v>
      </ns0:c>
      <ns0:c r="Q32" s="48" t="n">
        <ns0:v>0</ns0:v>
      </ns0:c>
      <ns0:c r="R32" s="48" t="n">
        <ns0:v>0</ns0:v>
      </ns0:c>
      <ns0:c r="S32" s="49" t="n">
        <ns0:v>11</ns0:v>
      </ns0:c>
      <ns0:c r="T32" s="66" t="n">
        <ns0:v>0.022</ns0:v>
      </ns0:c>
      <ns0:c r="U32" s="48" t="inlineStr">
        <ns0:is>
          <ns0:t>Dry 12h</ns0:t>
        </ns0:is>
      </ns0:c>
      <ns0:c r="V32" s="52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</ns0:row>
    <ns0:row r="33" ht="33.75" customHeight="1">
      <ns0:c r="A33" s="27" t="n"/>
      <ns0:c r="B33" s="28" t="n"/>
      <ns0:c r="C33" s="47" t="n"/>
      <ns0:c r="D33" s="47" t="n"/>
      <ns0:c r="E33" s="47" t="n"/>
      <ns0:c r="F33" s="14" t="n"/>
      <ns0:c r="G33" s="13" t="n"/>
      <ns0:c r="H33" s="47" t="n"/>
      <ns0:c r="I33" s="47" t="n"/>
      <ns0:c r="J33" s="67" t="n">
        <ns0:v>0</ns0:v>
      </ns0:c>
      <ns0:c r="K33" s="67" t="n">
        <ns0:v>0.022</ns0:v>
      </ns0:c>
      <ns0:c r="L33" s="67" t="n">
        <ns0:v>0</ns0:v>
      </ns0:c>
      <ns0:c r="M33" s="67" t="n">
        <ns0:v>0</ns0:v>
      </ns0:c>
      <ns0:c r="N33" s="67" t="n">
        <ns0:v>0</ns0:v>
      </ns0:c>
      <ns0:c r="O33" s="47" t="n"/>
      <ns0:c r="P33" s="66" t="n">
        <ns0:v>0</ns0:v>
      </ns0:c>
      <ns0:c r="Q33" s="66" t="n">
        <ns0:v>0</ns0:v>
      </ns0:c>
      <ns0:c r="R33" s="66" t="n">
        <ns0:v>0</ns0:v>
      </ns0:c>
      <ns0:c r="S33" s="47" t="n"/>
      <ns0:c r="T33" s="47" t="n"/>
      <ns0:c r="U33" s="47" t="n"/>
      <ns0:c r="V33" s="52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</ns0:row>
    <ns0:row r="34" ht="33.75" customHeight="1">
      <ns0:c r="A34" s="27" t="n"/>
      <ns0:c r="B34" s="28" t="n"/>
      <ns0:c r="C34" s="68" t="n"/>
      <ns0:c r="D34" s="69" t="n"/>
      <ns0:c r="E34" s="70" t="n"/>
      <ns0:c r="F34" s="70" t="n"/>
      <ns0:c r="G34" s="70" t="n"/>
      <ns0:c r="H34" s="68" t="n"/>
      <ns0:c r="I34" s="68" t="n"/>
      <ns0:c r="J34" s="71" t="n"/>
      <ns0:c r="K34" s="71" t="n"/>
      <ns0:c r="L34" s="71" t="n"/>
      <ns0:c r="M34" s="71" t="n"/>
      <ns0:c r="N34" s="71" t="n"/>
      <ns0:c r="O34" s="68" t="n"/>
      <ns0:c r="P34" s="68" t="n"/>
      <ns0:c r="Q34" s="68" t="n"/>
      <ns0:c r="R34" s="68" t="n"/>
      <ns0:c r="S34" s="68" t="n"/>
      <ns0:c r="T34" s="68" t="n"/>
      <ns0:c r="U34" s="51" t="n"/>
      <ns0:c r="V34" s="52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</ns0:row>
    <ns0:row r="35" ht="33.75" customHeight="1">
      <ns0:c r="A35" s="27" t="n"/>
      <ns0:c r="B35" s="28" t="n"/>
      <ns0:c r="C35" s="68" t="n"/>
      <ns0:c r="D35" s="69" t="n"/>
      <ns0:c r="E35" s="70" t="n"/>
      <ns0:c r="F35" s="70" t="n"/>
      <ns0:c r="G35" s="70" t="n"/>
      <ns0:c r="H35" s="68" t="n"/>
      <ns0:c r="I35" s="68" t="n"/>
      <ns0:c r="J35" s="71" t="n"/>
      <ns0:c r="K35" s="71" t="n"/>
      <ns0:c r="L35" s="71" t="n"/>
      <ns0:c r="M35" s="71" t="n"/>
      <ns0:c r="N35" s="71" t="n"/>
      <ns0:c r="O35" s="68" t="n"/>
      <ns0:c r="P35" s="68" t="n"/>
      <ns0:c r="Q35" s="68" t="n"/>
      <ns0:c r="R35" s="68" t="n"/>
      <ns0:c r="S35" s="68" t="n"/>
      <ns0:c r="T35" s="68" t="n"/>
      <ns0:c r="U35" s="51" t="n"/>
      <ns0:c r="V35" s="52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</ns0:row>
    <ns0:row r="36" ht="33.75" customHeight="1">
      <ns0:c r="A36" s="27" t="n"/>
      <ns0:c r="B36" s="28" t="n"/>
      <ns0:c r="C36" s="68" t="n"/>
      <ns0:c r="D36" s="69" t="n"/>
      <ns0:c r="E36" s="70" t="n"/>
      <ns0:c r="F36" s="70" t="n"/>
      <ns0:c r="G36" s="70" t="n"/>
      <ns0:c r="H36" s="68" t="n"/>
      <ns0:c r="I36" s="68" t="n"/>
      <ns0:c r="J36" s="71" t="n"/>
      <ns0:c r="K36" s="71" t="n"/>
      <ns0:c r="L36" s="71" t="n"/>
      <ns0:c r="M36" s="71" t="n"/>
      <ns0:c r="N36" s="71" t="n"/>
      <ns0:c r="O36" s="68" t="n"/>
      <ns0:c r="P36" s="68" t="n"/>
      <ns0:c r="Q36" s="68" t="n"/>
      <ns0:c r="R36" s="68" t="n"/>
      <ns0:c r="S36" s="68" t="n"/>
      <ns0:c r="T36" s="68" t="n"/>
      <ns0:c r="U36" s="51" t="n"/>
      <ns0:c r="V36" s="52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</ns0:row>
    <ns0:row r="37" ht="33.75" customHeight="1">
      <ns0:c r="A37" s="27" t="n"/>
      <ns0:c r="B37" s="28" t="n"/>
      <ns0:c r="C37" s="68" t="n"/>
      <ns0:c r="D37" s="69" t="n"/>
      <ns0:c r="E37" s="70" t="n"/>
      <ns0:c r="F37" s="70" t="n"/>
      <ns0:c r="G37" s="70" t="n"/>
      <ns0:c r="H37" s="68" t="n"/>
      <ns0:c r="I37" s="68" t="n"/>
      <ns0:c r="J37" s="71" t="n"/>
      <ns0:c r="K37" s="71" t="n"/>
      <ns0:c r="L37" s="71" t="n"/>
      <ns0:c r="M37" s="71" t="n"/>
      <ns0:c r="N37" s="71" t="n"/>
      <ns0:c r="O37" s="68" t="n"/>
      <ns0:c r="P37" s="68" t="n"/>
      <ns0:c r="Q37" s="68" t="n"/>
      <ns0:c r="R37" s="68" t="n"/>
      <ns0:c r="S37" s="68" t="n"/>
      <ns0:c r="T37" s="68" t="n"/>
      <ns0:c r="U37" s="51" t="n"/>
      <ns0:c r="V37" s="52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</ns0:row>
    <ns0:row r="38" ht="33.75" customHeight="1">
      <ns0:c r="A38" s="27" t="n"/>
      <ns0:c r="B38" s="28" t="n"/>
      <ns0:c r="C38" s="68" t="n"/>
      <ns0:c r="D38" s="69" t="n"/>
      <ns0:c r="E38" s="70" t="n"/>
      <ns0:c r="F38" s="70" t="n"/>
      <ns0:c r="G38" s="70" t="n"/>
      <ns0:c r="H38" s="68" t="n"/>
      <ns0:c r="I38" s="68" t="n"/>
      <ns0:c r="J38" s="71" t="n"/>
      <ns0:c r="K38" s="71" t="n"/>
      <ns0:c r="L38" s="71" t="n"/>
      <ns0:c r="M38" s="71" t="n"/>
      <ns0:c r="N38" s="71" t="n"/>
      <ns0:c r="O38" s="68" t="n"/>
      <ns0:c r="P38" s="68" t="n"/>
      <ns0:c r="Q38" s="68" t="n"/>
      <ns0:c r="R38" s="68" t="n"/>
      <ns0:c r="S38" s="68" t="n"/>
      <ns0:c r="T38" s="68" t="n"/>
      <ns0:c r="U38" s="51" t="n"/>
      <ns0:c r="V38" s="52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</ns0:row>
    <ns0:row r="39" ht="33.75" customHeight="1">
      <ns0:c r="A39" s="27" t="n"/>
      <ns0:c r="B39" s="28" t="n"/>
      <ns0:c r="C39" s="68" t="n"/>
      <ns0:c r="D39" s="69" t="n"/>
      <ns0:c r="E39" s="70" t="n"/>
      <ns0:c r="F39" s="70" t="n"/>
      <ns0:c r="G39" s="70" t="n"/>
      <ns0:c r="H39" s="68" t="n"/>
      <ns0:c r="I39" s="68" t="n"/>
      <ns0:c r="J39" s="71" t="n"/>
      <ns0:c r="K39" s="71" t="n"/>
      <ns0:c r="L39" s="71" t="n"/>
      <ns0:c r="M39" s="71" t="n"/>
      <ns0:c r="N39" s="71" t="n"/>
      <ns0:c r="O39" s="68" t="n"/>
      <ns0:c r="P39" s="68" t="n"/>
      <ns0:c r="Q39" s="68" t="n"/>
      <ns0:c r="R39" s="68" t="n"/>
      <ns0:c r="S39" s="68" t="n"/>
      <ns0:c r="T39" s="68" t="n"/>
      <ns0:c r="U39" s="51" t="n"/>
      <ns0:c r="V39" s="52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</ns0:row>
    <ns0:row r="40" ht="33.75" customHeight="1">
      <ns0:c r="A40" s="27" t="n"/>
      <ns0:c r="B40" s="28" t="n"/>
      <ns0:c r="C40" s="68" t="n"/>
      <ns0:c r="D40" s="69" t="n"/>
      <ns0:c r="E40" s="70" t="n"/>
      <ns0:c r="F40" s="70" t="n"/>
      <ns0:c r="G40" s="70" t="n"/>
      <ns0:c r="H40" s="68" t="n"/>
      <ns0:c r="I40" s="68" t="n"/>
      <ns0:c r="J40" s="71" t="n"/>
      <ns0:c r="K40" s="71" t="n"/>
      <ns0:c r="L40" s="71" t="n"/>
      <ns0:c r="M40" s="71" t="n"/>
      <ns0:c r="N40" s="71" t="n"/>
      <ns0:c r="O40" s="68" t="n"/>
      <ns0:c r="P40" s="68" t="n"/>
      <ns0:c r="Q40" s="68" t="n"/>
      <ns0:c r="R40" s="68" t="n"/>
      <ns0:c r="S40" s="68" t="n"/>
      <ns0:c r="T40" s="68" t="n"/>
      <ns0:c r="U40" s="51" t="n"/>
      <ns0:c r="V40" s="52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</ns0:row>
    <ns0:row r="41" ht="33.75" customHeight="1">
      <ns0:c r="A41" s="27" t="n"/>
      <ns0:c r="B41" s="28" t="n"/>
      <ns0:c r="C41" s="68" t="n"/>
      <ns0:c r="D41" s="69" t="n"/>
      <ns0:c r="E41" s="70" t="n"/>
      <ns0:c r="F41" s="70" t="n"/>
      <ns0:c r="G41" s="70" t="n"/>
      <ns0:c r="H41" s="68" t="n"/>
      <ns0:c r="I41" s="68" t="n"/>
      <ns0:c r="J41" s="71" t="n"/>
      <ns0:c r="K41" s="71" t="n"/>
      <ns0:c r="L41" s="71" t="n"/>
      <ns0:c r="M41" s="71" t="n"/>
      <ns0:c r="N41" s="71" t="n"/>
      <ns0:c r="O41" s="68" t="n"/>
      <ns0:c r="P41" s="68" t="n"/>
      <ns0:c r="Q41" s="68" t="n"/>
      <ns0:c r="R41" s="68" t="n"/>
      <ns0:c r="S41" s="68" t="n"/>
      <ns0:c r="T41" s="68" t="n"/>
      <ns0:c r="U41" s="51" t="n"/>
      <ns0:c r="V41" s="52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</ns0:row>
    <ns0:row r="42" ht="33.75" customHeight="1">
      <ns0:c r="A42" s="27" t="n"/>
      <ns0:c r="B42" s="28" t="n"/>
      <ns0:c r="C42" s="68" t="n"/>
      <ns0:c r="D42" s="69" t="n"/>
      <ns0:c r="E42" s="70" t="n"/>
      <ns0:c r="F42" s="70" t="n"/>
      <ns0:c r="G42" s="70" t="n"/>
      <ns0:c r="H42" s="68" t="n"/>
      <ns0:c r="I42" s="68" t="n"/>
      <ns0:c r="J42" s="71" t="n"/>
      <ns0:c r="K42" s="71" t="n"/>
      <ns0:c r="L42" s="71" t="n"/>
      <ns0:c r="M42" s="71" t="n"/>
      <ns0:c r="N42" s="71" t="n"/>
      <ns0:c r="O42" s="68" t="n"/>
      <ns0:c r="P42" s="68" t="n"/>
      <ns0:c r="Q42" s="68" t="n"/>
      <ns0:c r="R42" s="68" t="n"/>
      <ns0:c r="S42" s="68" t="n"/>
      <ns0:c r="T42" s="68" t="n"/>
      <ns0:c r="U42" s="51" t="n"/>
      <ns0:c r="V42" s="52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</ns0:row>
    <ns0:row r="43" ht="33.75" customHeight="1">
      <ns0:c r="A43" s="27" t="n"/>
      <ns0:c r="B43" s="28" t="n"/>
      <ns0:c r="C43" s="68" t="n"/>
      <ns0:c r="D43" s="69" t="n"/>
      <ns0:c r="E43" s="70" t="n"/>
      <ns0:c r="F43" s="70" t="n"/>
      <ns0:c r="G43" s="70" t="n"/>
      <ns0:c r="H43" s="68" t="n"/>
      <ns0:c r="I43" s="68" t="n"/>
      <ns0:c r="J43" s="71" t="n"/>
      <ns0:c r="K43" s="71" t="n"/>
      <ns0:c r="L43" s="71" t="n"/>
      <ns0:c r="M43" s="71" t="n"/>
      <ns0:c r="N43" s="71" t="n"/>
      <ns0:c r="O43" s="68" t="n"/>
      <ns0:c r="P43" s="68" t="n"/>
      <ns0:c r="Q43" s="68" t="n"/>
      <ns0:c r="R43" s="68" t="n"/>
      <ns0:c r="S43" s="68" t="n"/>
      <ns0:c r="T43" s="68" t="n"/>
      <ns0:c r="U43" s="51" t="n"/>
      <ns0:c r="V43" s="52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</ns0:row>
    <ns0:row r="44" ht="33.75" customHeight="1">
      <ns0:c r="A44" s="27" t="n"/>
      <ns0:c r="B44" s="28" t="n"/>
      <ns0:c r="C44" s="68" t="n"/>
      <ns0:c r="D44" s="69" t="n"/>
      <ns0:c r="E44" s="70" t="n"/>
      <ns0:c r="F44" s="70" t="n"/>
      <ns0:c r="G44" s="70" t="n"/>
      <ns0:c r="H44" s="68" t="n"/>
      <ns0:c r="I44" s="68" t="n"/>
      <ns0:c r="J44" s="71" t="n"/>
      <ns0:c r="K44" s="71" t="n"/>
      <ns0:c r="L44" s="71" t="n"/>
      <ns0:c r="M44" s="71" t="n"/>
      <ns0:c r="N44" s="71" t="n"/>
      <ns0:c r="O44" s="68" t="n"/>
      <ns0:c r="P44" s="68" t="n"/>
      <ns0:c r="Q44" s="68" t="n"/>
      <ns0:c r="R44" s="68" t="n"/>
      <ns0:c r="S44" s="68" t="n"/>
      <ns0:c r="T44" s="68" t="n"/>
      <ns0:c r="U44" s="51" t="n"/>
      <ns0:c r="V44" s="52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</ns0:row>
    <ns0:row r="45" ht="33.75" customHeight="1">
      <ns0:c r="A45" s="27" t="n"/>
      <ns0:c r="B45" s="28" t="n"/>
      <ns0:c r="C45" s="68" t="n"/>
      <ns0:c r="D45" s="69" t="n"/>
      <ns0:c r="E45" s="70" t="n"/>
      <ns0:c r="F45" s="70" t="n"/>
      <ns0:c r="G45" s="70" t="n"/>
      <ns0:c r="H45" s="68" t="n"/>
      <ns0:c r="I45" s="68" t="n"/>
      <ns0:c r="J45" s="71" t="n"/>
      <ns0:c r="K45" s="71" t="n"/>
      <ns0:c r="L45" s="71" t="n"/>
      <ns0:c r="M45" s="71" t="n"/>
      <ns0:c r="N45" s="71" t="n"/>
      <ns0:c r="O45" s="68" t="n"/>
      <ns0:c r="P45" s="68" t="n"/>
      <ns0:c r="Q45" s="68" t="n"/>
      <ns0:c r="R45" s="68" t="n"/>
      <ns0:c r="S45" s="68" t="n"/>
      <ns0:c r="T45" s="68" t="n"/>
      <ns0:c r="U45" s="51" t="n"/>
      <ns0:c r="V45" s="52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</ns0:row>
    <ns0:row r="46" ht="33.75" customHeight="1">
      <ns0:c r="A46" s="27" t="n"/>
      <ns0:c r="B46" s="28" t="n"/>
      <ns0:c r="C46" s="68" t="n"/>
      <ns0:c r="D46" s="69" t="n"/>
      <ns0:c r="E46" s="70" t="n"/>
      <ns0:c r="F46" s="70" t="n"/>
      <ns0:c r="G46" s="70" t="n"/>
      <ns0:c r="H46" s="68" t="n"/>
      <ns0:c r="I46" s="68" t="n"/>
      <ns0:c r="J46" s="71" t="n"/>
      <ns0:c r="K46" s="71" t="n"/>
      <ns0:c r="L46" s="71" t="n"/>
      <ns0:c r="M46" s="71" t="n"/>
      <ns0:c r="N46" s="71" t="n"/>
      <ns0:c r="O46" s="68" t="n"/>
      <ns0:c r="P46" s="68" t="n"/>
      <ns0:c r="Q46" s="68" t="n"/>
      <ns0:c r="R46" s="68" t="n"/>
      <ns0:c r="S46" s="68" t="n"/>
      <ns0:c r="T46" s="68" t="n"/>
      <ns0:c r="U46" s="51" t="n"/>
      <ns0:c r="V46" s="52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</ns0:row>
    <ns0:row r="47" ht="33.75" customHeight="1">
      <ns0:c r="A47" s="27" t="n"/>
      <ns0:c r="B47" s="28" t="n"/>
      <ns0:c r="C47" s="68" t="n"/>
      <ns0:c r="D47" s="69" t="n"/>
      <ns0:c r="E47" s="70" t="n"/>
      <ns0:c r="F47" s="70" t="n"/>
      <ns0:c r="G47" s="70" t="n"/>
      <ns0:c r="H47" s="68" t="n"/>
      <ns0:c r="I47" s="68" t="n"/>
      <ns0:c r="J47" s="71" t="n"/>
      <ns0:c r="K47" s="71" t="n"/>
      <ns0:c r="L47" s="71" t="n"/>
      <ns0:c r="M47" s="71" t="n"/>
      <ns0:c r="N47" s="71" t="n"/>
      <ns0:c r="O47" s="68" t="n"/>
      <ns0:c r="P47" s="68" t="n"/>
      <ns0:c r="Q47" s="68" t="n"/>
      <ns0:c r="R47" s="68" t="n"/>
      <ns0:c r="S47" s="68" t="n"/>
      <ns0:c r="T47" s="68" t="n"/>
      <ns0:c r="U47" s="51" t="n"/>
      <ns0:c r="V47" s="52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</ns0:row>
    <ns0:row r="48" ht="33.75" customHeight="1">
      <ns0:c r="A48" s="27" t="n"/>
      <ns0:c r="B48" s="28" t="n"/>
      <ns0:c r="C48" s="68" t="n"/>
      <ns0:c r="D48" s="69" t="n"/>
      <ns0:c r="E48" s="70" t="n"/>
      <ns0:c r="F48" s="70" t="n"/>
      <ns0:c r="G48" s="70" t="n"/>
      <ns0:c r="H48" s="68" t="n"/>
      <ns0:c r="I48" s="68" t="n"/>
      <ns0:c r="J48" s="71" t="n"/>
      <ns0:c r="K48" s="71" t="n"/>
      <ns0:c r="L48" s="71" t="n"/>
      <ns0:c r="M48" s="71" t="n"/>
      <ns0:c r="N48" s="71" t="n"/>
      <ns0:c r="O48" s="68" t="n"/>
      <ns0:c r="P48" s="68" t="n"/>
      <ns0:c r="Q48" s="68" t="n"/>
      <ns0:c r="R48" s="68" t="n"/>
      <ns0:c r="S48" s="68" t="n"/>
      <ns0:c r="T48" s="68" t="n"/>
      <ns0:c r="U48" s="51" t="n"/>
      <ns0:c r="V48" s="52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</ns0:row>
    <ns0:row r="49" ht="33.75" customHeight="1">
      <ns0:c r="A49" s="27" t="n"/>
      <ns0:c r="B49" s="28" t="n"/>
      <ns0:c r="C49" s="68" t="n"/>
      <ns0:c r="D49" s="69" t="n"/>
      <ns0:c r="E49" s="70" t="n"/>
      <ns0:c r="F49" s="70" t="n"/>
      <ns0:c r="G49" s="70" t="n"/>
      <ns0:c r="H49" s="68" t="n"/>
      <ns0:c r="I49" s="68" t="n"/>
      <ns0:c r="J49" s="71" t="n"/>
      <ns0:c r="K49" s="71" t="n"/>
      <ns0:c r="L49" s="71" t="n"/>
      <ns0:c r="M49" s="71" t="n"/>
      <ns0:c r="N49" s="71" t="n"/>
      <ns0:c r="O49" s="68" t="n"/>
      <ns0:c r="P49" s="68" t="n"/>
      <ns0:c r="Q49" s="68" t="n"/>
      <ns0:c r="R49" s="68" t="n"/>
      <ns0:c r="S49" s="68" t="n"/>
      <ns0:c r="T49" s="68" t="n"/>
      <ns0:c r="U49" s="51" t="n"/>
      <ns0:c r="V49" s="52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</ns0:row>
    <ns0:row r="50" ht="33.75" customHeight="1">
      <ns0:c r="A50" s="27" t="n"/>
      <ns0:c r="B50" s="28" t="n"/>
      <ns0:c r="C50" s="68" t="n"/>
      <ns0:c r="D50" s="69" t="n"/>
      <ns0:c r="E50" s="70" t="n"/>
      <ns0:c r="F50" s="70" t="n"/>
      <ns0:c r="G50" s="70" t="n"/>
      <ns0:c r="H50" s="68" t="n"/>
      <ns0:c r="I50" s="68" t="n"/>
      <ns0:c r="J50" s="71" t="n"/>
      <ns0:c r="K50" s="71" t="n"/>
      <ns0:c r="L50" s="71" t="n"/>
      <ns0:c r="M50" s="71" t="n"/>
      <ns0:c r="N50" s="71" t="n"/>
      <ns0:c r="O50" s="68" t="n"/>
      <ns0:c r="P50" s="68" t="n"/>
      <ns0:c r="Q50" s="68" t="n"/>
      <ns0:c r="R50" s="68" t="n"/>
      <ns0:c r="S50" s="68" t="n"/>
      <ns0:c r="T50" s="68" t="n"/>
      <ns0:c r="U50" s="51" t="n"/>
      <ns0:c r="V50" s="52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</ns0:row>
    <ns0:row r="51" ht="33.75" customHeight="1">
      <ns0:c r="A51" s="27" t="n"/>
      <ns0:c r="B51" s="28" t="n"/>
      <ns0:c r="C51" s="68" t="n"/>
      <ns0:c r="D51" s="69" t="n"/>
      <ns0:c r="E51" s="70" t="n"/>
      <ns0:c r="F51" s="70" t="n"/>
      <ns0:c r="G51" s="70" t="n"/>
      <ns0:c r="H51" s="68" t="n"/>
      <ns0:c r="I51" s="68" t="n"/>
      <ns0:c r="J51" s="71" t="n"/>
      <ns0:c r="K51" s="71" t="n"/>
      <ns0:c r="L51" s="71" t="n"/>
      <ns0:c r="M51" s="71" t="n"/>
      <ns0:c r="N51" s="71" t="n"/>
      <ns0:c r="O51" s="68" t="n"/>
      <ns0:c r="P51" s="68" t="n"/>
      <ns0:c r="Q51" s="68" t="n"/>
      <ns0:c r="R51" s="68" t="n"/>
      <ns0:c r="S51" s="68" t="n"/>
      <ns0:c r="T51" s="68" t="n"/>
      <ns0:c r="U51" s="51" t="n"/>
      <ns0:c r="V51" s="52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</ns0:row>
    <ns0:row r="52" ht="33.75" customHeight="1">
      <ns0:c r="A52" s="27" t="n"/>
      <ns0:c r="B52" s="28" t="n"/>
      <ns0:c r="C52" s="68" t="n"/>
      <ns0:c r="D52" s="69" t="n"/>
      <ns0:c r="E52" s="70" t="n"/>
      <ns0:c r="F52" s="70" t="n"/>
      <ns0:c r="G52" s="70" t="n"/>
      <ns0:c r="H52" s="68" t="n"/>
      <ns0:c r="I52" s="68" t="n"/>
      <ns0:c r="J52" s="71" t="n"/>
      <ns0:c r="K52" s="71" t="n"/>
      <ns0:c r="L52" s="71" t="n"/>
      <ns0:c r="M52" s="71" t="n"/>
      <ns0:c r="N52" s="71" t="n"/>
      <ns0:c r="O52" s="68" t="n"/>
      <ns0:c r="P52" s="68" t="n"/>
      <ns0:c r="Q52" s="68" t="n"/>
      <ns0:c r="R52" s="68" t="n"/>
      <ns0:c r="S52" s="68" t="n"/>
      <ns0:c r="T52" s="68" t="n"/>
      <ns0:c r="U52" s="51" t="n"/>
      <ns0:c r="V52" s="52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</ns0:row>
    <ns0:row r="53" ht="33.75" customHeight="1">
      <ns0:c r="A53" s="27" t="n"/>
      <ns0:c r="B53" s="28" t="n"/>
      <ns0:c r="C53" s="68" t="n"/>
      <ns0:c r="D53" s="69" t="n"/>
      <ns0:c r="E53" s="70" t="n"/>
      <ns0:c r="F53" s="70" t="n"/>
      <ns0:c r="G53" s="70" t="n"/>
      <ns0:c r="H53" s="68" t="n"/>
      <ns0:c r="I53" s="68" t="n"/>
      <ns0:c r="J53" s="71" t="n"/>
      <ns0:c r="K53" s="71" t="n"/>
      <ns0:c r="L53" s="71" t="n"/>
      <ns0:c r="M53" s="71" t="n"/>
      <ns0:c r="N53" s="71" t="n"/>
      <ns0:c r="O53" s="68" t="n"/>
      <ns0:c r="P53" s="68" t="n"/>
      <ns0:c r="Q53" s="68" t="n"/>
      <ns0:c r="R53" s="68" t="n"/>
      <ns0:c r="S53" s="68" t="n"/>
      <ns0:c r="T53" s="68" t="n"/>
      <ns0:c r="U53" s="51" t="n"/>
      <ns0:c r="V53" s="52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</ns0:row>
    <ns0:row r="54" ht="33.75" customHeight="1">
      <ns0:c r="A54" s="27" t="n"/>
      <ns0:c r="B54" s="28" t="n"/>
      <ns0:c r="C54" s="68" t="n"/>
      <ns0:c r="D54" s="69" t="n"/>
      <ns0:c r="E54" s="70" t="n"/>
      <ns0:c r="F54" s="70" t="n"/>
      <ns0:c r="G54" s="70" t="n"/>
      <ns0:c r="H54" s="68" t="n"/>
      <ns0:c r="I54" s="68" t="n"/>
      <ns0:c r="J54" s="71" t="n"/>
      <ns0:c r="K54" s="71" t="n"/>
      <ns0:c r="L54" s="71" t="n"/>
      <ns0:c r="M54" s="71" t="n"/>
      <ns0:c r="N54" s="71" t="n"/>
      <ns0:c r="O54" s="68" t="n"/>
      <ns0:c r="P54" s="68" t="n"/>
      <ns0:c r="Q54" s="68" t="n"/>
      <ns0:c r="R54" s="68" t="n"/>
      <ns0:c r="S54" s="68" t="n"/>
      <ns0:c r="T54" s="68" t="n"/>
      <ns0:c r="U54" s="51" t="n"/>
      <ns0:c r="V54" s="52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</ns0:row>
    <ns0:row r="55" ht="33.75" customHeight="1">
      <ns0:c r="A55" s="27" t="n"/>
      <ns0:c r="B55" s="28" t="n"/>
      <ns0:c r="C55" s="68" t="n"/>
      <ns0:c r="D55" s="69" t="n"/>
      <ns0:c r="E55" s="70" t="n"/>
      <ns0:c r="F55" s="70" t="n"/>
      <ns0:c r="G55" s="70" t="n"/>
      <ns0:c r="H55" s="68" t="n"/>
      <ns0:c r="I55" s="68" t="n"/>
      <ns0:c r="J55" s="71" t="n"/>
      <ns0:c r="K55" s="71" t="n"/>
      <ns0:c r="L55" s="71" t="n"/>
      <ns0:c r="M55" s="71" t="n"/>
      <ns0:c r="N55" s="71" t="n"/>
      <ns0:c r="O55" s="68" t="n"/>
      <ns0:c r="P55" s="68" t="n"/>
      <ns0:c r="Q55" s="68" t="n"/>
      <ns0:c r="R55" s="68" t="n"/>
      <ns0:c r="S55" s="68" t="n"/>
      <ns0:c r="T55" s="68" t="n"/>
      <ns0:c r="U55" s="51" t="n"/>
      <ns0:c r="V55" s="52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</ns0:row>
    <ns0:row r="56" ht="33.75" customHeight="1">
      <ns0:c r="A56" s="27" t="n"/>
      <ns0:c r="B56" s="28" t="n"/>
      <ns0:c r="C56" s="68" t="n"/>
      <ns0:c r="D56" s="72" t="n"/>
      <ns0:c r="E56" s="73" t="n"/>
      <ns0:c r="F56" s="73" t="n"/>
      <ns0:c r="G56" s="73" t="n"/>
      <ns0:c r="H56" s="74" t="n"/>
      <ns0:c r="I56" s="74" t="n"/>
      <ns0:c r="J56" s="45" t="n"/>
      <ns0:c r="K56" s="45" t="n"/>
      <ns0:c r="L56" s="45" t="n"/>
      <ns0:c r="M56" s="45" t="n"/>
      <ns0:c r="N56" s="45" t="n"/>
      <ns0:c r="O56" s="74" t="n"/>
      <ns0:c r="P56" s="74" t="n"/>
      <ns0:c r="Q56" s="74" t="n"/>
      <ns0:c r="R56" s="74" t="n"/>
      <ns0:c r="S56" s="74" t="n"/>
      <ns0:c r="T56" s="74" t="n"/>
      <ns0:c r="U56" s="51" t="n"/>
      <ns0:c r="V56" s="52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</ns0:row>
    <ns0:row r="57" ht="44.25" customHeight="1">
      <ns0:c r="A57" s="27" t="n"/>
      <ns0:c r="B57" s="75" t="inlineStr">
        <ns0:is>
          <ns0:t>IV. Decision</ns0:t>
        </ns0:is>
      </ns0:c>
      <ns0:c r="C57" s="76" t="n"/>
      <ns0:c r="D57" s="76" t="n"/>
      <ns0:c r="E57" s="76" t="n"/>
      <ns0:c r="F57" s="76" t="n"/>
      <ns0:c r="G57" s="76" t="n"/>
      <ns0:c r="H57" s="76" t="n"/>
      <ns0:c r="I57" s="76" t="n"/>
      <ns0:c r="J57" s="76" t="n"/>
      <ns0:c r="K57" s="76" t="n"/>
      <ns0:c r="L57" s="76" t="n"/>
      <ns0:c r="M57" s="76" t="n"/>
      <ns0:c r="N57" s="76" t="n"/>
      <ns0:c r="O57" s="76" t="n"/>
      <ns0:c r="P57" s="76" t="n"/>
      <ns0:c r="Q57" s="76" t="n"/>
      <ns0:c r="R57" s="76" t="n"/>
      <ns0:c r="S57" s="76" t="n"/>
      <ns0:c r="T57" s="76" t="n"/>
      <ns0:c r="U57" s="76" t="n"/>
      <ns0:c r="V57" s="77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</ns0:row>
    <ns0:row r="58" ht="44.25" customHeight="1">
      <ns0:c r="A58" s="27" t="n"/>
      <ns0:c r="B58" s="24" t="n"/>
      <ns0:c r="C58" s="36" t="n"/>
      <ns0:c r="D58" s="36" t="n"/>
      <ns0:c r="E58" s="36" t="n"/>
      <ns0:c r="F58" s="36" t="n"/>
      <ns0:c r="G58" s="36" t="n"/>
      <ns0:c r="H58" s="36" t="n"/>
      <ns0:c r="I58" s="36" t="n"/>
      <ns0:c r="J58" s="36" t="n"/>
      <ns0:c r="K58" s="36" t="n"/>
      <ns0:c r="L58" s="36" t="n"/>
      <ns0:c r="M58" s="36" t="n"/>
      <ns0:c r="N58" s="36" t="n"/>
      <ns0:c r="O58" s="36" t="n"/>
      <ns0:c r="P58" s="36" t="n"/>
      <ns0:c r="Q58" s="36" t="n"/>
      <ns0:c r="R58" s="36" t="n"/>
      <ns0:c r="S58" s="36" t="n"/>
      <ns0:c r="T58" s="36" t="n"/>
      <ns0:c r="U58" s="36" t="n"/>
      <ns0:c r="V58" s="78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</ns0:row>
    <ns0:row r="59" ht="44.25" customHeight="1">
      <ns0:c r="A59" s="27" t="n"/>
      <ns0:c r="B59" s="79" t="n"/>
      <ns0:c r="C59" s="80" t="n"/>
      <ns0:c r="D59" s="80" t="n"/>
      <ns0:c r="E59" s="80" t="n"/>
      <ns0:c r="F59" s="80" t="n"/>
      <ns0:c r="G59" s="80" t="n"/>
      <ns0:c r="H59" s="80" t="n"/>
      <ns0:c r="I59" s="80" t="n"/>
      <ns0:c r="J59" s="80" t="n"/>
      <ns0:c r="K59" s="80" t="n"/>
      <ns0:c r="L59" s="80" t="n"/>
      <ns0:c r="M59" s="80" t="n"/>
      <ns0:c r="N59" s="80" t="n"/>
      <ns0:c r="O59" s="80" t="n"/>
      <ns0:c r="P59" s="80" t="n"/>
      <ns0:c r="Q59" s="80" t="n"/>
      <ns0:c r="R59" s="80" t="n"/>
      <ns0:c r="S59" s="80" t="n"/>
      <ns0:c r="T59" s="80" t="n"/>
      <ns0:c r="U59" s="80" t="n"/>
      <ns0:c r="V59" s="81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</ns0:row>
    <ns0:row r="60" ht="40.875" customHeight="1"/>
  </ns0:sheetData>
  <ns0:mergeCells count="58">
    <ns0:mergeCell ref="H26:H27"/>
    <ns0:mergeCell ref="C30:C31"/>
    <ns0:mergeCell ref="I30:I31"/>
    <ns0:mergeCell ref="T30:T31"/>
    <ns0:mergeCell ref="I32:I33"/>
    <ns0:mergeCell ref="U30:U31"/>
    <ns0:mergeCell ref="D26:D33"/>
    <ns0:mergeCell ref="E20:E21"/>
    <ns0:mergeCell ref="C12:H12"/>
    <ns0:mergeCell ref="C26:C27"/>
    <ns0:mergeCell ref="C14:C21"/>
    <ns0:mergeCell ref="I26:I27"/>
    <ns0:mergeCell ref="O30:O31"/>
    <ns0:mergeCell ref="I28:I29"/>
    <ns0:mergeCell ref="O32:O33"/>
    <ns0:mergeCell ref="E24:G25"/>
    <ns0:mergeCell ref="O26:O27"/>
    <ns0:mergeCell ref="F28:G29"/>
    <ns0:mergeCell ref="B2:C4"/>
    <ns0:mergeCell ref="U28:U29"/>
    <ns0:mergeCell ref="J24:N24"/>
    <ns0:mergeCell ref="T26:T27"/>
    <ns0:mergeCell ref="B10:V10"/>
    <ns0:mergeCell ref="U32:U33"/>
    <ns0:mergeCell ref="S28:S29"/>
    <ns0:mergeCell ref="D2:T4"/>
    <ns0:mergeCell ref="O24:R24"/>
    <ns0:mergeCell ref="I24:I25"/>
    <ns0:mergeCell ref="S24:S25"/>
    <ns0:mergeCell ref="D24:D25"/>
    <ns0:mergeCell ref="U24:U25"/>
    <ns0:mergeCell ref="E30:E33"/>
    <ns0:mergeCell ref="D18:D21"/>
    <ns0:mergeCell ref="S30:S31"/>
    <ns0:mergeCell ref="H32:H33"/>
    <ns0:mergeCell ref="B5:V5"/>
    <ns0:mergeCell ref="U26:U27"/>
    <ns0:mergeCell ref="H28:H29"/>
    <ns0:mergeCell ref="C32:C33"/>
    <ns0:mergeCell ref="E16:E17"/>
    <ns0:mergeCell ref="H24:H25"/>
    <ns0:mergeCell ref="S32:S33"/>
    <ns0:mergeCell ref="E26:E29"/>
    <ns0:mergeCell ref="D14:D17"/>
    <ns0:mergeCell ref="H30:H31"/>
    <ns0:mergeCell ref="S26:S27"/>
    <ns0:mergeCell ref="T32:T33"/>
    <ns0:mergeCell ref="B7:V7"/>
    <ns0:mergeCell ref="E18:E19"/>
    <ns0:mergeCell ref="C28:C29"/>
    <ns0:mergeCell ref="T28:T29"/>
    <ns0:mergeCell ref="F32:G33"/>
    <ns0:mergeCell ref="T24:T25"/>
    <ns0:mergeCell ref="C24:C25"/>
    <ns0:mergeCell ref="O28:O29"/>
    <ns0:mergeCell ref="F30:G31"/>
    <ns0:mergeCell ref="F26:G27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R53"/>
  <ns0:sheetViews>
    <ns0:sheetView workbookViewId="0">
      <ns0:selection activeCell="A1" sqref="A1"/>
    </ns0:sheetView>
  </ns0:sheetViews>
  <ns0:sheetFormatPr baseColWidth="8" defaultRowHeight="15"/>
  <ns0:cols>
    <ns0:col width="8.5" customWidth="1" min="2" max="2"/>
    <ns0:col width="8.5" customWidth="1" min="3" max="3"/>
    <ns0:col width="7.75" customWidth="1" min="4" max="4"/>
    <ns0:col width="7.75" customWidth="1" min="5" max="5"/>
    <ns0:col width="11.5" customWidth="1" min="6" max="6"/>
    <ns0:col width="11.63" customWidth="1" min="7" max="7"/>
    <ns0:col width="13.63" customWidth="1" min="8" max="8"/>
    <ns0:col width="8.5" customWidth="1" min="9" max="9"/>
    <ns0:col width="8.5" customWidth="1" min="10" max="10"/>
    <ns0:col width="8.5" customWidth="1" min="11" max="11"/>
    <ns0:col width="17.63" customWidth="1" min="12" max="12"/>
    <ns0:col width="17.63" customWidth="1" min="13" max="13"/>
    <ns0:col width="17.63" customWidth="1" min="14" max="14"/>
    <ns0:col width="17.63" customWidth="1" min="15" max="15"/>
    <ns0:col width="16.13" customWidth="1" min="16" max="16"/>
    <ns0:col width="16.13" customWidth="1" min="17" max="17"/>
    <ns0:col width="9.75" customWidth="1" min="18" max="18"/>
  </ns0:cols>
  <ns0:sheetData>
    <ns0:row r="1" ht="15.75" customHeight="1"/>
    <ns0:row r="2" ht="15" customHeight="1">
      <ns0:c r="B2" s="82" t="inlineStr">
        <ns0:is>
          <ns0:t>TITLE</ns0:t>
        </ns0:is>
      </ns0:c>
      <ns0:c r="D2" s="82" t="inlineStr">
        <ns0:is>
          <ns0:t xml:space="preserve">REPORT ANALYZE SAMPLE NG FUNCTION </ns0:t>
        </ns0:is>
      </ns0:c>
      <ns0:c r="Q2" s="82" t="inlineStr">
        <ns0:is>
          <ns0:t>Dept</ns0:t>
        </ns0:is>
      </ns0:c>
      <ns0:c r="R2" s="82" t="inlineStr">
        <ns0:is>
          <ns0:t>ME</ns0:t>
        </ns0:is>
      </ns0:c>
    </ns0:row>
    <ns0:row r="3" ht="15" customHeight="1">
      <ns0:c r="Q3" s="82" t="inlineStr">
        <ns0:is>
          <ns0:t>Date</ns0:t>
        </ns0:is>
      </ns0:c>
      <ns0:c r="R3" s="83" t="n">
        <ns0:v>46040</ns0:v>
      </ns0:c>
    </ns0:row>
    <ns0:row r="4" ht="15" customHeight="1">
      <ns0:c r="Q4" s="82" t="inlineStr">
        <ns0:is>
          <ns0:t xml:space="preserve">Maker </ns0:t>
        </ns0:is>
      </ns0:c>
      <ns0:c r="R4" s="82" t="inlineStr">
        <ns0:is>
          <ns0:t>Nhung</ns0:t>
        </ns0:is>
      </ns0:c>
    </ns0:row>
    <ns0:row r="5" ht="15" customHeight="1">
      <ns0:c r="B5" s="82" t="inlineStr">
        <ns0:is>
          <ns0:t>I. Purpose.</ns0:t>
        </ns0:is>
      </ns0:c>
    </ns0:row>
    <ns0:row r="6" ht="15" customHeight="1">
      <ns0:c r="B6" s="82" t="inlineStr">
        <ns0:is>
          <ns0:t xml:space="preserve">-NG Bako SPL Low lot test </ns0:t>
        </ns0:is>
      </ns0:c>
    </ns0:row>
    <ns0:row r="7" ht="15" customHeight="1">
      <ns0:c r="B7" s="82" t="inlineStr">
        <ns0:is>
          <ns0:t>II. Content.</ns0:t>
        </ns0:is>
      </ns0:c>
    </ns0:row>
    <ns0:row r="8" ht="15" customHeight="1">
      <ns0:c r="B8" s="82" t="inlineStr">
        <ns0:is>
          <ns0:t>Decap and check reason</ns0:t>
        </ns0:is>
      </ns0:c>
      <ns0:c r="R8" s="82" t="inlineStr">
        <ns0:is>
          <ns0:t> </ns0:t>
        </ns0:is>
      </ns0:c>
    </ns0:row>
    <ns0:row r="9" ht="15" customHeight="1">
      <ns0:c r="B9" s="82" t="inlineStr">
        <ns0:is>
          <ns0:t>III. Result.</ns0:t>
        </ns0:is>
      </ns0:c>
    </ns0:row>
    <ns0:row r="10" ht="15" customHeight="1">
      <ns0:c r="B10" s="82" t="inlineStr">
        <ns0:is>
          <ns0:t>I. NG BAKO</ns0:t>
        </ns0:is>
      </ns0:c>
    </ns0:row>
    <ns0:row r="11" ht="15" customHeight="1">
      <ns0:c r="C11" s="82" t="inlineStr">
        <ns0:is>
          <ns0:t xml:space="preserve"> ※ SYNTHETIC ANALYSE RESULT NG BAKO
</ns0:t>
        </ns0:is>
      </ns0:c>
      <ns0:c r="G11" s="82" t="inlineStr">
        <ns0:is>
          <ns0:t>LINE R - D3-4A</ns0:t>
        </ns0:is>
      </ns0:c>
    </ns0:row>
    <ns0:row r="12" ht="12.75" customHeight="1">
      <ns0:c r="C12" s="82" t="inlineStr">
        <ns0:is>
          <ns0:t>No</ns0:t>
        </ns0:is>
      </ns0:c>
      <ns0:c r="D12" s="82" t="inlineStr">
        <ns0:is>
          <ns0:t>TYPE</ns0:t>
        </ns0:is>
      </ns0:c>
      <ns0:c r="G12" s="82" t="inlineStr">
        <ns0:is>
          <ns0:t>REASON NG</ns0:t>
        </ns0:is>
      </ns0:c>
      <ns0:c r="I12" s="82" t="inlineStr">
        <ns0:is>
          <ns0:t>Q'ty analyse</ns0:t>
        </ns0:is>
      </ns0:c>
      <ns0:c r="J12" s="82" t="inlineStr">
        <ns0:is>
          <ns0:t>Q'ty NG</ns0:t>
        </ns0:is>
      </ns0:c>
      <ns0:c r="K12" s="82" t="inlineStr">
        <ns0:is>
          <ns0:t>NG rate</ns0:t>
        </ns0:is>
      </ns0:c>
    </ns0:row>
    <ns0:row r="13" ht="12.75" customHeight="1"/>
    <ns0:row r="14" ht="12.75" customHeight="1">
      <ns0:c r="C14" s="82" t="n">
        <ns0:v>1</ns0:v>
      </ns0:c>
      <ns0:c r="D14" s="82">
        <ns0:f>C21</ns0:f>
        <ns0:v/>
      </ns0:c>
      <ns0:c r="G14" s="82">
        <ns0:f>G21</ns0:f>
        <ns0:v/>
      </ns0:c>
      <ns0:c r="I14" s="82">
        <ns0:f>I21</ns0:f>
        <ns0:v/>
      </ns0:c>
      <ns0:c r="J14" s="82">
        <ns0:f>J21</ns0:f>
        <ns0:v/>
      </ns0:c>
      <ns0:c r="K14" s="82">
        <ns0:f>J14/I14</ns0:f>
        <ns0:v/>
      </ns0:c>
    </ns0:row>
    <ns0:row r="15" ht="12.75" customHeight="1">
      <ns0:c r="G15" s="82" t="inlineStr">
        <ns0:is>
          <ns0:t>Ass'y VP + Coil offset, separate</ns0:t>
        </ns0:is>
      </ns0:c>
      <ns0:c r="J15" s="82">
        <ns0:f>J33</ns0:f>
        <ns0:v/>
      </ns0:c>
      <ns0:c r="K15" s="82">
        <ns0:f>J15/I14</ns0:f>
        <ns0:v/>
      </ns0:c>
    </ns0:row>
    <ns0:row r="16" ht="12.75" customHeight="1">
      <ns0:c r="C16" s="82" t="n">
        <ns0:v>2</ns0:v>
      </ns0:c>
      <ns0:c r="D16" s="82">
        <ns0:f>C45</ns0:f>
        <ns0:v/>
      </ns0:c>
      <ns0:c r="G16" s="82">
        <ns0:f>G45</ns0:f>
        <ns0:v/>
      </ns0:c>
      <ns0:c r="J16" s="82">
        <ns0:f>J45</ns0:f>
        <ns0:v/>
      </ns0:c>
      <ns0:c r="K16" s="82">
        <ns0:f>J16/I14</ns0:f>
        <ns0:v/>
      </ns0:c>
    </ns0:row>
    <ns0:row r="19" ht="15" customHeight="1"/>
    <ns0:row r="20" ht="15" customHeight="1">
      <ns0:c r="C20" s="82" t="inlineStr">
        <ns0:is>
          <ns0:t>TYPE</ns0:t>
        </ns0:is>
      </ns0:c>
      <ns0:c r="G20" s="82" t="inlineStr">
        <ns0:is>
          <ns0:t>REASON NG</ns0:t>
        </ns0:is>
      </ns0:c>
      <ns0:c r="I20" s="82" t="inlineStr">
        <ns0:is>
          <ns0:t>Total</ns0:t>
        </ns0:is>
      </ns0:c>
      <ns0:c r="J20" s="82" t="inlineStr">
        <ns0:is>
          <ns0:t>Q'ty</ns0:t>
        </ns0:is>
      </ns0:c>
      <ns0:c r="K20" s="82" t="inlineStr">
        <ns0:is>
          <ns0:t>Portion</ns0:t>
        </ns0:is>
      </ns0:c>
      <ns0:c r="L20" s="82" t="inlineStr">
        <ns0:is>
          <ns0:t>Decap reason</ns0:t>
        </ns0:is>
      </ns0:c>
    </ns0:row>
    <ns0:row r="21" ht="11.25" customHeight="1">
      <ns0:c r="C21" s="82" t="inlineStr">
        <ns0:is>
          <ns0:t>NG FRF+SPL</ns0:t>
        </ns0:is>
      </ns0:c>
      <ns0:c r="G21" s="82" t="inlineStr">
        <ns0:is>
          <ns0:t>Fr+VP separate , offset</ns0:t>
        </ns0:is>
      </ns0:c>
      <ns0:c r="I21" s="82">
        <ns0:f>+J21+J33+J45</ns0:f>
        <ns0:v/>
      </ns0:c>
      <ns0:c r="J21" s="82" t="n">
        <ns0:v>4</ns0:v>
      </ns0:c>
    </ns0:row>
    <ns0:row r="22" ht="11.25" customHeight="1"/>
    <ns0:row r="23" ht="11.25" customHeight="1"/>
    <ns0:row r="24" ht="11.25" customHeight="1"/>
    <ns0:row r="25" ht="11.25" customHeight="1"/>
    <ns0:row r="26" ht="11.25" customHeight="1"/>
    <ns0:row r="27" ht="11.25" customHeight="1"/>
    <ns0:row r="28" ht="11.25" customHeight="1"/>
    <ns0:row r="29" ht="11.25" customHeight="1"/>
    <ns0:row r="30" ht="11.25" customHeight="1"/>
    <ns0:row r="31" ht="11.25" customHeight="1"/>
    <ns0:row r="32" ht="11.25" customHeight="1"/>
    <ns0:row r="33" ht="12.75" customHeight="1">
      <ns0:c r="G33" s="82" t="inlineStr">
        <ns0:is>
          <ns0:t>Ass'y VP + Coil offset, separate</ns0:t>
        </ns0:is>
      </ns0:c>
      <ns0:c r="J33" s="82" t="n">
        <ns0:v>4</ns0:v>
      </ns0:c>
    </ns0:row>
    <ns0:row r="34" ht="12.75" customHeight="1"/>
    <ns0:row r="35" ht="12.75" customHeight="1"/>
    <ns0:row r="36" ht="12.75" customHeight="1"/>
    <ns0:row r="37" ht="12.75" customHeight="1"/>
    <ns0:row r="38" ht="12.75" customHeight="1"/>
    <ns0:row r="39" ht="11.25" customHeight="1"/>
    <ns0:row r="40" ht="11.25" customHeight="1"/>
    <ns0:row r="41" ht="11.25" customHeight="1"/>
    <ns0:row r="42" ht="11.25" customHeight="1"/>
    <ns0:row r="43" ht="11.25" customHeight="1"/>
    <ns0:row r="44" ht="11.25" customHeight="1"/>
    <ns0:row r="45" ht="9.75" customHeight="1">
      <ns0:c r="C45" s="82" t="inlineStr">
        <ns0:is>
          <ns0:t>Don't reason know</ns0:t>
        </ns0:is>
      </ns0:c>
      <ns0:c r="G45" s="82" t="inlineStr">
        <ns0:is>
          <ns0:t>Don't reason know</ns0:t>
        </ns0:is>
      </ns0:c>
      <ns0:c r="J45" s="82" t="n">
        <ns0:v>3</ns0:v>
      </ns0:c>
    </ns0:row>
    <ns0:row r="46" ht="9.75" customHeight="1"/>
    <ns0:row r="47" ht="9.75" customHeight="1"/>
    <ns0:row r="48" ht="9.75" customHeight="1"/>
    <ns0:row r="49" ht="9.75" customHeight="1"/>
    <ns0:row r="50" ht="9.75" customHeight="1"/>
    <ns0:row r="51" ht="9.75" customHeight="1"/>
    <ns0:row r="52" ht="9.75" customHeight="1"/>
    <ns0:row r="53" ht="9.75" customHeight="1"/>
    <ns0:row r="54" ht="9.75" customHeight="1"/>
  </ns0:sheetData>
  <ns0:mergeCells count="1">
    <ns0:mergeCell ref="Q45:Q5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2026-05-13T01:50:28Z</dcterms:created>
  <dcterms:modified xsi:type="dcterms:W3CDTF">2026-05-13T01:50:44Z</dcterms:modified>
</cp:coreProperties>
</file>