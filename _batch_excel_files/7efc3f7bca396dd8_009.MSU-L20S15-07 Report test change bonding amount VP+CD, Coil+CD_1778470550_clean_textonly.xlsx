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맑은 고딕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Z75"/>
  <ns0:sheetViews>
    <ns0:sheetView workbookViewId="0">
      <ns0:selection activeCell="A1" sqref="A1"/>
    </ns0:sheetView>
  </ns0:sheetViews>
  <ns0:sheetFormatPr baseColWidth="8" defaultRowHeight="15"/>
  <ns0:cols>
    <ns0:col width="10.75" customWidth="1" min="2" max="2"/>
    <ns0:col width="16.13" customWidth="1" min="3" max="3"/>
    <ns0:col width="8.130000000000001" customWidth="1" min="4" max="4"/>
    <ns0:col width="8.130000000000001" customWidth="1" min="5" max="5"/>
    <ns0:col width="8.130000000000001" customWidth="1" min="6" max="6"/>
    <ns0:col width="8.130000000000001" customWidth="1" min="7" max="7"/>
    <ns0:col width="8.130000000000001" customWidth="1" min="8" max="8"/>
    <ns0:col width="8.130000000000001" customWidth="1" min="9" max="9"/>
    <ns0:col width="8.130000000000001" customWidth="1" min="10" max="10"/>
    <ns0:col width="8.130000000000001" customWidth="1" min="11" max="11"/>
    <ns0:col width="8.130000000000001" customWidth="1" min="12" max="12"/>
    <ns0:col width="8.130000000000001" customWidth="1" min="13" max="13"/>
    <ns0:col width="8.130000000000001" customWidth="1" min="14" max="14"/>
    <ns0:col width="8.130000000000001" customWidth="1" min="15" max="15"/>
    <ns0:col width="8.130000000000001" customWidth="1" min="16" max="16"/>
    <ns0:col width="8.130000000000001" customWidth="1" min="17" max="17"/>
    <ns0:col width="8.130000000000001" customWidth="1" min="18" max="18"/>
    <ns0:col width="8.130000000000001" customWidth="1" min="19" max="19"/>
    <ns0:col width="8.130000000000001" customWidth="1" min="20" max="20"/>
    <ns0:col width="8.130000000000001" customWidth="1" min="21" max="21"/>
    <ns0:col width="8.130000000000001" customWidth="1" min="22" max="22"/>
    <ns0:col width="8.130000000000001" customWidth="1" min="23" max="23"/>
    <ns0:col width="12" customWidth="1" min="24" max="24"/>
    <ns0:col width="12" customWidth="1" min="25" max="25"/>
    <ns0:col width="22.75" customWidth="1" min="26" max="26"/>
  </ns0:cols>
  <ns0:sheetData>
    <ns0:row r="1" ht="26.25" customHeight="1">
      <ns0:c r="B1" s="1" t="inlineStr">
        <ns0:is>
          <ns0:t>TITLE</ns0:t>
        </ns0:is>
      </ns0:c>
      <ns0:c r="D1" s="1" t="inlineStr">
        <ns0:is>
          <ns0:t>REPORT TEST  BONDING AMOUNT VP+CD, BONDING AMOUNT COIL+CD
MSU-L20S15-07</ns0:t>
        </ns0:is>
      </ns0:c>
      <ns0:c r="Y1" s="1" t="inlineStr">
        <ns0:is>
          <ns0:t>Dept:</ns0:t>
        </ns0:is>
      </ns0:c>
      <ns0:c r="Z1" s="1" t="inlineStr">
        <ns0:is>
          <ns0:t>ME</ns0:t>
        </ns0:is>
      </ns0:c>
    </ns0:row>
    <ns0:row r="2" ht="26.25" customHeight="1">
      <ns0:c r="Y2" s="1" t="inlineStr">
        <ns0:is>
          <ns0:t>Date:</ns0:t>
        </ns0:is>
      </ns0:c>
      <ns0:c r="Z2" s="2" t="n">
        <ns0:v>45695</ns0:v>
      </ns0:c>
    </ns0:row>
    <ns0:row r="3" ht="26.25" customHeight="1">
      <ns0:c r="Y3" s="1" t="inlineStr">
        <ns0:is>
          <ns0:t>Marker:</ns0:t>
        </ns0:is>
      </ns0:c>
      <ns0:c r="Z3" s="1" t="inlineStr">
        <ns0:is>
          <ns0:t>Thuy</ns0:t>
        </ns0:is>
      </ns0:c>
    </ns0:row>
    <ns0:row r="4" ht="26.25" customHeight="1">
      <ns0:c r="B4" s="1" t="inlineStr">
        <ns0:is>
          <ns0:t>I. Purpose.</ns0:t>
        </ns0:is>
      </ns0:c>
    </ns0:row>
    <ns0:row r="5" ht="26.25" customHeight="1"/>
    <ns0:row r="6" ht="18.75" customHeight="1">
      <ns0:c r="B6" s="1" t="inlineStr">
        <ns0:is>
          <ns0:t>II. Content.</ns0:t>
        </ns0:is>
      </ns0:c>
    </ns0:row>
    <ns0:row r="7" ht="18.75" customHeight="1"/>
    <ns0:row r="8" ht="26.25" customHeight="1">
      <ns0:c r="C8" s="1" t="inlineStr">
        <ns0:is>
          <ns0:t>No</ns0:t>
        </ns0:is>
      </ns0:c>
      <ns0:c r="D8" s="1" t="inlineStr">
        <ns0:is>
          <ns0:t>VP+CD Bond amount</ns0:t>
        </ns0:is>
      </ns0:c>
      <ns0:c r="H8" s="1" t="inlineStr">
        <ns0:is>
          <ns0:t>Coil+CD Bond amount</ns0:t>
        </ns0:is>
      </ns0:c>
      <ns0:c r="L8" s="1" t="inlineStr">
        <ns0:is>
          <ns0:t>Q'ty</ns0:t>
        </ns0:is>
      </ns0:c>
    </ns0:row>
    <ns0:row r="9" ht="26.25" customHeight="1">
      <ns0:c r="C9" s="1" t="n">
        <ns0:v>1</ns0:v>
      </ns0:c>
      <ns0:c r="D9" s="1" t="inlineStr">
        <ns0:is>
          <ns0:t>Max Spec</ns0:t>
        </ns0:is>
      </ns0:c>
      <ns0:c r="H9" s="1" t="inlineStr">
        <ns0:is>
          <ns0:t>Max Spec</ns0:t>
        </ns0:is>
      </ns0:c>
      <ns0:c r="L9" s="1" t="inlineStr">
        <ns0:is>
          <ns0:t>100PC</ns0:t>
        </ns0:is>
      </ns0:c>
    </ns0:row>
    <ns0:row r="10" ht="26.25" customHeight="1">
      <ns0:c r="C10" s="1" t="n">
        <ns0:v>2</ns0:v>
      </ns0:c>
      <ns0:c r="D10" s="1" t="inlineStr">
        <ns0:is>
          <ns0:t>Min Spec</ns0:t>
        </ns0:is>
      </ns0:c>
      <ns0:c r="H10" s="1" t="inlineStr">
        <ns0:is>
          <ns0:t>Min Spec</ns0:t>
        </ns0:is>
      </ns0:c>
      <ns0:c r="L10" s="1" t="inlineStr">
        <ns0:is>
          <ns0:t>100PC</ns0:t>
        </ns0:is>
      </ns0:c>
    </ns0:row>
    <ns0:row r="11" ht="26.25" customHeight="1">
      <ns0:c r="C11" s="1" t="n">
        <ns0:v>3</ns0:v>
      </ns0:c>
      <ns0:c r="D11" s="1" t="inlineStr">
        <ns0:is>
          <ns0:t>1.5mg</ns0:t>
        </ns0:is>
      </ns0:c>
      <ns0:c r="H11" s="1" t="inlineStr">
        <ns0:is>
          <ns0:t>Normal</ns0:t>
        </ns0:is>
      </ns0:c>
      <ns0:c r="L11" s="1" t="inlineStr">
        <ns0:is>
          <ns0:t>250PC</ns0:t>
        </ns0:is>
      </ns0:c>
    </ns0:row>
    <ns0:row r="12" ht="26.25" customHeight="1">
      <ns0:c r="C12" s="1" t="n">
        <ns0:v>4</ns0:v>
      </ns0:c>
      <ns0:c r="D12" s="1" t="inlineStr">
        <ns0:is>
          <ns0:t>1.5mg</ns0:t>
        </ns0:is>
      </ns0:c>
      <ns0:c r="H12" s="1" t="inlineStr">
        <ns0:is>
          <ns0:t>Normal</ns0:t>
        </ns0:is>
      </ns0:c>
      <ns0:c r="L12" s="1" t="inlineStr">
        <ns0:is>
          <ns0:t>50PC all keep</ns0:t>
        </ns0:is>
      </ns0:c>
    </ns0:row>
    <ns0:row r="13" ht="26.25" customHeight="1">
      <ns0:c r="B13" s="1" t="inlineStr">
        <ns0:is>
          <ns0:t>1. Check Bonding amount: Before and after marking sample finish</ns0:t>
        </ns0:is>
      </ns0:c>
    </ns0:row>
    <ns0:row r="14" ht="26.25" customHeight="1">
      <ns0:c r="B14" s="1" t="inlineStr">
        <ns0:is>
          <ns0:t>2. Bonding AOI image take each 10pcs</ns0:t>
        </ns0:is>
      </ns0:c>
    </ns0:row>
    <ns0:row r="15" ht="26.25" customHeight="1">
      <ns0:c r="B15" s="1" t="inlineStr">
        <ns0:is>
          <ns0:t>3. Ass'y AOI image take each 10pcs( VP+CD, Coil+CD after ass'y)</ns0:t>
        </ns0:is>
      </ns0:c>
    </ns0:row>
    <ns0:row r="16" ht="26.25" customHeight="1">
      <ns0:c r="B16" s="1" t="inlineStr">
        <ns0:is>
          <ns0:t xml:space="preserve">4. Function NG check </ns0:t>
        </ns0:is>
      </ns0:c>
    </ns0:row>
    <ns0:row r="17" ht="26.25" customHeight="1"/>
    <ns0:row r="18" ht="26.25" customHeight="1">
      <ns0:c r="B18" s="1" t="inlineStr">
        <ns0:is>
          <ns0:t>III. Result.</ns0:t>
        </ns0:is>
      </ns0:c>
    </ns0:row>
    <ns0:row r="19" ht="26.25" customHeight="1">
      <ns0:c r="C19" s="1" t="inlineStr">
        <ns0:is>
          <ns0:t>1. Result checking bonding amount before and after marking sample</ns0:t>
        </ns0:is>
      </ns0:c>
    </ns0:row>
    <ns0:row r="20" ht="26.25" customHeight="1">
      <ns0:c r="C20" s="1" t="inlineStr">
        <ns0:is>
          <ns0:t>Type</ns0:t>
        </ns0:is>
      </ns0:c>
      <ns0:c r="I20" s="1" t="inlineStr">
        <ns0:is>
          <ns0:t>Nozzle</ns0:t>
        </ns0:is>
      </ns0:c>
      <ns0:c r="K20" s="1" t="inlineStr">
        <ns0:is>
          <ns0:t>Bonding amount</ns0:t>
        </ns0:is>
      </ns0:c>
      <ns0:c r="Q20" s="1" t="inlineStr">
        <ns0:is>
          <ns0:t>Gap</ns0:t>
        </ns0:is>
      </ns0:c>
    </ns0:row>
    <ns0:row r="21" ht="26.25" customHeight="1">
      <ns0:c r="K21" s="1" t="inlineStr">
        <ns0:is>
          <ns0:t>Before making</ns0:t>
        </ns0:is>
      </ns0:c>
      <ns0:c r="N21" s="1" t="inlineStr">
        <ns0:is>
          <ns0:t>After making</ns0:t>
        </ns0:is>
      </ns0:c>
    </ns0:row>
    <ns0:row r="22" ht="21" customHeight="1">
      <ns0:c r="C22" s="1" t="inlineStr">
        <ns0:is>
          <ns0:t>VP+CD Bond amount Max  (3.0mg)</ns0:t>
        </ns0:is>
      </ns0:c>
      <ns0:c r="I22" s="1" t="inlineStr">
        <ns0:is>
          <ns0:t>Nozzle 1</ns0:t>
        </ns0:is>
      </ns0:c>
      <ns0:c r="K22" s="1" t="n">
        <ns0:v>2.992</ns0:v>
      </ns0:c>
      <ns0:c r="N22" s="1" t="n">
        <ns0:v>3.17</ns0:v>
      </ns0:c>
      <ns0:c r="Q22" s="1">
        <ns0:f>N22-K22</ns0:f>
        <ns0:v/>
      </ns0:c>
    </ns0:row>
    <ns0:row r="23" ht="26.25" customHeight="1">
      <ns0:c r="I23" s="1" t="inlineStr">
        <ns0:is>
          <ns0:t>Nozzle 2</ns0:t>
        </ns0:is>
      </ns0:c>
      <ns0:c r="K23" s="1" t="n">
        <ns0:v>3.018</ns0:v>
      </ns0:c>
      <ns0:c r="N23" s="1" t="n">
        <ns0:v>3.19</ns0:v>
      </ns0:c>
      <ns0:c r="Q23" s="1">
        <ns0:f>N23-K23</ns0:f>
        <ns0:v/>
      </ns0:c>
    </ns0:row>
    <ns0:row r="24" ht="26.25" customHeight="1">
      <ns0:c r="C24" s="1" t="inlineStr">
        <ns0:is>
          <ns0:t>VP+CD Bond amount Min  (2.6mg)</ns0:t>
        </ns0:is>
      </ns0:c>
      <ns0:c r="I24" s="1" t="inlineStr">
        <ns0:is>
          <ns0:t>Nozzle 1</ns0:t>
        </ns0:is>
      </ns0:c>
      <ns0:c r="K24" s="1" t="n">
        <ns0:v>2.592</ns0:v>
      </ns0:c>
      <ns0:c r="N24" s="1" t="n">
        <ns0:v>2.702</ns0:v>
      </ns0:c>
      <ns0:c r="Q24" s="1">
        <ns0:f>N24-K24</ns0:f>
        <ns0:v/>
      </ns0:c>
    </ns0:row>
    <ns0:row r="25" ht="26.25" customHeight="1">
      <ns0:c r="I25" s="1" t="inlineStr">
        <ns0:is>
          <ns0:t>Nozzle 2</ns0:t>
        </ns0:is>
      </ns0:c>
      <ns0:c r="K25" s="1" t="n">
        <ns0:v>2.614</ns0:v>
      </ns0:c>
      <ns0:c r="N25" s="1" t="n">
        <ns0:v>2.644</ns0:v>
      </ns0:c>
      <ns0:c r="Q25" s="1">
        <ns0:f>N25-K25</ns0:f>
        <ns0:v/>
      </ns0:c>
    </ns0:row>
    <ns0:row r="26" ht="26.25" customHeight="1">
      <ns0:c r="C26" s="1" t="inlineStr">
        <ns0:is>
          <ns0:t>Coil+CD Bond amount Max  (2.8mg)</ns0:t>
        </ns0:is>
      </ns0:c>
      <ns0:c r="I26" s="1" t="inlineStr">
        <ns0:is>
          <ns0:t>Nozzle 1</ns0:t>
        </ns0:is>
      </ns0:c>
      <ns0:c r="K26" s="1" t="n">
        <ns0:v>2.78</ns0:v>
      </ns0:c>
      <ns0:c r="N26" s="1" t="n">
        <ns0:v>2.78</ns0:v>
      </ns0:c>
      <ns0:c r="Q26" s="1">
        <ns0:f>N26-K26</ns0:f>
        <ns0:v/>
      </ns0:c>
    </ns0:row>
    <ns0:row r="27" ht="26.25" customHeight="1">
      <ns0:c r="I27" s="1" t="inlineStr">
        <ns0:is>
          <ns0:t>Nozzle 2</ns0:t>
        </ns0:is>
      </ns0:c>
      <ns0:c r="K27" s="1" t="n">
        <ns0:v>2.8</ns0:v>
      </ns0:c>
      <ns0:c r="N27" s="1" t="n">
        <ns0:v>2.78</ns0:v>
      </ns0:c>
      <ns0:c r="Q27" s="1">
        <ns0:f>N27-K27</ns0:f>
        <ns0:v/>
      </ns0:c>
    </ns0:row>
    <ns0:row r="28" ht="21" customHeight="1">
      <ns0:c r="C28" s="1" t="inlineStr">
        <ns0:is>
          <ns0:t>Coil+CD Bond amount Min  (2.6mg)</ns0:t>
        </ns0:is>
      </ns0:c>
      <ns0:c r="I28" s="1" t="inlineStr">
        <ns0:is>
          <ns0:t>Nozzle 1</ns0:t>
        </ns0:is>
      </ns0:c>
      <ns0:c r="K28" s="1" t="n">
        <ns0:v>2.6</ns0:v>
      </ns0:c>
      <ns0:c r="N28" s="1" t="n">
        <ns0:v>2.56</ns0:v>
      </ns0:c>
      <ns0:c r="Q28" s="1">
        <ns0:f>N28-K28</ns0:f>
        <ns0:v/>
      </ns0:c>
    </ns0:row>
    <ns0:row r="29" ht="26.25" customHeight="1">
      <ns0:c r="I29" s="1" t="inlineStr">
        <ns0:is>
          <ns0:t>Nozzle 2</ns0:t>
        </ns0:is>
      </ns0:c>
      <ns0:c r="K29" s="1" t="n">
        <ns0:v>2.62</ns0:v>
      </ns0:c>
      <ns0:c r="N29" s="1" t="n">
        <ns0:v>2.56</ns0:v>
      </ns0:c>
      <ns0:c r="Q29" s="1">
        <ns0:f>N29-K29</ns0:f>
        <ns0:v/>
      </ns0:c>
    </ns0:row>
    <ns0:row r="30" ht="26.25" customHeight="1">
      <ns0:c r="C30" s="1" t="inlineStr">
        <ns0:is>
          <ns0:t>2. Function NG Rate</ns0:t>
        </ns0:is>
      </ns0:c>
    </ns0:row>
    <ns0:row r="31" ht="21" customHeight="1">
      <ns0:c r="C31" s="1" t="inlineStr">
        <ns0:is>
          <ns0:t>Test Type</ns0:t>
        </ns0:is>
      </ns0:c>
      <ns0:c r="H31" s="1" t="inlineStr">
        <ns0:is>
          <ns0:t>Air leak</ns0:t>
        </ns0:is>
      </ns0:c>
      <ns0:c r="K31" s="1" t="inlineStr">
        <ns0:is>
          <ns0:t>Sigma</ns0:t>
        </ns0:is>
      </ns0:c>
      <ns0:c r="R31" s="1" t="inlineStr">
        <ns0:is>
          <ns0:t>Hearing ( Normal  voltage)</ns0:t>
        </ns0:is>
      </ns0:c>
      <ns0:c r="X31" s="1" t="inlineStr">
        <ns0:is>
          <ns0:t>Total NG</ns0:t>
        </ns0:is>
      </ns0:c>
      <ns0:c r="Y31" s="1" t="inlineStr">
        <ns0:is>
          <ns0:t>Total
 NG Rate</ns0:t>
        </ns0:is>
      </ns0:c>
    </ns0:row>
    <ns0:row r="32" ht="33" customHeight="1">
      <ns0:c r="H32" s="1" t="inlineStr">
        <ns0:is>
          <ns0:t>Input</ns0:t>
        </ns0:is>
      </ns0:c>
      <ns0:c r="I32" s="1" t="inlineStr">
        <ns0:is>
          <ns0:t>NG</ns0:t>
        </ns0:is>
      </ns0:c>
      <ns0:c r="J32" s="1" t="inlineStr">
        <ns0:is>
          <ns0:t>NG rate</ns0:t>
        </ns0:is>
      </ns0:c>
      <ns0:c r="K32" s="1" t="inlineStr">
        <ns0:is>
          <ns0:t>Input</ns0:t>
        </ns0:is>
      </ns0:c>
      <ns0:c r="L32" s="1" t="inlineStr">
        <ns0:is>
          <ns0:t>SPL</ns0:t>
        </ns0:is>
      </ns0:c>
      <ns0:c r="M32" s="1" t="inlineStr">
        <ns0:is>
          <ns0:t>THD</ns0:t>
        </ns0:is>
      </ns0:c>
      <ns0:c r="N32" s="1" t="inlineStr">
        <ns0:is>
          <ns0:t>SPL+THD</ns0:t>
        </ns0:is>
      </ns0:c>
      <ns0:c r="O32" s="1" t="inlineStr">
        <ns0:is>
          <ns0:t>SPL+F0+THD</ns0:t>
        </ns0:is>
      </ns0:c>
      <ns0:c r="P32" s="1" t="inlineStr">
        <ns0:is>
          <ns0:t>Total NG</ns0:t>
        </ns0:is>
      </ns0:c>
      <ns0:c r="Q32" s="1" t="inlineStr">
        <ns0:is>
          <ns0:t>NG rate</ns0:t>
        </ns0:is>
      </ns0:c>
      <ns0:c r="R32" s="1" t="inlineStr">
        <ns0:is>
          <ns0:t>Input</ns0:t>
        </ns0:is>
      </ns0:c>
      <ns0:c r="S32" s="1" t="inlineStr">
        <ns0:is>
          <ns0:t>Noise</ns0:t>
        </ns0:is>
      </ns0:c>
      <ns0:c r="T32" s="1" t="inlineStr">
        <ns0:is>
          <ns0:t>Touch</ns0:t>
        </ns0:is>
      </ns0:c>
      <ns0:c r="U32" s="1" t="inlineStr">
        <ns0:is>
          <ns0:t>No sound</ns0:t>
        </ns0:is>
      </ns0:c>
      <ns0:c r="V32" s="1" t="inlineStr">
        <ns0:is>
          <ns0:t>Total NG</ns0:t>
        </ns0:is>
      </ns0:c>
      <ns0:c r="W32" s="1" t="inlineStr">
        <ns0:is>
          <ns0:t>NG rate</ns0:t>
        </ns0:is>
      </ns0:c>
    </ns0:row>
    <ns0:row r="33" ht="30" customHeight="1">
      <ns0:c r="C33" s="1" t="inlineStr">
        <ns0:is>
          <ns0:t xml:space="preserve">VP+CD bond Max, Coil +CD bond Max  </ns0:t>
        </ns0:is>
      </ns0:c>
      <ns0:c r="H33" s="1" t="n">
        <ns0:v>118</ns0:v>
      </ns0:c>
      <ns0:c r="I33" s="1" t="n">
        <ns0:v>0</ns0:v>
      </ns0:c>
      <ns0:c r="J33" s="1">
        <ns0:f>I33/H33</ns0:f>
        <ns0:v/>
      </ns0:c>
      <ns0:c r="K33" s="1" t="n">
        <ns0:v>118</ns0:v>
      </ns0:c>
      <ns0:c r="L33" s="1" t="n">
        <ns0:v>0</ns0:v>
      </ns0:c>
      <ns0:c r="M33" s="1" t="n">
        <ns0:v>0</ns0:v>
      </ns0:c>
      <ns0:c r="N33" s="1" t="n">
        <ns0:v>1</ns0:v>
      </ns0:c>
      <ns0:c r="O33" s="1" t="n">
        <ns0:v>0</ns0:v>
      </ns0:c>
      <ns0:c r="P33" s="1">
        <ns0:f>SUM(L33:O33)</ns0:f>
        <ns0:v/>
      </ns0:c>
      <ns0:c r="Q33" s="1">
        <ns0:f>P33/K33</ns0:f>
        <ns0:v/>
      </ns0:c>
      <ns0:c r="R33" s="1" t="n">
        <ns0:v>117</ns0:v>
      </ns0:c>
      <ns0:c r="S33" s="1" t="n">
        <ns0:v>3</ns0:v>
      </ns0:c>
      <ns0:c r="T33" s="1" t="n">
        <ns0:v>8</ns0:v>
      </ns0:c>
      <ns0:c r="U33" s="1" t="n">
        <ns0:v>0</ns0:v>
      </ns0:c>
      <ns0:c r="V33" s="1">
        <ns0:f>SUM(S33:U33)</ns0:f>
        <ns0:v/>
      </ns0:c>
      <ns0:c r="W33" s="1">
        <ns0:f>V33/R33</ns0:f>
        <ns0:v/>
      </ns0:c>
      <ns0:c r="X33" s="1">
        <ns0:f>+V33+P33+I33</ns0:f>
        <ns0:v/>
      </ns0:c>
      <ns0:c r="Y33" s="1">
        <ns0:f>+X33/H33</ns0:f>
        <ns0:v/>
      </ns0:c>
    </ns0:row>
    <ns0:row r="34" ht="30" customHeight="1">
      <ns0:c r="C34" s="1" t="inlineStr">
        <ns0:is>
          <ns0:t>VP+CD bond Min, Coil +CD bond Min</ns0:t>
        </ns0:is>
      </ns0:c>
      <ns0:c r="H34" s="1" t="n">
        <ns0:v>115</ns0:v>
      </ns0:c>
      <ns0:c r="I34" s="1" t="n">
        <ns0:v>0</ns0:v>
      </ns0:c>
      <ns0:c r="J34" s="1">
        <ns0:f>I34/H34</ns0:f>
        <ns0:v/>
      </ns0:c>
      <ns0:c r="K34" s="1" t="n">
        <ns0:v>115</ns0:v>
      </ns0:c>
      <ns0:c r="L34" s="1" t="n">
        <ns0:v>0</ns0:v>
      </ns0:c>
      <ns0:c r="M34" s="1" t="n">
        <ns0:v>0</ns0:v>
      </ns0:c>
      <ns0:c r="N34" s="1" t="n">
        <ns0:v>0</ns0:v>
      </ns0:c>
      <ns0:c r="O34" s="1" t="n">
        <ns0:v>0</ns0:v>
      </ns0:c>
      <ns0:c r="P34" s="1">
        <ns0:f>SUM(L34:O34)</ns0:f>
        <ns0:v/>
      </ns0:c>
      <ns0:c r="Q34" s="1">
        <ns0:f>P34/K34</ns0:f>
        <ns0:v/>
      </ns0:c>
      <ns0:c r="R34" s="1" t="n">
        <ns0:v>115</ns0:v>
      </ns0:c>
      <ns0:c r="S34" s="1" t="n">
        <ns0:v>7</ns0:v>
      </ns0:c>
      <ns0:c r="T34" s="1" t="n">
        <ns0:v>14</ns0:v>
      </ns0:c>
      <ns0:c r="U34" s="1" t="n">
        <ns0:v>0</ns0:v>
      </ns0:c>
      <ns0:c r="V34" s="1">
        <ns0:f>SUM(S34:U34)</ns0:f>
        <ns0:v/>
      </ns0:c>
      <ns0:c r="W34" s="1">
        <ns0:f>V34/R34</ns0:f>
        <ns0:v/>
      </ns0:c>
      <ns0:c r="X34" s="1">
        <ns0:f>+V34+P34+I34</ns0:f>
        <ns0:v/>
      </ns0:c>
      <ns0:c r="Y34" s="1">
        <ns0:f>+X34/H34</ns0:f>
        <ns0:v/>
      </ns0:c>
    </ns0:row>
    <ns0:row r="35" ht="30" customHeight="1">
      <ns0:c r="C35" s="1" t="inlineStr">
        <ns0:is>
          <ns0:t>VP+CD bond 1.5mg, Coil +CD bond normal</ns0:t>
        </ns0:is>
      </ns0:c>
      <ns0:c r="H35" s="1" t="n">
        <ns0:v>258</ns0:v>
      </ns0:c>
      <ns0:c r="I35" s="1" t="n">
        <ns0:v>0</ns0:v>
      </ns0:c>
      <ns0:c r="J35" s="1">
        <ns0:f>I35/H35</ns0:f>
        <ns0:v/>
      </ns0:c>
      <ns0:c r="K35" s="1" t="n">
        <ns0:v>258</ns0:v>
      </ns0:c>
      <ns0:c r="L35" s="1" t="n">
        <ns0:v>0</ns0:v>
      </ns0:c>
      <ns0:c r="M35" s="1" t="n">
        <ns0:v>4</ns0:v>
      </ns0:c>
      <ns0:c r="N35" s="1" t="n">
        <ns0:v>0</ns0:v>
      </ns0:c>
      <ns0:c r="O35" s="1" t="n">
        <ns0:v>0</ns0:v>
      </ns0:c>
      <ns0:c r="P35" s="1">
        <ns0:f>SUM(L35:O35)</ns0:f>
        <ns0:v/>
      </ns0:c>
      <ns0:c r="Q35" s="1">
        <ns0:f>P35/K35</ns0:f>
        <ns0:v/>
      </ns0:c>
      <ns0:c r="R35" s="1" t="n">
        <ns0:v>254</ns0:v>
      </ns0:c>
      <ns0:c r="S35" s="1" t="n">
        <ns0:v>51</ns0:v>
      </ns0:c>
      <ns0:c r="T35" s="1" t="n">
        <ns0:v>50</ns0:v>
      </ns0:c>
      <ns0:c r="U35" s="1" t="n">
        <ns0:v>0</ns0:v>
      </ns0:c>
      <ns0:c r="V35" s="1">
        <ns0:f>SUM(S35:U35)</ns0:f>
        <ns0:v/>
      </ns0:c>
      <ns0:c r="W35" s="1">
        <ns0:f>V35/R35</ns0:f>
        <ns0:v/>
      </ns0:c>
      <ns0:c r="X35" s="1">
        <ns0:f>+V35+P35+I35</ns0:f>
        <ns0:v/>
      </ns0:c>
      <ns0:c r="Y35" s="1">
        <ns0:f>+X35/H35</ns0:f>
        <ns0:v/>
      </ns0:c>
    </ns0:row>
    <ns0:row r="36" ht="30" customHeight="1">
      <ns0:c r="C36" s="1" t="inlineStr">
        <ns0:is>
          <ns0:t>Normal line</ns0:t>
        </ns0:is>
      </ns0:c>
      <ns0:c r="H36" s="1" t="n">
        <ns0:v>504</ns0:v>
      </ns0:c>
      <ns0:c r="I36" s="1" t="n">
        <ns0:v>0</ns0:v>
      </ns0:c>
      <ns0:c r="J36" s="1">
        <ns0:f>I36/H36</ns0:f>
        <ns0:v/>
      </ns0:c>
      <ns0:c r="K36" s="1" t="n">
        <ns0:v>504</ns0:v>
      </ns0:c>
      <ns0:c r="L36" s="1" t="n">
        <ns0:v>0</ns0:v>
      </ns0:c>
      <ns0:c r="M36" s="1" t="n">
        <ns0:v>1</ns0:v>
      </ns0:c>
      <ns0:c r="N36" s="1" t="n">
        <ns0:v>0</ns0:v>
      </ns0:c>
      <ns0:c r="O36" s="1" t="n">
        <ns0:v>0</ns0:v>
      </ns0:c>
      <ns0:c r="P36" s="1">
        <ns0:f>SUM(L36:O36)</ns0:f>
        <ns0:v/>
      </ns0:c>
      <ns0:c r="Q36" s="1">
        <ns0:f>P36/K36</ns0:f>
        <ns0:v/>
      </ns0:c>
      <ns0:c r="R36" s="1" t="n">
        <ns0:v>503</ns0:v>
      </ns0:c>
      <ns0:c r="S36" s="1" t="n">
        <ns0:v>16</ns0:v>
      </ns0:c>
      <ns0:c r="T36" s="1" t="n">
        <ns0:v>23</ns0:v>
      </ns0:c>
      <ns0:c r="U36" s="1" t="n">
        <ns0:v>0</ns0:v>
      </ns0:c>
      <ns0:c r="V36" s="1">
        <ns0:f>SUM(S36:U36)</ns0:f>
        <ns0:v/>
      </ns0:c>
      <ns0:c r="W36" s="1">
        <ns0:f>V36/R36</ns0:f>
        <ns0:v/>
      </ns0:c>
      <ns0:c r="X36" s="1">
        <ns0:f>+V36+P36+I36</ns0:f>
        <ns0:v/>
      </ns0:c>
      <ns0:c r="Y36" s="1">
        <ns0:f>+X36/H36</ns0:f>
        <ns0:v/>
      </ns0:c>
    </ns0:row>
    <ns0:row r="37" ht="26.25" customHeight="1"/>
    <ns0:row r="38" ht="26.25" customHeight="1"/>
    <ns0:row r="39" ht="20.25" customHeight="1"/>
    <ns0:row r="40" ht="20.25" customHeight="1">
      <ns0:c r="B40" s="1" t="inlineStr">
        <ns0:is>
          <ns0:t>IV. Decision.</ns0:t>
        </ns0:is>
      </ns0:c>
    </ns0:row>
    <ns0:row r="41" ht="26.25" customHeight="1"/>
    <ns0:row r="42" ht="26.25" customHeight="1"/>
    <ns0:row r="43" ht="26.25" customHeight="1"/>
    <ns0:row r="44" ht="20.25" customHeight="1"/>
    <ns0:row r="45" ht="20.25" customHeight="1"/>
    <ns0:row r="46" ht="20.25" customHeight="1"/>
    <ns0:row r="47" ht="20.25" customHeight="1"/>
    <ns0:row r="48" ht="20.25" customHeight="1"/>
    <ns0:row r="49" ht="20.25" customHeight="1"/>
    <ns0:row r="50" ht="20.25" customHeight="1"/>
    <ns0:row r="51" ht="20.25" customHeight="1"/>
    <ns0:row r="52" ht="20.25" customHeight="1"/>
    <ns0:row r="53" ht="20.25" customHeight="1"/>
    <ns0:row r="54" ht="20.25" customHeight="1"/>
    <ns0:row r="55" ht="20.25" customHeight="1"/>
    <ns0:row r="56" ht="20.25" customHeight="1"/>
    <ns0:row r="57" ht="20.25" customHeight="1"/>
    <ns0:row r="58" ht="20.25" customHeight="1"/>
    <ns0:row r="59" ht="20.25" customHeight="1"/>
    <ns0:row r="60" ht="20.25" customHeight="1"/>
    <ns0:row r="61" ht="20.25" customHeight="1"/>
    <ns0:row r="62" ht="20.25" customHeight="1"/>
    <ns0:row r="63" ht="20.25" customHeight="1"/>
    <ns0:row r="64" ht="20.25" customHeight="1"/>
    <ns0:row r="65" ht="20.25" customHeight="1"/>
    <ns0:row r="66" ht="20.25" customHeight="1"/>
    <ns0:row r="67" ht="20.25" customHeight="1"/>
    <ns0:row r="68" ht="20.25" customHeight="1"/>
    <ns0:row r="69" ht="20.25" customHeight="1"/>
    <ns0:row r="70" ht="20.25" customHeight="1"/>
    <ns0:row r="71" ht="20.25" customHeight="1"/>
    <ns0:row r="72" ht="20.25" customHeight="1"/>
    <ns0:row r="73" ht="20.25" customHeight="1"/>
    <ns0:row r="74" ht="20.25" customHeight="1"/>
    <ns0:row r="75" ht="20.25" customHeight="1">
      <ns0:c r="B75" s="1" t="inlineStr">
        <ns0:is>
          <ns0:t>D</ns0:t>
        </ns0:is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4:AC15"/>
  <ns0:sheetViews>
    <ns0:sheetView workbookViewId="0">
      <ns0:selection activeCell="A1" sqref="A1"/>
    </ns0:sheetView>
  </ns0:sheetViews>
  <ns0:sheetFormatPr baseColWidth="8" defaultRowHeight="15"/>
  <ns0:cols>
    <ns0:col width="8.380000000000001" customWidth="1" min="2" max="2"/>
    <ns0:col width="8.380000000000001" customWidth="1" min="3" max="3"/>
    <ns0:col width="8.380000000000001" customWidth="1" min="4" max="4"/>
    <ns0:col width="8.380000000000001" customWidth="1" min="5" max="5"/>
    <ns0:col width="7" customWidth="1" min="6" max="6"/>
    <ns0:col width="7" customWidth="1" min="7" max="7"/>
    <ns0:col width="7" customWidth="1" min="8" max="8"/>
    <ns0:col width="7" customWidth="1" min="9" max="9"/>
    <ns0:col width="7" customWidth="1" min="10" max="10"/>
    <ns0:col width="7" customWidth="1" min="11" max="11"/>
    <ns0:col width="7" customWidth="1" min="12" max="12"/>
    <ns0:col width="7" customWidth="1" min="13" max="13"/>
    <ns0:col width="7" customWidth="1" min="14" max="14"/>
    <ns0:col width="7" customWidth="1" min="15" max="15"/>
    <ns0:col width="7" customWidth="1" min="16" max="16"/>
    <ns0:col width="7" customWidth="1" min="17" max="17"/>
    <ns0:col width="7" customWidth="1" min="18" max="18"/>
    <ns0:col width="7" customWidth="1" min="19" max="19"/>
    <ns0:col width="7" customWidth="1" min="20" max="20"/>
    <ns0:col width="7" customWidth="1" min="21" max="21"/>
    <ns0:col width="7" customWidth="1" min="22" max="22"/>
    <ns0:col width="7" customWidth="1" min="23" max="23"/>
    <ns0:col width="7" customWidth="1" min="24" max="24"/>
    <ns0:col width="7" customWidth="1" min="25" max="25"/>
    <ns0:col width="7" customWidth="1" min="26" max="26"/>
    <ns0:col width="7" customWidth="1" min="27" max="27"/>
    <ns0:col width="7" customWidth="1" min="28" max="28"/>
    <ns0:col width="7" customWidth="1" min="29" max="29"/>
  </ns0:cols>
  <ns0:sheetData>
    <ns0:row r="4" ht="17.25" customHeight="1">
      <ns0:c r="B4" s="3" t="inlineStr">
        <ns0:is>
          <ns0:t>Test Type</ns0:t>
        </ns0:is>
      </ns0:c>
      <ns0:c r="F4" s="3" t="inlineStr">
        <ns0:is>
          <ns0:t>Air leak</ns0:t>
        </ns0:is>
      </ns0:c>
      <ns0:c r="I4" s="3" t="inlineStr">
        <ns0:is>
          <ns0:t>Sigma</ns0:t>
        </ns0:is>
      </ns0:c>
      <ns0:c r="P4" s="3" t="inlineStr">
        <ns0:is>
          <ns0:t>Hearing ( Normal  voltage)</ns0:t>
        </ns0:is>
      </ns0:c>
      <ns0:c r="V4" s="3" t="inlineStr">
        <ns0:is>
          <ns0:t>Total NG</ns0:t>
        </ns0:is>
      </ns0:c>
      <ns0:c r="W4" s="3" t="inlineStr">
        <ns0:is>
          <ns0:t>Total
 NG Rate</ns0:t>
        </ns0:is>
      </ns0:c>
    </ns0:row>
    <ns0:row r="5" ht="33" customHeight="1">
      <ns0:c r="F5" s="3" t="inlineStr">
        <ns0:is>
          <ns0:t>Input</ns0:t>
        </ns0:is>
      </ns0:c>
      <ns0:c r="G5" s="3" t="inlineStr">
        <ns0:is>
          <ns0:t>NG</ns0:t>
        </ns0:is>
      </ns0:c>
      <ns0:c r="H5" s="3" t="inlineStr">
        <ns0:is>
          <ns0:t>NG rate</ns0:t>
        </ns0:is>
      </ns0:c>
      <ns0:c r="I5" s="3" t="inlineStr">
        <ns0:is>
          <ns0:t>Input</ns0:t>
        </ns0:is>
      </ns0:c>
      <ns0:c r="J5" s="3" t="inlineStr">
        <ns0:is>
          <ns0:t>SPL</ns0:t>
        </ns0:is>
      </ns0:c>
      <ns0:c r="K5" s="3" t="inlineStr">
        <ns0:is>
          <ns0:t>THD</ns0:t>
        </ns0:is>
      </ns0:c>
      <ns0:c r="L5" s="3" t="inlineStr">
        <ns0:is>
          <ns0:t>SPL+THD</ns0:t>
        </ns0:is>
      </ns0:c>
      <ns0:c r="M5" s="3" t="inlineStr">
        <ns0:is>
          <ns0:t>SPL+F0+THD</ns0:t>
        </ns0:is>
      </ns0:c>
      <ns0:c r="N5" s="3" t="inlineStr">
        <ns0:is>
          <ns0:t>Total NG</ns0:t>
        </ns0:is>
      </ns0:c>
      <ns0:c r="O5" s="3" t="inlineStr">
        <ns0:is>
          <ns0:t>NG rate</ns0:t>
        </ns0:is>
      </ns0:c>
      <ns0:c r="P5" s="3" t="inlineStr">
        <ns0:is>
          <ns0:t>Input</ns0:t>
        </ns0:is>
      </ns0:c>
      <ns0:c r="Q5" s="3" t="inlineStr">
        <ns0:is>
          <ns0:t>Noise</ns0:t>
        </ns0:is>
      </ns0:c>
      <ns0:c r="R5" s="3" t="inlineStr">
        <ns0:is>
          <ns0:t>Touch</ns0:t>
        </ns0:is>
      </ns0:c>
      <ns0:c r="S5" s="3" t="inlineStr">
        <ns0:is>
          <ns0:t>No sound</ns0:t>
        </ns0:is>
      </ns0:c>
      <ns0:c r="T5" s="3" t="inlineStr">
        <ns0:is>
          <ns0:t>Total NG</ns0:t>
        </ns0:is>
      </ns0:c>
      <ns0:c r="U5" s="3" t="inlineStr">
        <ns0:is>
          <ns0:t>NG rate</ns0:t>
        </ns0:is>
      </ns0:c>
    </ns0:row>
    <ns0:row r="6" ht="20.25" customHeight="1">
      <ns0:c r="B6" s="3" t="inlineStr">
        <ns0:is>
          <ns0:t>Use nozzle VZ05</ns0:t>
        </ns0:is>
      </ns0:c>
      <ns0:c r="F6" s="3" t="n">
        <ns0:v>110</ns0:v>
      </ns0:c>
      <ns0:c r="G6" s="3" t="n">
        <ns0:v>0</ns0:v>
      </ns0:c>
      <ns0:c r="H6" s="3">
        <ns0:f>G6/F6</ns0:f>
        <ns0:v/>
      </ns0:c>
      <ns0:c r="I6" s="3" t="n">
        <ns0:v>110</ns0:v>
      </ns0:c>
      <ns0:c r="J6" s="3" t="n">
        <ns0:v>0</ns0:v>
      </ns0:c>
      <ns0:c r="K6" s="3" t="n">
        <ns0:v>1</ns0:v>
      </ns0:c>
      <ns0:c r="L6" s="3" t="n">
        <ns0:v>0</ns0:v>
      </ns0:c>
      <ns0:c r="M6" s="3" t="n">
        <ns0:v>0</ns0:v>
      </ns0:c>
      <ns0:c r="N6" s="3">
        <ns0:f>SUM(J6:M6)</ns0:f>
        <ns0:v/>
      </ns0:c>
      <ns0:c r="O6" s="3">
        <ns0:f>N6/I6</ns0:f>
        <ns0:v/>
      </ns0:c>
      <ns0:c r="P6" s="3" t="n">
        <ns0:v>109</ns0:v>
      </ns0:c>
      <ns0:c r="Q6" s="3" t="n">
        <ns0:v>5</ns0:v>
      </ns0:c>
      <ns0:c r="R6" s="3" t="n">
        <ns0:v>1</ns0:v>
      </ns0:c>
      <ns0:c r="S6" s="3" t="n">
        <ns0:v>0</ns0:v>
      </ns0:c>
      <ns0:c r="T6" s="3">
        <ns0:f>SUM(Q6:S6)</ns0:f>
        <ns0:v/>
      </ns0:c>
      <ns0:c r="U6" s="3">
        <ns0:f>T6/P6</ns0:f>
        <ns0:v/>
      </ns0:c>
      <ns0:c r="V6" s="3">
        <ns0:f>+T6+N6+G6</ns0:f>
        <ns0:v/>
      </ns0:c>
      <ns0:c r="W6" s="3">
        <ns0:f>+V6/F6</ns0:f>
        <ns0:v/>
      </ns0:c>
    </ns0:row>
    <ns0:row r="7" ht="20.25" customHeight="1">
      <ns0:c r="B7" s="3" t="inlineStr">
        <ns0:is>
          <ns0:t>Plassma CD 2 edge</ns0:t>
        </ns0:is>
      </ns0:c>
      <ns0:c r="F7" s="3" t="n">
        <ns0:v>138</ns0:v>
      </ns0:c>
      <ns0:c r="G7" s="3" t="n">
        <ns0:v>0</ns0:v>
      </ns0:c>
      <ns0:c r="H7" s="3">
        <ns0:f>G7/F7</ns0:f>
        <ns0:v/>
      </ns0:c>
      <ns0:c r="I7" s="3" t="n">
        <ns0:v>138</ns0:v>
      </ns0:c>
      <ns0:c r="J7" s="3" t="n">
        <ns0:v>0</ns0:v>
      </ns0:c>
      <ns0:c r="K7" s="3" t="n">
        <ns0:v>0</ns0:v>
      </ns0:c>
      <ns0:c r="L7" s="3" t="n">
        <ns0:v>0</ns0:v>
      </ns0:c>
      <ns0:c r="M7" s="3" t="n">
        <ns0:v>0</ns0:v>
      </ns0:c>
      <ns0:c r="N7" s="3">
        <ns0:f>SUM(J7:M7)</ns0:f>
        <ns0:v/>
      </ns0:c>
      <ns0:c r="O7" s="3">
        <ns0:f>N7/I7</ns0:f>
        <ns0:v/>
      </ns0:c>
      <ns0:c r="P7" s="3" t="n">
        <ns0:v>138</ns0:v>
      </ns0:c>
      <ns0:c r="Q7" s="3" t="n">
        <ns0:v>18</ns0:v>
      </ns0:c>
      <ns0:c r="R7" s="3" t="n">
        <ns0:v>13</ns0:v>
      </ns0:c>
      <ns0:c r="S7" s="3" t="n">
        <ns0:v>0</ns0:v>
      </ns0:c>
      <ns0:c r="T7" s="3">
        <ns0:f>SUM(Q7:S7)</ns0:f>
        <ns0:v/>
      </ns0:c>
      <ns0:c r="U7" s="3">
        <ns0:f>T7/P7</ns0:f>
        <ns0:v/>
      </ns0:c>
      <ns0:c r="V7" s="3">
        <ns0:f>+T7+N7+G7</ns0:f>
        <ns0:v/>
      </ns0:c>
      <ns0:c r="W7" s="3">
        <ns0:f>+V7/F7</ns0:f>
        <ns0:v/>
      </ns0:c>
    </ns0:row>
    <ns0:row r="8" ht="20.25" customHeight="1">
      <ns0:c r="B8" s="3" t="inlineStr">
        <ns0:is>
          <ns0:t>Reduce bonding amount ( 2.0 ~2.2)mg</ns0:t>
        </ns0:is>
      </ns0:c>
      <ns0:c r="F8" s="3" t="n">
        <ns0:v>96</ns0:v>
      </ns0:c>
      <ns0:c r="G8" s="3" t="n">
        <ns0:v>0</ns0:v>
      </ns0:c>
      <ns0:c r="H8" s="3">
        <ns0:f>G8/F8</ns0:f>
        <ns0:v/>
      </ns0:c>
      <ns0:c r="I8" s="3" t="n">
        <ns0:v>96</ns0:v>
      </ns0:c>
      <ns0:c r="J8" s="3" t="n">
        <ns0:v>0</ns0:v>
      </ns0:c>
      <ns0:c r="K8" s="3" t="n">
        <ns0:v>0</ns0:v>
      </ns0:c>
      <ns0:c r="L8" s="3" t="n">
        <ns0:v>0</ns0:v>
      </ns0:c>
      <ns0:c r="M8" s="3" t="n">
        <ns0:v>0</ns0:v>
      </ns0:c>
      <ns0:c r="N8" s="3">
        <ns0:f>SUM(J8:M8)</ns0:f>
        <ns0:v/>
      </ns0:c>
      <ns0:c r="O8" s="3">
        <ns0:f>N8/I8</ns0:f>
        <ns0:v/>
      </ns0:c>
      <ns0:c r="P8" s="3" t="n">
        <ns0:v>96</ns0:v>
      </ns0:c>
      <ns0:c r="Q8" s="3" t="n">
        <ns0:v>9</ns0:v>
      </ns0:c>
      <ns0:c r="R8" s="3" t="n">
        <ns0:v>4</ns0:v>
      </ns0:c>
      <ns0:c r="S8" s="3" t="n">
        <ns0:v>0</ns0:v>
      </ns0:c>
      <ns0:c r="T8" s="3">
        <ns0:f>SUM(Q8:S8)</ns0:f>
        <ns0:v/>
      </ns0:c>
      <ns0:c r="U8" s="3">
        <ns0:f>T8/P8</ns0:f>
        <ns0:v/>
      </ns0:c>
      <ns0:c r="V8" s="3">
        <ns0:f>+T8+N8+G8</ns0:f>
        <ns0:v/>
      </ns0:c>
      <ns0:c r="W8" s="3">
        <ns0:f>+V8/F8</ns0:f>
        <ns0:v/>
      </ns0:c>
    </ns0:row>
    <ns0:row r="9" ht="20.25" customHeight="1">
      <ns0:c r="B9" s="3" t="inlineStr">
        <ns0:is>
          <ns0:t xml:space="preserve">Normal line </ns0:t>
        </ns0:is>
      </ns0:c>
      <ns0:c r="F9" s="3" t="n">
        <ns0:v>504</ns0:v>
      </ns0:c>
      <ns0:c r="G9" s="3" t="n">
        <ns0:v>0</ns0:v>
      </ns0:c>
      <ns0:c r="H9" s="3">
        <ns0:f>G9/F9</ns0:f>
        <ns0:v/>
      </ns0:c>
      <ns0:c r="I9" s="3" t="n">
        <ns0:v>504</ns0:v>
      </ns0:c>
      <ns0:c r="J9" s="3" t="n">
        <ns0:v>0</ns0:v>
      </ns0:c>
      <ns0:c r="K9" s="3" t="n">
        <ns0:v>1</ns0:v>
      </ns0:c>
      <ns0:c r="L9" s="3" t="n">
        <ns0:v>0</ns0:v>
      </ns0:c>
      <ns0:c r="M9" s="3" t="n">
        <ns0:v>0</ns0:v>
      </ns0:c>
      <ns0:c r="N9" s="3">
        <ns0:f>SUM(J9:M9)</ns0:f>
        <ns0:v/>
      </ns0:c>
      <ns0:c r="O9" s="3">
        <ns0:f>N9/I9</ns0:f>
        <ns0:v/>
      </ns0:c>
      <ns0:c r="P9" s="3" t="n">
        <ns0:v>503</ns0:v>
      </ns0:c>
      <ns0:c r="Q9" s="3" t="n">
        <ns0:v>16</ns0:v>
      </ns0:c>
      <ns0:c r="R9" s="3" t="n">
        <ns0:v>23</ns0:v>
      </ns0:c>
      <ns0:c r="S9" s="3" t="n">
        <ns0:v>1</ns0:v>
      </ns0:c>
      <ns0:c r="T9" s="3">
        <ns0:f>SUM(Q9:S9)</ns0:f>
        <ns0:v/>
      </ns0:c>
      <ns0:c r="U9" s="3">
        <ns0:f>T9/P9</ns0:f>
        <ns0:v/>
      </ns0:c>
      <ns0:c r="V9" s="3">
        <ns0:f>+T9+N9+G9</ns0:f>
        <ns0:v/>
      </ns0:c>
      <ns0:c r="W9" s="3">
        <ns0:f>+V9/F9</ns0:f>
        <ns0:v/>
      </ns0:c>
    </ns0:row>
    <ns0:row r="10" ht="16.5" customHeight="1"/>
    <ns0:row r="11" ht="26.25" customHeight="1">
      <ns0:c r="B11" s="3" t="inlineStr">
        <ns0:is>
          <ns0:t>Test Type</ns0:t>
        </ns0:is>
      </ns0:c>
      <ns0:c r="F11" s="3" t="inlineStr">
        <ns0:is>
          <ns0:t>SPEC</ns0:t>
        </ns0:is>
      </ns0:c>
      <ns0:c r="G11" s="3" t="inlineStr">
        <ns0:is>
          <ns0:t>Max</ns0:t>
        </ns0:is>
      </ns0:c>
      <ns0:c r="H11" s="3" t="inlineStr">
        <ns0:is>
          <ns0:t>Min</ns0:t>
        </ns0:is>
      </ns0:c>
      <ns0:c r="I11" s="3" t="inlineStr">
        <ns0:is>
          <ns0:t>Avg</ns0:t>
        </ns0:is>
      </ns0:c>
      <ns0:c r="J11" s="3" t="inlineStr">
        <ns0:is>
          <ns0:t>No.1</ns0:t>
        </ns0:is>
      </ns0:c>
      <ns0:c r="K11" s="3" t="inlineStr">
        <ns0:is>
          <ns0:t>No.2</ns0:t>
        </ns0:is>
      </ns0:c>
      <ns0:c r="L11" s="3" t="inlineStr">
        <ns0:is>
          <ns0:t>No.3</ns0:t>
        </ns0:is>
      </ns0:c>
      <ns0:c r="M11" s="3" t="inlineStr">
        <ns0:is>
          <ns0:t>No.4</ns0:t>
        </ns0:is>
      </ns0:c>
      <ns0:c r="N11" s="3" t="inlineStr">
        <ns0:is>
          <ns0:t>No.5</ns0:t>
        </ns0:is>
      </ns0:c>
      <ns0:c r="O11" s="3" t="inlineStr">
        <ns0:is>
          <ns0:t>No.6</ns0:t>
        </ns0:is>
      </ns0:c>
      <ns0:c r="P11" s="3" t="inlineStr">
        <ns0:is>
          <ns0:t>No.7</ns0:t>
        </ns0:is>
      </ns0:c>
      <ns0:c r="Q11" s="3" t="inlineStr">
        <ns0:is>
          <ns0:t>No.8</ns0:t>
        </ns0:is>
      </ns0:c>
      <ns0:c r="R11" s="3" t="inlineStr">
        <ns0:is>
          <ns0:t>No.9</ns0:t>
        </ns0:is>
      </ns0:c>
      <ns0:c r="S11" s="3" t="inlineStr">
        <ns0:is>
          <ns0:t>No.10</ns0:t>
        </ns0:is>
      </ns0:c>
      <ns0:c r="T11" s="3" t="inlineStr">
        <ns0:is>
          <ns0:t>No.11</ns0:t>
        </ns0:is>
      </ns0:c>
      <ns0:c r="U11" s="3" t="inlineStr">
        <ns0:is>
          <ns0:t>No.12</ns0:t>
        </ns0:is>
      </ns0:c>
      <ns0:c r="V11" s="3" t="inlineStr">
        <ns0:is>
          <ns0:t>No.13</ns0:t>
        </ns0:is>
      </ns0:c>
      <ns0:c r="W11" s="3" t="inlineStr">
        <ns0:is>
          <ns0:t>No.14</ns0:t>
        </ns0:is>
      </ns0:c>
      <ns0:c r="X11" s="3" t="inlineStr">
        <ns0:is>
          <ns0:t>No.15</ns0:t>
        </ns0:is>
      </ns0:c>
      <ns0:c r="Y11" s="3" t="inlineStr">
        <ns0:is>
          <ns0:t>No.16</ns0:t>
        </ns0:is>
      </ns0:c>
      <ns0:c r="Z11" s="3" t="inlineStr">
        <ns0:is>
          <ns0:t>No.17</ns0:t>
        </ns0:is>
      </ns0:c>
      <ns0:c r="AA11" s="3" t="inlineStr">
        <ns0:is>
          <ns0:t>No.18</ns0:t>
        </ns0:is>
      </ns0:c>
      <ns0:c r="AB11" s="3" t="inlineStr">
        <ns0:is>
          <ns0:t>No.19</ns0:t>
        </ns0:is>
      </ns0:c>
      <ns0:c r="AC11" s="3" t="inlineStr">
        <ns0:is>
          <ns0:t>No.20</ns0:t>
        </ns0:is>
      </ns0:c>
    </ns0:row>
    <ns0:row r="12" ht="26.25" customHeight="1">
      <ns0:c r="B12" s="3" t="inlineStr">
        <ns0:is>
          <ns0:t>Change nozzle VZ06 to VZ05</ns0:t>
        </ns0:is>
      </ns0:c>
      <ns0:c r="F12" s="3" t="inlineStr">
        <ns0:is>
          <ns0:t>1.53Kgf</ns0:t>
        </ns0:is>
      </ns0:c>
      <ns0:c r="G12" s="3">
        <ns0:f>MAX(J12:AC12)</ns0:f>
        <ns0:v/>
      </ns0:c>
      <ns0:c r="H12" s="3">
        <ns0:f>MIN(J12:AC12)</ns0:f>
        <ns0:v/>
      </ns0:c>
      <ns0:c r="I12" s="3">
        <ns0:f>AVERAGE(J12:AC12)</ns0:f>
        <ns0:v/>
      </ns0:c>
      <ns0:c r="J12" s="3" t="n">
        <ns0:v>1.902</ns0:v>
      </ns0:c>
      <ns0:c r="K12" s="3" t="n">
        <ns0:v>1.888</ns0:v>
      </ns0:c>
      <ns0:c r="L12" s="3" t="n">
        <ns0:v>2.6</ns0:v>
      </ns0:c>
      <ns0:c r="M12" s="3" t="n">
        <ns0:v>2.703</ns0:v>
      </ns0:c>
      <ns0:c r="N12" s="3" t="n">
        <ns0:v>2.006</ns0:v>
      </ns0:c>
      <ns0:c r="O12" s="3" t="n">
        <ns0:v>2.22</ns0:v>
      </ns0:c>
      <ns0:c r="P12" s="3" t="n">
        <ns0:v>2.711</ns0:v>
      </ns0:c>
      <ns0:c r="Q12" s="3" t="n">
        <ns0:v>2.903</ns0:v>
      </ns0:c>
      <ns0:c r="R12" s="3" t="n">
        <ns0:v>2.702</ns0:v>
      </ns0:c>
      <ns0:c r="S12" s="3" t="n">
        <ns0:v>1.944</ns0:v>
      </ns0:c>
      <ns0:c r="T12" s="3" t="n">
        <ns0:v>2.207</ns0:v>
      </ns0:c>
      <ns0:c r="U12" s="3" t="n">
        <ns0:v>2.147</ns0:v>
      </ns0:c>
      <ns0:c r="V12" s="3" t="n">
        <ns0:v>2.438</ns0:v>
      </ns0:c>
      <ns0:c r="W12" s="3" t="n">
        <ns0:v>2.469</ns0:v>
      </ns0:c>
      <ns0:c r="X12" s="3" t="n">
        <ns0:v>2.208</ns0:v>
      </ns0:c>
      <ns0:c r="Y12" s="3" t="n">
        <ns0:v>2.479</ns0:v>
      </ns0:c>
      <ns0:c r="Z12" s="3" t="n">
        <ns0:v>2.283</ns0:v>
      </ns0:c>
      <ns0:c r="AA12" s="3" t="n">
        <ns0:v>2.673</ns0:v>
      </ns0:c>
      <ns0:c r="AB12" s="3" t="n">
        <ns0:v>2.626</ns0:v>
      </ns0:c>
      <ns0:c r="AC12" s="3" t="n">
        <ns0:v>2.363</ns0:v>
      </ns0:c>
    </ns0:row>
    <ns0:row r="13" ht="26.25" customHeight="1">
      <ns0:c r="B13" s="3" t="inlineStr">
        <ns0:is>
          <ns0:t>Plassma CD 2 edge</ns0:t>
        </ns0:is>
      </ns0:c>
      <ns0:c r="G13" s="3">
        <ns0:f>MAX(J13:AC13)</ns0:f>
        <ns0:v/>
      </ns0:c>
      <ns0:c r="H13" s="3">
        <ns0:f>MIN(J13:AC13)</ns0:f>
        <ns0:v/>
      </ns0:c>
      <ns0:c r="I13" s="3">
        <ns0:f>AVERAGE(J13:AC13)</ns0:f>
        <ns0:v/>
      </ns0:c>
      <ns0:c r="J13" s="3" t="n">
        <ns0:v>2.411</ns0:v>
      </ns0:c>
      <ns0:c r="K13" s="3" t="n">
        <ns0:v>2.204</ns0:v>
      </ns0:c>
      <ns0:c r="L13" s="3" t="n">
        <ns0:v>2.005</ns0:v>
      </ns0:c>
      <ns0:c r="M13" s="3" t="n">
        <ns0:v>1.977</ns0:v>
      </ns0:c>
      <ns0:c r="N13" s="3" t="n">
        <ns0:v>2.124</ns0:v>
      </ns0:c>
      <ns0:c r="O13" s="3" t="n">
        <ns0:v>1.933</ns0:v>
      </ns0:c>
      <ns0:c r="P13" s="3" t="n">
        <ns0:v>2.247</ns0:v>
      </ns0:c>
      <ns0:c r="Q13" s="3" t="n">
        <ns0:v>2.226</ns0:v>
      </ns0:c>
      <ns0:c r="R13" s="3" t="n">
        <ns0:v>1.909</ns0:v>
      </ns0:c>
      <ns0:c r="S13" s="3" t="n">
        <ns0:v>2.442</ns0:v>
      </ns0:c>
      <ns0:c r="T13" s="3" t="n">
        <ns0:v>2.527</ns0:v>
      </ns0:c>
      <ns0:c r="U13" s="3" t="n">
        <ns0:v>2.232</ns0:v>
      </ns0:c>
      <ns0:c r="V13" s="3" t="n">
        <ns0:v>2.411</ns0:v>
      </ns0:c>
      <ns0:c r="W13" s="3" t="n">
        <ns0:v>2.347</ns0:v>
      </ns0:c>
      <ns0:c r="X13" s="3" t="n">
        <ns0:v>2.099</ns0:v>
      </ns0:c>
      <ns0:c r="Y13" s="3" t="n">
        <ns0:v>2.279</ns0:v>
      </ns0:c>
      <ns0:c r="Z13" s="3" t="n">
        <ns0:v>2.183</ns0:v>
      </ns0:c>
      <ns0:c r="AA13" s="3" t="n">
        <ns0:v>1.973</ns0:v>
      </ns0:c>
      <ns0:c r="AB13" s="3" t="n">
        <ns0:v>2.079</ns0:v>
      </ns0:c>
      <ns0:c r="AC13" s="3" t="n">
        <ns0:v>1.977</ns0:v>
      </ns0:c>
    </ns0:row>
    <ns0:row r="14" ht="26.25" customHeight="1">
      <ns0:c r="B14" s="3" t="inlineStr">
        <ns0:is>
          <ns0:t>Reduce bonding amount ( 2.0 ~2.2)mg</ns0:t>
        </ns0:is>
      </ns0:c>
      <ns0:c r="G14" s="3">
        <ns0:f>MAX(J14:AC14)</ns0:f>
        <ns0:v/>
      </ns0:c>
      <ns0:c r="H14" s="3">
        <ns0:f>MIN(J14:AC14)</ns0:f>
        <ns0:v/>
      </ns0:c>
      <ns0:c r="I14" s="3">
        <ns0:f>AVERAGE(J14:AC14)</ns0:f>
        <ns0:v/>
      </ns0:c>
      <ns0:c r="J14" s="3" t="n">
        <ns0:v>2.715</ns0:v>
      </ns0:c>
      <ns0:c r="K14" s="3" t="n">
        <ns0:v>2.509</ns0:v>
      </ns0:c>
      <ns0:c r="L14" s="3" t="n">
        <ns0:v>2.222</ns0:v>
      </ns0:c>
      <ns0:c r="M14" s="3" t="n">
        <ns0:v>1.957</ns0:v>
      </ns0:c>
      <ns0:c r="N14" s="3" t="n">
        <ns0:v>1.744</ns0:v>
      </ns0:c>
      <ns0:c r="O14" s="3" t="n">
        <ns0:v>1.578</ns0:v>
      </ns0:c>
      <ns0:c r="P14" s="3" t="n">
        <ns0:v>1.832</ns0:v>
      </ns0:c>
      <ns0:c r="Q14" s="3" t="n">
        <ns0:v>1.837</ns0:v>
      </ns0:c>
      <ns0:c r="R14" s="3" t="n">
        <ns0:v>1.792</ns0:v>
      </ns0:c>
      <ns0:c r="S14" s="3" t="n">
        <ns0:v>1.975</ns0:v>
      </ns0:c>
      <ns0:c r="T14" s="3" t="n">
        <ns0:v>1.779</ns0:v>
      </ns0:c>
      <ns0:c r="U14" s="3" t="n">
        <ns0:v>1.766</ns0:v>
      </ns0:c>
      <ns0:c r="V14" s="3" t="n">
        <ns0:v>1.633</ns0:v>
      </ns0:c>
      <ns0:c r="W14" s="3" t="n">
        <ns0:v>1.937</ns0:v>
      </ns0:c>
      <ns0:c r="X14" s="3" t="n">
        <ns0:v>2.071</ns0:v>
      </ns0:c>
      <ns0:c r="Y14" s="3" t="n">
        <ns0:v>1.974</ns0:v>
      </ns0:c>
      <ns0:c r="Z14" s="3" t="n">
        <ns0:v>1.866</ns0:v>
      </ns0:c>
      <ns0:c r="AA14" s="3" t="n">
        <ns0:v>1.844</ns0:v>
      </ns0:c>
      <ns0:c r="AB14" s="4" t="n">
        <ns0:v>1.891</ns0:v>
      </ns0:c>
      <ns0:c r="AC14" s="3" t="n">
        <ns0:v>1.859</ns0:v>
      </ns0:c>
    </ns0:row>
    <ns0:row r="15" ht="26.25" customHeight="1">
      <ns0:c r="B15" s="3" t="inlineStr">
        <ns0:is>
          <ns0:t xml:space="preserve">Normal </ns0:t>
        </ns0:is>
      </ns0:c>
      <ns0:c r="G15" s="3">
        <ns0:f>MAX(J15:AC15)</ns0:f>
        <ns0:v/>
      </ns0:c>
      <ns0:c r="H15" s="3">
        <ns0:f>MIN(J15:AC15)</ns0:f>
        <ns0:v/>
      </ns0:c>
      <ns0:c r="I15" s="3">
        <ns0:f>AVERAGE(J15:AC15)</ns0:f>
        <ns0:v/>
      </ns0:c>
      <ns0:c r="J15" s="3" t="n">
        <ns0:v>2.179</ns0:v>
      </ns0:c>
      <ns0:c r="K15" s="3" t="n">
        <ns0:v>2.141</ns0:v>
      </ns0:c>
      <ns0:c r="L15" s="3" t="n">
        <ns0:v>2.184</ns0:v>
      </ns0:c>
      <ns0:c r="M15" s="3" t="n">
        <ns0:v>2.099</ns0:v>
      </ns0:c>
      <ns0:c r="N15" s="3" t="n">
        <ns0:v>2.041</ns0:v>
      </ns0:c>
      <ns0:c r="O15" s="4" t="n">
        <ns0:v>1.858</ns0:v>
      </ns0:c>
      <ns0:c r="P15" s="3" t="n">
        <ns0:v>1.963</ns0:v>
      </ns0:c>
      <ns0:c r="Q15" s="3" t="n">
        <ns0:v>1.962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2026-05-12T08:07:06Z</dcterms:created>
  <dcterms:modified xsi:type="dcterms:W3CDTF">2026-05-12T08:07:14Z</dcterms:modified>
</cp:coreProperties>
</file>