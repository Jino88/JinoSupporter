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  <sheet name="22.5 (NG TEST YOK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0.0"/>
  </numFmts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sz val="16"/>
    </font>
    <font>
      <name val="Times New Roman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FCD5B4"/>
      </patternFill>
    </fill>
    <fill>
      <patternFill patternType="solid">
        <fgColor rgb="FFD8E4BC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7" applyAlignment="1" pivotButton="0" quotePrefix="0" xfId="0">
      <alignment vertical="center"/>
    </xf>
    <xf numFmtId="0" fontId="6" fillId="0" borderId="28" applyAlignment="1" pivotButton="0" quotePrefix="0" xfId="0">
      <alignment vertical="center" wrapText="1"/>
    </xf>
    <xf numFmtId="166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1" fillId="0" borderId="29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3" pivotButton="0" quotePrefix="0" xfId="0"/>
    <xf numFmtId="0" fontId="1" fillId="4" borderId="2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 wrapText="1"/>
    </xf>
    <xf numFmtId="2" fontId="5" fillId="0" borderId="14" applyAlignment="1" pivotButton="0" quotePrefix="0" xfId="0">
      <alignment horizontal="center" vertical="center" wrapText="1"/>
    </xf>
    <xf numFmtId="167" fontId="5" fillId="0" borderId="14" applyAlignment="1" pivotButton="0" quotePrefix="0" xfId="0">
      <alignment horizontal="center" vertical="center" wrapText="1"/>
    </xf>
    <xf numFmtId="0" fontId="1" fillId="5" borderId="14" applyAlignment="1" pivotButton="0" quotePrefix="0" xfId="0">
      <alignment horizontal="center" vertical="center" wrapText="1"/>
    </xf>
    <xf numFmtId="0" fontId="1" fillId="4" borderId="14" applyAlignment="1" pivotButton="0" quotePrefix="0" xfId="0">
      <alignment horizontal="center" vertical="center" wrapText="1"/>
    </xf>
    <xf numFmtId="167" fontId="1" fillId="4" borderId="14" applyAlignment="1" pivotButton="0" quotePrefix="0" xfId="0">
      <alignment horizontal="center" vertical="center" wrapText="1"/>
    </xf>
    <xf numFmtId="167" fontId="1" fillId="5" borderId="1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 wrapText="1"/>
    </xf>
    <xf numFmtId="164" fontId="5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166" fontId="7" fillId="0" borderId="14" applyAlignment="1" pivotButton="0" quotePrefix="0" xfId="0">
      <alignment horizontal="center" vertical="center"/>
    </xf>
    <xf numFmtId="0" fontId="6" fillId="0" borderId="35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0" borderId="29" applyAlignment="1" pivotButton="0" quotePrefix="0" xfId="0">
      <alignment vertical="center" wrapText="1"/>
    </xf>
    <xf numFmtId="0" fontId="0" fillId="0" borderId="32" pivotButton="0" quotePrefix="0" xfId="0"/>
    <xf numFmtId="0" fontId="5" fillId="0" borderId="0" applyAlignment="1" pivotButton="0" quotePrefix="0" xfId="0">
      <alignment horizontal="left" vertical="center" wrapText="1"/>
    </xf>
    <xf numFmtId="164" fontId="9" fillId="0" borderId="14" applyAlignment="1" pivotButton="0" quotePrefix="0" xfId="0">
      <alignment horizontal="center" vertical="center"/>
    </xf>
    <xf numFmtId="164" fontId="9" fillId="6" borderId="14" applyAlignment="1" pivotButton="0" quotePrefix="0" xfId="0">
      <alignment horizontal="center" vertical="center" wrapText="1"/>
    </xf>
    <xf numFmtId="0" fontId="9" fillId="6" borderId="14" applyAlignment="1" pivotButton="0" quotePrefix="0" xfId="0">
      <alignment horizontal="center" vertical="center" wrapText="1"/>
    </xf>
    <xf numFmtId="0" fontId="9" fillId="6" borderId="14" applyAlignment="1" pivotButton="0" quotePrefix="0" xfId="0">
      <alignment horizontal="center" vertical="center"/>
    </xf>
    <xf numFmtId="166" fontId="9" fillId="6" borderId="14" applyAlignment="1" pivotButton="0" quotePrefix="0" xfId="0">
      <alignment horizontal="center" vertical="center"/>
    </xf>
    <xf numFmtId="166" fontId="10" fillId="6" borderId="14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/>
    </xf>
    <xf numFmtId="166" fontId="9" fillId="0" borderId="14" applyAlignment="1" pivotButton="0" quotePrefix="0" xfId="0">
      <alignment horizontal="center" vertical="center"/>
    </xf>
    <xf numFmtId="166" fontId="10" fillId="0" borderId="1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G73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2.71428571428572" customWidth="1" min="3" max="3"/>
    <ns0:col width="27.71428571428572" customWidth="1" min="4" max="4"/>
    <ns0:col width="25.14285714285714" customWidth="1" min="5" max="5"/>
    <ns0:col width="25.14285714285714" customWidth="1" min="6" max="6"/>
    <ns0:col width="25.14285714285714" customWidth="1" min="7" max="7"/>
    <ns0:col width="25.14285714285714" customWidth="1" min="8" max="8"/>
    <ns0:col width="25.14285714285714" customWidth="1" min="9" max="9"/>
    <ns0:col width="26.14285714285714" customWidth="1" min="10" max="10"/>
    <ns0:col width="26.14285714285714" customWidth="1" min="11" max="11"/>
    <ns0:col width="26.14285714285714" customWidth="1" min="12" max="12"/>
    <ns0:col width="26.14285714285714" customWidth="1" min="13" max="13"/>
    <ns0:col width="26.14285714285714" customWidth="1" min="14" max="14"/>
    <ns0:col width="26.14285714285714" customWidth="1" min="15" max="15"/>
    <ns0:col width="23" customWidth="1" min="16" max="16"/>
    <ns0:col width="18.85714285714286" customWidth="1" min="17" max="17"/>
    <ns0:col width="8.571428571428571" customWidth="1" min="18" max="18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TEST MATERIAL YK OCCURRED DIFFERENT COLOUR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24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45434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Maker</ns0:t>
        </ns0:is>
      </ns0:c>
      <ns0:c r="Q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1" customHeight="1">
      <ns0:c r="B6" s="20" t="inlineStr">
        <ns0:is>
          <ns0:t xml:space="preserve"> - Test material YK Different colour OK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</ns0:row>
    <ns0:row r="9" ht="21" customHeight="1">
      <ns0:c r="B9" s="25" t="inlineStr">
        <ns0:is>
          <ns0:t xml:space="preserve">  - Test Material YK different colour can use or not ?</ns0:t>
        </ns0:is>
      </ns0:c>
      <ns0:c r="Q9" s="26" t="n"/>
    </ns0:row>
    <ns0:row r="10" ht="21" customHeight="1">
      <ns0:c r="B10" s="25" t="inlineStr">
        <ns0:is>
          <ns0:t xml:space="preserve"> - Q'ty test : 300pcs</ns0:t>
        </ns0:is>
      </ns0:c>
      <ns0:c r="Q10" s="26" t="n"/>
    </ns0:row>
    <ns0:row r="11" ht="21" customHeight="1">
      <ns0:c r="B11" s="25" t="inlineStr">
        <ns0:is>
          <ns0:t xml:space="preserve">  ++ NG rate vision Yoke, NG rate of function </ns0:t>
        </ns0:is>
      </ns0:c>
      <ns0:c r="Q11" s="26" t="n"/>
    </ns0:row>
    <ns0:row r="12" ht="21" customHeight="1">
      <ns0:c r="B12" s="25" t="inlineStr">
        <ns0:is>
          <ns0:t xml:space="preserve">  ++ Check decap bond MG+PT, MG+Yoke</ns0:t>
        </ns0:is>
      </ns0:c>
      <ns0:c r="Q12" s="26" t="n"/>
    </ns0:row>
    <ns0:row r="13" ht="21" customHeight="1">
      <ns0:c r="B13" s="25" t="inlineStr">
        <ns0:is>
          <ns0:t xml:space="preserve">  ++ Tension test CMG+Yoke</ns0:t>
        </ns0:is>
      </ns0:c>
      <ns0:c r="Q13" s="26" t="n"/>
    </ns0:row>
    <ns0:row r="14" ht="21" customHeight="1">
      <ns0:c r="B14" s="25" t="inlineStr">
        <ns0:is>
          <ns0:t xml:space="preserve">  ++ Drop test Yoke</ns0:t>
        </ns0:is>
      </ns0:c>
      <ns0:c r="Q14" s="26" t="n"/>
    </ns0:row>
    <ns0:row r="15" ht="21" customHeight="1">
      <ns0:c r="B15" s="23" t="n"/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14" t="n"/>
      <ns0:c r="O15" s="14" t="n"/>
      <ns0:c r="P15" s="14" t="n"/>
      <ns0:c r="Q15" s="24" t="n"/>
    </ns0:row>
    <ns0:row r="16" ht="21" customHeight="1">
      <ns0:c r="B16" s="17" t="inlineStr">
        <ns0:is>
          <ns0:t>3.Result test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9" t="n"/>
    </ns0:row>
    <ns0:row r="17" ht="21" customHeight="1">
      <ns0:c r="B17" s="27" t="n"/>
      <ns0:c r="C17" s="28" t="inlineStr">
        <ns0:is>
          <ns0:t xml:space="preserve">1. RESULT CHECKING TENSION </ns0:t>
        </ns0:is>
      </ns0:c>
      <ns0:c r="D17" s="18" t="n"/>
      <ns0:c r="E17" s="18" t="n"/>
      <ns0:c r="F17" s="18" t="n"/>
      <ns0:c r="G17" s="18" t="n"/>
      <ns0:c r="H17" s="18" t="n"/>
      <ns0:c r="I17" s="18" t="n"/>
      <ns0:c r="J17" s="29" t="n"/>
      <ns0:c r="K17" s="29" t="n"/>
      <ns0:c r="L17" s="29" t="n"/>
      <ns0:c r="M17" s="29" t="n"/>
      <ns0:c r="N17" s="29" t="n"/>
      <ns0:c r="O17" s="29" t="n"/>
      <ns0:c r="P17" s="30" t="n"/>
      <ns0:c r="Q17" s="31" t="n"/>
      <ns0:c r="AD17" s="29" t="n"/>
      <ns0:c r="AE17" s="29" t="n"/>
      <ns0:c r="AF17" s="29" t="n"/>
      <ns0:c r="AG17" s="30" t="n"/>
    </ns0:row>
    <ns0:row r="18" ht="25.5" customHeight="1">
      <ns0:c r="B18" s="27" t="n"/>
      <ns0:c r="C18" s="32" t="inlineStr">
        <ns0:is>
          <ns0:t>RESULT CHECKING TENSION</ns0:t>
        </ns0:is>
      </ns0:c>
      <ns0:c r="D18" s="18" t="n"/>
      <ns0:c r="E18" s="18" t="n"/>
      <ns0:c r="F18" s="18" t="n"/>
      <ns0:c r="G18" s="18" t="n"/>
      <ns0:c r="H18" s="18" t="n"/>
      <ns0:c r="I18" s="33" t="n"/>
      <ns0:c r="J18" s="29" t="n"/>
      <ns0:c r="K18" s="29" t="n"/>
      <ns0:c r="L18" s="29" t="n"/>
      <ns0:c r="M18" s="29" t="n"/>
      <ns0:c r="N18" s="29" t="n"/>
      <ns0:c r="O18" s="29" t="n"/>
      <ns0:c r="P18" s="30" t="n"/>
      <ns0:c r="Q18" s="31" t="n"/>
      <ns0:c r="AD18" s="29" t="n"/>
      <ns0:c r="AE18" s="29" t="n"/>
      <ns0:c r="AF18" s="29" t="n"/>
      <ns0:c r="AG18" s="30" t="n"/>
    </ns0:row>
    <ns0:row r="19" ht="25.5" customHeight="1">
      <ns0:c r="B19" s="27" t="n"/>
      <ns0:c r="C19" s="32" t="inlineStr">
        <ns0:is>
          <ns0:t>No</ns0:t>
        </ns0:is>
      </ns0:c>
      <ns0:c r="D19" s="32" t="n"/>
      <ns0:c r="E19" s="33" t="n"/>
      <ns0:c r="F19" s="32" t="inlineStr">
        <ns0:is>
          <ns0:t>Short - S-MG ( Spec ≥ 6 Kgf )</ns0:t>
        </ns0:is>
      </ns0:c>
      <ns0:c r="G19" s="33" t="n"/>
      <ns0:c r="H19" s="32" t="inlineStr">
        <ns0:is>
          <ns0:t>YOKE ( Spec ≥ 70 Kgf )</ns0:t>
        </ns0:is>
      </ns0:c>
      <ns0:c r="I19" s="33" t="n"/>
      <ns0:c r="J19" s="29" t="n"/>
      <ns0:c r="K19" s="29" t="n"/>
      <ns0:c r="L19" s="29" t="n"/>
      <ns0:c r="M19" s="29" t="n"/>
      <ns0:c r="N19" s="29" t="n"/>
      <ns0:c r="O19" s="29" t="n"/>
      <ns0:c r="P19" s="30" t="n"/>
      <ns0:c r="Q19" s="31" t="n"/>
      <ns0:c r="AD19" s="29" t="n"/>
      <ns0:c r="AE19" s="29" t="n"/>
      <ns0:c r="AF19" s="29" t="n"/>
      <ns0:c r="AG19" s="30" t="n"/>
    </ns0:row>
    <ns0:row r="20" ht="41.25" customHeight="1">
      <ns0:c r="B20" s="27" t="n"/>
      <ns0:c r="C20" s="34" t="n"/>
      <ns0:c r="D20" s="35" t="inlineStr">
        <ns0:is>
          <ns0:t>YK Different colour</ns0:t>
        </ns0:is>
      </ns0:c>
      <ns0:c r="E20" s="32" t="inlineStr">
        <ns0:is>
          <ns0:t>Normal</ns0:t>
        </ns0:is>
      </ns0:c>
      <ns0:c r="F20" s="35" t="inlineStr">
        <ns0:is>
          <ns0:t>YK Different colour</ns0:t>
        </ns0:is>
      </ns0:c>
      <ns0:c r="G20" s="32" t="inlineStr">
        <ns0:is>
          <ns0:t>Normal</ns0:t>
        </ns0:is>
      </ns0:c>
      <ns0:c r="H20" s="35" t="inlineStr">
        <ns0:is>
          <ns0:t>YK Different colour</ns0:t>
        </ns0:is>
      </ns0:c>
      <ns0:c r="I20" s="32" t="inlineStr">
        <ns0:is>
          <ns0:t>Normal</ns0:t>
        </ns0:is>
      </ns0:c>
      <ns0:c r="J20" s="29" t="n"/>
      <ns0:c r="K20" s="29" t="n"/>
      <ns0:c r="L20" s="29" t="n"/>
      <ns0:c r="M20" s="29" t="n"/>
      <ns0:c r="N20" s="29" t="n"/>
      <ns0:c r="O20" s="29" t="n"/>
      <ns0:c r="P20" s="30" t="n"/>
      <ns0:c r="Q20" s="31" t="n"/>
      <ns0:c r="AD20" s="29" t="n"/>
      <ns0:c r="AE20" s="29" t="n"/>
      <ns0:c r="AF20" s="29" t="n"/>
      <ns0:c r="AG20" s="30" t="n"/>
    </ns0:row>
    <ns0:row r="21" ht="19.5" customHeight="1">
      <ns0:c r="B21" s="27" t="n"/>
      <ns0:c r="C21" s="36" t="n">
        <ns0:v>1</ns0:v>
      </ns0:c>
      <ns0:c r="D21" s="37" t="n">
        <ns0:v>60.18</ns0:v>
      </ns0:c>
      <ns0:c r="E21" s="36" t="n">
        <ns0:v>57.25</ns0:v>
      </ns0:c>
      <ns0:c r="F21" s="37" t="n">
        <ns0:v>38.16</ns0:v>
      </ns0:c>
      <ns0:c r="G21" s="36" t="n">
        <ns0:v>47.26</ns0:v>
      </ns0:c>
      <ns0:c r="H21" s="37" t="n">
        <ns0:v>170.1</ns0:v>
      </ns0:c>
      <ns0:c r="I21" s="36" t="n">
        <ns0:v>166.3</ns0:v>
      </ns0:c>
      <ns0:c r="J21" s="29" t="n"/>
      <ns0:c r="K21" s="29" t="n"/>
      <ns0:c r="L21" s="29" t="n"/>
      <ns0:c r="M21" s="29" t="n"/>
      <ns0:c r="N21" s="29" t="n"/>
      <ns0:c r="O21" s="29" t="n"/>
      <ns0:c r="P21" s="30" t="n"/>
      <ns0:c r="Q21" s="31" t="n"/>
      <ns0:c r="AD21" s="29" t="n"/>
      <ns0:c r="AE21" s="29" t="n"/>
      <ns0:c r="AF21" s="29" t="n"/>
      <ns0:c r="AG21" s="30" t="n"/>
    </ns0:row>
    <ns0:row r="22" ht="19.5" customHeight="1">
      <ns0:c r="B22" s="27" t="n"/>
      <ns0:c r="C22" s="36" t="n">
        <ns0:v>2</ns0:v>
      </ns0:c>
      <ns0:c r="D22" s="37" t="n">
        <ns0:v>53.7</ns0:v>
      </ns0:c>
      <ns0:c r="E22" s="36" t="n">
        <ns0:v>53.93</ns0:v>
      </ns0:c>
      <ns0:c r="F22" s="37" t="n">
        <ns0:v>35.35</ns0:v>
      </ns0:c>
      <ns0:c r="G22" s="36" t="n">
        <ns0:v>47.71</ns0:v>
      </ns0:c>
      <ns0:c r="H22" s="37" t="n">
        <ns0:v>160</ns0:v>
      </ns0:c>
      <ns0:c r="I22" s="36" t="n">
        <ns0:v>178.8</ns0:v>
      </ns0:c>
      <ns0:c r="J22" s="29" t="n"/>
      <ns0:c r="K22" s="29" t="n"/>
      <ns0:c r="L22" s="29" t="n"/>
      <ns0:c r="M22" s="29" t="n"/>
      <ns0:c r="N22" s="29" t="n"/>
      <ns0:c r="O22" s="29" t="n"/>
      <ns0:c r="P22" s="30" t="n"/>
      <ns0:c r="Q22" s="31" t="n"/>
      <ns0:c r="AD22" s="29" t="n"/>
      <ns0:c r="AE22" s="29" t="n"/>
      <ns0:c r="AF22" s="29" t="n"/>
      <ns0:c r="AG22" s="30" t="n"/>
    </ns0:row>
    <ns0:row r="23" ht="19.5" customHeight="1">
      <ns0:c r="B23" s="27" t="n"/>
      <ns0:c r="C23" s="36" t="n">
        <ns0:v>3</ns0:v>
      </ns0:c>
      <ns0:c r="D23" s="37" t="n">
        <ns0:v>56.72</ns0:v>
      </ns0:c>
      <ns0:c r="E23" s="36" t="n">
        <ns0:v>52.17</ns0:v>
      </ns0:c>
      <ns0:c r="F23" s="37" t="n">
        <ns0:v>40.68</ns0:v>
      </ns0:c>
      <ns0:c r="G23" s="36" t="n">
        <ns0:v>47.21</ns0:v>
      </ns0:c>
      <ns0:c r="H23" s="37" t="n">
        <ns0:v>152.5</ns0:v>
      </ns0:c>
      <ns0:c r="I23" s="36" t="n">
        <ns0:v>174.2</ns0:v>
      </ns0:c>
      <ns0:c r="J23" s="29" t="n"/>
      <ns0:c r="K23" s="29" t="n"/>
      <ns0:c r="L23" s="29" t="n"/>
      <ns0:c r="M23" s="29" t="n"/>
      <ns0:c r="N23" s="29" t="n"/>
      <ns0:c r="O23" s="29" t="n"/>
      <ns0:c r="P23" s="30" t="n"/>
      <ns0:c r="Q23" s="31" t="n"/>
      <ns0:c r="AD23" s="29" t="n"/>
      <ns0:c r="AE23" s="29" t="n"/>
      <ns0:c r="AF23" s="29" t="n"/>
      <ns0:c r="AG23" s="30" t="n"/>
    </ns0:row>
    <ns0:row r="24" ht="19.5" customHeight="1">
      <ns0:c r="B24" s="27" t="n"/>
      <ns0:c r="C24" s="36" t="n">
        <ns0:v>4</ns0:v>
      </ns0:c>
      <ns0:c r="D24" s="37" t="n">
        <ns0:v>57.79</ns0:v>
      </ns0:c>
      <ns0:c r="E24" s="36" t="n">
        <ns0:v>57.15</ns0:v>
      </ns0:c>
      <ns0:c r="F24" s="37" t="n">
        <ns0:v>51.16</ns0:v>
      </ns0:c>
      <ns0:c r="G24" s="36" t="n">
        <ns0:v>44.78</ns0:v>
      </ns0:c>
      <ns0:c r="H24" s="37" t="n">
        <ns0:v>155.9</ns0:v>
      </ns0:c>
      <ns0:c r="I24" s="36" t="n">
        <ns0:v>170.7</ns0:v>
      </ns0:c>
      <ns0:c r="J24" s="29" t="n"/>
      <ns0:c r="K24" s="29" t="n"/>
      <ns0:c r="L24" s="29" t="n"/>
      <ns0:c r="M24" s="29" t="n"/>
      <ns0:c r="N24" s="29" t="n"/>
      <ns0:c r="O24" s="29" t="n"/>
      <ns0:c r="P24" s="30" t="n"/>
      <ns0:c r="Q24" s="31" t="n"/>
      <ns0:c r="AD24" s="29" t="n"/>
      <ns0:c r="AE24" s="29" t="n"/>
      <ns0:c r="AF24" s="29" t="n"/>
      <ns0:c r="AG24" s="30" t="n"/>
    </ns0:row>
    <ns0:row r="25" ht="19.5" customHeight="1">
      <ns0:c r="B25" s="27" t="n"/>
      <ns0:c r="C25" s="36" t="n">
        <ns0:v>5</ns0:v>
      </ns0:c>
      <ns0:c r="D25" s="37" t="n">
        <ns0:v>55.26</ns0:v>
      </ns0:c>
      <ns0:c r="E25" s="36" t="n">
        <ns0:v>65.41</ns0:v>
      </ns0:c>
      <ns0:c r="F25" s="37" t="n">
        <ns0:v>41.43</ns0:v>
      </ns0:c>
      <ns0:c r="G25" s="36" t="n">
        <ns0:v>41.71</ns0:v>
      </ns0:c>
      <ns0:c r="H25" s="37" t="n">
        <ns0:v>122.4</ns0:v>
      </ns0:c>
      <ns0:c r="I25" s="36" t="n">
        <ns0:v>154.2</ns0:v>
      </ns0:c>
      <ns0:c r="J25" s="29" t="n"/>
      <ns0:c r="K25" s="29" t="n"/>
      <ns0:c r="L25" s="29" t="n"/>
      <ns0:c r="M25" s="29" t="n"/>
      <ns0:c r="N25" s="29" t="n"/>
      <ns0:c r="O25" s="29" t="n"/>
      <ns0:c r="P25" s="30" t="n"/>
      <ns0:c r="Q25" s="31" t="n"/>
      <ns0:c r="AD25" s="29" t="n"/>
      <ns0:c r="AE25" s="29" t="n"/>
      <ns0:c r="AF25" s="29" t="n"/>
      <ns0:c r="AG25" s="30" t="n"/>
    </ns0:row>
    <ns0:row r="26" ht="19.5" customHeight="1">
      <ns0:c r="B26" s="27" t="n"/>
      <ns0:c r="C26" s="36" t="n">
        <ns0:v>6</ns0:v>
      </ns0:c>
      <ns0:c r="D26" s="37" t="n">
        <ns0:v>58.85</ns0:v>
      </ns0:c>
      <ns0:c r="E26" s="36" t="n">
        <ns0:v>53.71</ns0:v>
      </ns0:c>
      <ns0:c r="F26" s="37" t="n">
        <ns0:v>45.4</ns0:v>
      </ns0:c>
      <ns0:c r="G26" s="36" t="n">
        <ns0:v>41.27</ns0:v>
      </ns0:c>
      <ns0:c r="H26" s="37" t="n">
        <ns0:v>146.3</ns0:v>
      </ns0:c>
      <ns0:c r="I26" s="36" t="n">
        <ns0:v>193.5</ns0:v>
      </ns0:c>
      <ns0:c r="J26" s="29" t="n"/>
      <ns0:c r="K26" s="29" t="n"/>
      <ns0:c r="L26" s="29" t="n"/>
      <ns0:c r="M26" s="29" t="n"/>
      <ns0:c r="N26" s="29" t="n"/>
      <ns0:c r="O26" s="29" t="n"/>
      <ns0:c r="P26" s="30" t="n"/>
      <ns0:c r="Q26" s="31" t="n"/>
      <ns0:c r="AD26" s="29" t="n"/>
      <ns0:c r="AE26" s="29" t="n"/>
      <ns0:c r="AF26" s="29" t="n"/>
      <ns0:c r="AG26" s="30" t="n"/>
    </ns0:row>
    <ns0:row r="27" ht="19.5" customHeight="1">
      <ns0:c r="B27" s="27" t="n"/>
      <ns0:c r="C27" s="36" t="n">
        <ns0:v>7</ns0:v>
      </ns0:c>
      <ns0:c r="D27" s="37" t="n">
        <ns0:v>54.59</ns0:v>
      </ns0:c>
      <ns0:c r="E27" s="36" t="n">
        <ns0:v>62.39</ns0:v>
      </ns0:c>
      <ns0:c r="F27" s="37" t="n">
        <ns0:v>40.86</ns0:v>
      </ns0:c>
      <ns0:c r="G27" s="36" t="n">
        <ns0:v>48.62</ns0:v>
      </ns0:c>
      <ns0:c r="H27" s="37" t="n">
        <ns0:v>132.5</ns0:v>
      </ns0:c>
      <ns0:c r="I27" s="36" t="n">
        <ns0:v>193.4</ns0:v>
      </ns0:c>
      <ns0:c r="J27" s="29" t="n"/>
      <ns0:c r="K27" s="29" t="n"/>
      <ns0:c r="L27" s="29" t="n"/>
      <ns0:c r="M27" s="29" t="n"/>
      <ns0:c r="N27" s="29" t="n"/>
      <ns0:c r="O27" s="29" t="n"/>
      <ns0:c r="P27" s="30" t="n"/>
      <ns0:c r="Q27" s="31" t="n"/>
      <ns0:c r="AD27" s="29" t="n"/>
      <ns0:c r="AE27" s="29" t="n"/>
      <ns0:c r="AF27" s="29" t="n"/>
      <ns0:c r="AG27" s="30" t="n"/>
    </ns0:row>
    <ns0:row r="28" ht="19.5" customHeight="1">
      <ns0:c r="B28" s="27" t="n"/>
      <ns0:c r="C28" s="36" t="n">
        <ns0:v>8</ns0:v>
      </ns0:c>
      <ns0:c r="D28" s="37" t="n">
        <ns0:v>53.95</ns0:v>
      </ns0:c>
      <ns0:c r="E28" s="38" t="n">
        <ns0:v>57.41</ns0:v>
      </ns0:c>
      <ns0:c r="F28" s="37" t="n">
        <ns0:v>44.03</ns0:v>
      </ns0:c>
      <ns0:c r="G28" s="36" t="n">
        <ns0:v>42.6</ns0:v>
      </ns0:c>
      <ns0:c r="H28" s="37" t="n">
        <ns0:v>146.1</ns0:v>
      </ns0:c>
      <ns0:c r="I28" s="36" t="n">
        <ns0:v>187.1</ns0:v>
      </ns0:c>
      <ns0:c r="J28" s="29" t="n"/>
      <ns0:c r="K28" s="29" t="n"/>
      <ns0:c r="L28" s="29" t="n"/>
      <ns0:c r="M28" s="29" t="n"/>
      <ns0:c r="N28" s="29" t="n"/>
      <ns0:c r="O28" s="29" t="n"/>
      <ns0:c r="P28" s="30" t="n"/>
      <ns0:c r="Q28" s="31" t="n"/>
      <ns0:c r="AD28" s="29" t="n"/>
      <ns0:c r="AE28" s="29" t="n"/>
      <ns0:c r="AF28" s="29" t="n"/>
      <ns0:c r="AG28" s="30" t="n"/>
    </ns0:row>
    <ns0:row r="29" ht="19.5" customHeight="1">
      <ns0:c r="B29" s="27" t="n"/>
      <ns0:c r="C29" s="36" t="n">
        <ns0:v>9</ns0:v>
      </ns0:c>
      <ns0:c r="D29" s="37" t="n">
        <ns0:v>47.96</ns0:v>
      </ns0:c>
      <ns0:c r="E29" s="36" t="n">
        <ns0:v>63.29</ns0:v>
      </ns0:c>
      <ns0:c r="F29" s="37" t="n">
        <ns0:v>46.37</ns0:v>
      </ns0:c>
      <ns0:c r="G29" s="36" t="n">
        <ns0:v>43.81</ns0:v>
      </ns0:c>
      <ns0:c r="H29" s="37" t="n">
        <ns0:v>194.7</ns0:v>
      </ns0:c>
      <ns0:c r="I29" s="36" t="n">
        <ns0:v>198.8</ns0:v>
      </ns0:c>
      <ns0:c r="J29" s="29" t="n"/>
      <ns0:c r="K29" s="29" t="n"/>
      <ns0:c r="L29" s="29" t="n"/>
      <ns0:c r="M29" s="29" t="n"/>
      <ns0:c r="N29" s="29" t="n"/>
      <ns0:c r="O29" s="29" t="n"/>
      <ns0:c r="P29" s="30" t="n"/>
      <ns0:c r="Q29" s="31" t="n"/>
      <ns0:c r="AD29" s="29" t="n"/>
      <ns0:c r="AE29" s="29" t="n"/>
      <ns0:c r="AF29" s="29" t="n"/>
      <ns0:c r="AG29" s="30" t="n"/>
    </ns0:row>
    <ns0:row r="30" ht="19.5" customHeight="1">
      <ns0:c r="B30" s="27" t="n"/>
      <ns0:c r="C30" s="36" t="n">
        <ns0:v>10</ns0:v>
      </ns0:c>
      <ns0:c r="D30" s="37" t="n">
        <ns0:v>51.32</ns0:v>
      </ns0:c>
      <ns0:c r="E30" s="36" t="n">
        <ns0:v>55.51</ns0:v>
      </ns0:c>
      <ns0:c r="F30" s="37" t="n">
        <ns0:v>51.55</ns0:v>
      </ns0:c>
      <ns0:c r="G30" s="39" t="n">
        <ns0:v>41.83</ns0:v>
      </ns0:c>
      <ns0:c r="H30" s="37" t="n">
        <ns0:v>184.3</ns0:v>
      </ns0:c>
      <ns0:c r="I30" s="36" t="n">
        <ns0:v>200.4</ns0:v>
      </ns0:c>
      <ns0:c r="J30" s="29" t="n"/>
      <ns0:c r="K30" s="29" t="n"/>
      <ns0:c r="L30" s="29" t="n"/>
      <ns0:c r="M30" s="29" t="n"/>
      <ns0:c r="N30" s="29" t="n"/>
      <ns0:c r="O30" s="29" t="n"/>
      <ns0:c r="P30" s="30" t="n"/>
      <ns0:c r="Q30" s="31" t="n"/>
      <ns0:c r="AD30" s="29" t="n"/>
      <ns0:c r="AE30" s="29" t="n"/>
      <ns0:c r="AF30" s="29" t="n"/>
      <ns0:c r="AG30" s="30" t="n"/>
    </ns0:row>
    <ns0:row r="31" ht="19.5" customHeight="1">
      <ns0:c r="B31" s="27" t="n"/>
      <ns0:c r="C31" s="36" t="n">
        <ns0:v>11</ns0:v>
      </ns0:c>
      <ns0:c r="D31" s="37" t="n">
        <ns0:v>57.6</ns0:v>
      </ns0:c>
      <ns0:c r="E31" s="36" t="n">
        <ns0:v>61.49</ns0:v>
      </ns0:c>
      <ns0:c r="F31" s="37" t="n">
        <ns0:v>37.19</ns0:v>
      </ns0:c>
      <ns0:c r="G31" s="36" t="n">
        <ns0:v>45.74</ns0:v>
      </ns0:c>
      <ns0:c r="H31" s="37" t="n">
        <ns0:v>110.3</ns0:v>
      </ns0:c>
      <ns0:c r="I31" s="36" t="n">
        <ns0:v>185.2</ns0:v>
      </ns0:c>
      <ns0:c r="J31" s="29" t="n"/>
      <ns0:c r="K31" s="29" t="n"/>
      <ns0:c r="L31" s="29" t="n"/>
      <ns0:c r="M31" s="29" t="n"/>
      <ns0:c r="N31" s="29" t="n"/>
      <ns0:c r="O31" s="29" t="n"/>
      <ns0:c r="P31" s="30" t="n"/>
      <ns0:c r="Q31" s="31" t="n"/>
      <ns0:c r="AD31" s="29" t="n"/>
      <ns0:c r="AE31" s="29" t="n"/>
      <ns0:c r="AF31" s="29" t="n"/>
      <ns0:c r="AG31" s="30" t="n"/>
    </ns0:row>
    <ns0:row r="32" ht="19.5" customHeight="1">
      <ns0:c r="B32" s="27" t="n"/>
      <ns0:c r="C32" s="36" t="n">
        <ns0:v>12</ns0:v>
      </ns0:c>
      <ns0:c r="D32" s="37" t="n">
        <ns0:v>48.83</ns0:v>
      </ns0:c>
      <ns0:c r="E32" s="36" t="n">
        <ns0:v>60.91</ns0:v>
      </ns0:c>
      <ns0:c r="F32" s="37" t="n">
        <ns0:v>40.07</ns0:v>
      </ns0:c>
      <ns0:c r="G32" s="36" t="n">
        <ns0:v>38.86</ns0:v>
      </ns0:c>
      <ns0:c r="H32" s="37" t="n">
        <ns0:v>138.5</ns0:v>
      </ns0:c>
      <ns0:c r="I32" s="36" t="n">
        <ns0:v>189.3</ns0:v>
      </ns0:c>
      <ns0:c r="J32" s="29" t="n"/>
      <ns0:c r="K32" s="29" t="n"/>
      <ns0:c r="L32" s="29" t="n"/>
      <ns0:c r="M32" s="29" t="n"/>
      <ns0:c r="N32" s="29" t="n"/>
      <ns0:c r="O32" s="29" t="n"/>
      <ns0:c r="P32" s="30" t="n"/>
      <ns0:c r="Q32" s="31" t="n"/>
      <ns0:c r="AD32" s="29" t="n"/>
      <ns0:c r="AE32" s="29" t="n"/>
      <ns0:c r="AF32" s="29" t="n"/>
      <ns0:c r="AG32" s="30" t="n"/>
    </ns0:row>
    <ns0:row r="33" ht="19.5" customHeight="1">
      <ns0:c r="B33" s="27" t="n"/>
      <ns0:c r="C33" s="40" t="inlineStr">
        <ns0:is>
          <ns0:t>Min</ns0:t>
        </ns0:is>
      </ns0:c>
      <ns0:c r="D33" s="41" t="n">
        <ns0:v>47.96</ns0:v>
      </ns0:c>
      <ns0:c r="E33" s="40" t="n">
        <ns0:v>52.17</ns0:v>
      </ns0:c>
      <ns0:c r="F33" s="41" t="n">
        <ns0:v>35.35</ns0:v>
      </ns0:c>
      <ns0:c r="G33" s="40" t="n">
        <ns0:v>38.86</ns0:v>
      </ns0:c>
      <ns0:c r="H33" s="41" t="n">
        <ns0:v>110.3</ns0:v>
      </ns0:c>
      <ns0:c r="I33" s="40" t="n">
        <ns0:v>154.2</ns0:v>
      </ns0:c>
      <ns0:c r="J33" s="29" t="n"/>
      <ns0:c r="K33" s="29" t="n"/>
      <ns0:c r="L33" s="29" t="n"/>
      <ns0:c r="M33" s="29" t="n"/>
      <ns0:c r="N33" s="29" t="n"/>
      <ns0:c r="O33" s="29" t="n"/>
      <ns0:c r="P33" s="30" t="n"/>
      <ns0:c r="Q33" s="31" t="n"/>
      <ns0:c r="AD33" s="29" t="n"/>
      <ns0:c r="AE33" s="29" t="n"/>
      <ns0:c r="AF33" s="29" t="n"/>
      <ns0:c r="AG33" s="30" t="n"/>
    </ns0:row>
    <ns0:row r="34" ht="19.5" customHeight="1">
      <ns0:c r="B34" s="27" t="n"/>
      <ns0:c r="C34" s="40" t="inlineStr">
        <ns0:is>
          <ns0:t>Max</ns0:t>
        </ns0:is>
      </ns0:c>
      <ns0:c r="D34" s="41" t="n">
        <ns0:v>60.18</ns0:v>
      </ns0:c>
      <ns0:c r="E34" s="40" t="n">
        <ns0:v>65.41</ns0:v>
      </ns0:c>
      <ns0:c r="F34" s="41" t="n">
        <ns0:v>51.55</ns0:v>
      </ns0:c>
      <ns0:c r="G34" s="40" t="n">
        <ns0:v>48.62</ns0:v>
      </ns0:c>
      <ns0:c r="H34" s="41" t="n">
        <ns0:v>194.7</ns0:v>
      </ns0:c>
      <ns0:c r="I34" s="40" t="n">
        <ns0:v>200.4</ns0:v>
      </ns0:c>
      <ns0:c r="J34" s="29" t="n"/>
      <ns0:c r="K34" s="29" t="n"/>
      <ns0:c r="L34" s="29" t="n"/>
      <ns0:c r="M34" s="29" t="n"/>
      <ns0:c r="N34" s="29" t="n"/>
      <ns0:c r="O34" s="29" t="n"/>
      <ns0:c r="P34" s="30" t="n"/>
      <ns0:c r="Q34" s="31" t="n"/>
      <ns0:c r="AD34" s="29" t="n"/>
      <ns0:c r="AE34" s="29" t="n"/>
      <ns0:c r="AF34" s="29" t="n"/>
      <ns0:c r="AG34" s="30" t="n"/>
    </ns0:row>
    <ns0:row r="35" ht="19.5" customHeight="1">
      <ns0:c r="B35" s="27" t="n"/>
      <ns0:c r="C35" s="40" t="inlineStr">
        <ns0:is>
          <ns0:t>AVG</ns0:t>
        </ns0:is>
      </ns0:c>
      <ns0:c r="D35" s="42" t="n">
        <ns0:v>54.72916666666668</ns0:v>
      </ns0:c>
      <ns0:c r="E35" s="43" t="n">
        <ns0:v>58.38499999999999</ns0:v>
      </ns0:c>
      <ns0:c r="F35" s="42" t="n">
        <ns0:v>42.68750000000001</ns0:v>
      </ns0:c>
      <ns0:c r="G35" s="43" t="n">
        <ns0:v>44.28333333333333</ns0:v>
      </ns0:c>
      <ns0:c r="H35" s="42" t="n">
        <ns0:v>151.1333333333333</ns0:v>
      </ns0:c>
      <ns0:c r="I35" s="43" t="n">
        <ns0:v>182.6583333333333</ns0:v>
      </ns0:c>
      <ns0:c r="J35" s="29" t="n"/>
      <ns0:c r="K35" s="29" t="n"/>
      <ns0:c r="L35" s="29" t="n"/>
      <ns0:c r="M35" s="29" t="n"/>
      <ns0:c r="N35" s="29" t="n"/>
      <ns0:c r="O35" s="29" t="n"/>
      <ns0:c r="P35" s="30" t="n"/>
      <ns0:c r="Q35" s="31" t="n"/>
      <ns0:c r="AD35" s="29" t="n"/>
      <ns0:c r="AE35" s="29" t="n"/>
      <ns0:c r="AF35" s="29" t="n"/>
      <ns0:c r="AG35" s="30" t="n"/>
    </ns0:row>
    <ns0:row r="36" ht="19.5" customHeight="1">
      <ns0:c r="B36" s="27" t="n"/>
      <ns0:c r="C36" s="44" t="n"/>
      <ns0:c r="D36" s="44" t="n"/>
      <ns0:c r="E36" s="44" t="n"/>
      <ns0:c r="F36" s="45" t="n"/>
      <ns0:c r="G36" s="29" t="n"/>
      <ns0:c r="H36" s="44" t="n"/>
      <ns0:c r="I36" s="45" t="n"/>
      <ns0:c r="J36" s="29" t="n"/>
      <ns0:c r="K36" s="29" t="n"/>
      <ns0:c r="L36" s="29" t="n"/>
      <ns0:c r="M36" s="29" t="n"/>
      <ns0:c r="N36" s="29" t="n"/>
      <ns0:c r="O36" s="29" t="n"/>
      <ns0:c r="P36" s="30" t="n"/>
      <ns0:c r="Q36" s="31" t="n"/>
      <ns0:c r="AD36" s="29" t="n"/>
      <ns0:c r="AE36" s="29" t="n"/>
      <ns0:c r="AF36" s="29" t="n"/>
      <ns0:c r="AG36" s="30" t="n"/>
    </ns0:row>
    <ns0:row r="37" ht="19.5" customHeight="1">
      <ns0:c r="B37" s="27" t="n"/>
      <ns0:c r="C37" s="46" t="inlineStr">
        <ns0:is>
          <ns0:t>No</ns0:t>
        </ns0:is>
      </ns0:c>
      <ns0:c r="D37" s="32" t="inlineStr">
        <ns0:is>
          <ns0:t>Date</ns0:t>
        </ns0:is>
      </ns0:c>
      <ns0:c r="E37" s="47" t="inlineStr">
        <ns0:is>
          <ns0:t>Line</ns0:t>
        </ns0:is>
      </ns0:c>
      <ns0:c r="F37" s="46" t="inlineStr">
        <ns0:is>
          <ns0:t>Item</ns0:t>
        </ns0:is>
      </ns0:c>
      <ns0:c r="G37" s="33" t="n"/>
      <ns0:c r="H37" s="48" t="inlineStr">
        <ns0:is>
          <ns0:t>Q'ty check</ns0:t>
        </ns0:is>
      </ns0:c>
      <ns0:c r="I37" s="48" t="inlineStr">
        <ns0:is>
          <ns0:t>OK</ns0:t>
        </ns0:is>
      </ns0:c>
      <ns0:c r="J37" s="49" t="inlineStr">
        <ns0:is>
          <ns0:t>NG</ns0:t>
        </ns0:is>
      </ns0:c>
      <ns0:c r="K37" s="49" t="inlineStr">
        <ns0:is>
          <ns0:t xml:space="preserve"> NG Rate</ns0:t>
        </ns0:is>
      </ns0:c>
      <ns0:c r="L37" s="29" t="n"/>
      <ns0:c r="M37" s="29" t="n"/>
      <ns0:c r="N37" s="29" t="n"/>
      <ns0:c r="O37" s="29" t="n"/>
      <ns0:c r="P37" s="30" t="n"/>
      <ns0:c r="Q37" s="31" t="n"/>
      <ns0:c r="AD37" s="29" t="n"/>
      <ns0:c r="AE37" s="29" t="n"/>
      <ns0:c r="AF37" s="29" t="n"/>
      <ns0:c r="AG37" s="30" t="n"/>
    </ns0:row>
    <ns0:row r="38" ht="19.5" customHeight="1">
      <ns0:c r="B38" s="27" t="n"/>
      <ns0:c r="C38" s="36" t="n">
        <ns0:v>1</ns0:v>
      </ns0:c>
      <ns0:c r="D38" s="50" t="n">
        <ns0:v>45433</ns0:v>
      </ns0:c>
      <ns0:c r="E38" s="50" t="inlineStr">
        <ns0:is>
          <ns0:t>E2-4A</ns0:t>
        </ns0:is>
      </ns0:c>
      <ns0:c r="F38" s="36" t="inlineStr">
        <ns0:is>
          <ns0:t>YK Different colour</ns0:t>
        </ns0:is>
      </ns0:c>
      <ns0:c r="G38" s="33" t="n"/>
      <ns0:c r="H38" s="51" t="n">
        <ns0:v>12</ns0:v>
      </ns0:c>
      <ns0:c r="I38" s="51" t="n">
        <ns0:v>12</ns0:v>
      </ns0:c>
      <ns0:c r="J38" s="52" t="n">
        <ns0:v>0</ns0:v>
      </ns0:c>
      <ns0:c r="K38" s="53" t="n">
        <ns0:v>0</ns0:v>
      </ns0:c>
      <ns0:c r="L38" s="29" t="n"/>
      <ns0:c r="M38" s="29" t="n"/>
      <ns0:c r="N38" s="29" t="n"/>
      <ns0:c r="O38" s="29" t="n"/>
      <ns0:c r="P38" s="30" t="n"/>
      <ns0:c r="Q38" s="31" t="n"/>
      <ns0:c r="AD38" s="29" t="n"/>
      <ns0:c r="AE38" s="29" t="n"/>
      <ns0:c r="AF38" s="29" t="n"/>
      <ns0:c r="AG38" s="30" t="n"/>
    </ns0:row>
    <ns0:row r="39" ht="19.5" customHeight="1">
      <ns0:c r="B39" s="27" t="n"/>
      <ns0:c r="C39" s="36" t="n">
        <ns0:v>2</ns0:v>
      </ns0:c>
      <ns0:c r="D39" s="34" t="n"/>
      <ns0:c r="E39" s="34" t="n"/>
      <ns0:c r="F39" s="36" t="inlineStr">
        <ns0:is>
          <ns0:t>Normal</ns0:t>
        </ns0:is>
      </ns0:c>
      <ns0:c r="G39" s="33" t="n"/>
      <ns0:c r="H39" s="51" t="n">
        <ns0:v>12</ns0:v>
      </ns0:c>
      <ns0:c r="I39" s="51" t="n">
        <ns0:v>12</ns0:v>
      </ns0:c>
      <ns0:c r="J39" s="52" t="n">
        <ns0:v>0</ns0:v>
      </ns0:c>
      <ns0:c r="K39" s="53" t="n">
        <ns0:v>0</ns0:v>
      </ns0:c>
      <ns0:c r="L39" s="29" t="n"/>
      <ns0:c r="M39" s="29" t="n"/>
      <ns0:c r="N39" s="29" t="n"/>
      <ns0:c r="O39" s="29" t="n"/>
      <ns0:c r="P39" s="30" t="n"/>
      <ns0:c r="Q39" s="31" t="n"/>
      <ns0:c r="AD39" s="29" t="n"/>
      <ns0:c r="AE39" s="29" t="n"/>
      <ns0:c r="AF39" s="29" t="n"/>
      <ns0:c r="AG39" s="30" t="n"/>
    </ns0:row>
    <ns0:row r="40" ht="21" customHeight="1">
      <ns0:c r="B40" s="27" t="n"/>
      <ns0:c r="C40" s="54" t="inlineStr">
        <ns0:is>
          <ns0:t xml:space="preserve">2.RESULT CHECKING DROP TEST </ns0:t>
        </ns0:is>
      </ns0:c>
      <ns0:c r="D40" s="14" t="n"/>
      <ns0:c r="E40" s="14" t="n"/>
      <ns0:c r="F40" s="14" t="n"/>
      <ns0:c r="G40" s="14" t="n"/>
      <ns0:c r="H40" s="14" t="n"/>
      <ns0:c r="I40" s="14" t="n"/>
      <ns0:c r="J40" s="14" t="n"/>
      <ns0:c r="K40" s="55" t="n"/>
      <ns0:c r="L40" s="55" t="n"/>
      <ns0:c r="M40" s="55" t="n"/>
      <ns0:c r="N40" s="55" t="n"/>
      <ns0:c r="O40" s="55" t="n"/>
      <ns0:c r="P40" s="30" t="n"/>
      <ns0:c r="Q40" s="31" t="n"/>
      <ns0:c r="AD40" s="29" t="n"/>
      <ns0:c r="AE40" s="29" t="n"/>
      <ns0:c r="AF40" s="29" t="n"/>
      <ns0:c r="AG40" s="30" t="n"/>
    </ns0:row>
    <ns0:row r="41" ht="21" customHeight="1">
      <ns0:c r="B41" s="27" t="n"/>
      <ns0:c r="C41" s="46" t="inlineStr">
        <ns0:is>
          <ns0:t>No</ns0:t>
        </ns0:is>
      </ns0:c>
      <ns0:c r="D41" s="32" t="inlineStr">
        <ns0:is>
          <ns0:t>Date</ns0:t>
        </ns0:is>
      </ns0:c>
      <ns0:c r="E41" s="47" t="inlineStr">
        <ns0:is>
          <ns0:t>Line</ns0:t>
        </ns0:is>
      </ns0:c>
      <ns0:c r="F41" s="47" t="inlineStr">
        <ns0:is>
          <ns0:t>Type</ns0:t>
        </ns0:is>
      </ns0:c>
      <ns0:c r="G41" s="46" t="inlineStr">
        <ns0:is>
          <ns0:t>Item</ns0:t>
        </ns0:is>
      </ns0:c>
      <ns0:c r="H41" s="33" t="n"/>
      <ns0:c r="I41" s="48" t="inlineStr">
        <ns0:is>
          <ns0:t>Q'ty check</ns0:t>
        </ns0:is>
      </ns0:c>
      <ns0:c r="J41" s="48" t="inlineStr">
        <ns0:is>
          <ns0:t>OK</ns0:t>
        </ns0:is>
      </ns0:c>
      <ns0:c r="K41" s="49" t="inlineStr">
        <ns0:is>
          <ns0:t>NG</ns0:t>
        </ns0:is>
      </ns0:c>
      <ns0:c r="L41" s="49" t="inlineStr">
        <ns0:is>
          <ns0:t xml:space="preserve"> NG Rate</ns0:t>
        </ns0:is>
      </ns0:c>
      <ns0:c r="M41" s="29" t="n"/>
      <ns0:c r="N41" s="29" t="n"/>
      <ns0:c r="O41" s="55" t="n"/>
      <ns0:c r="P41" s="30" t="n"/>
      <ns0:c r="Q41" s="31" t="n"/>
      <ns0:c r="AD41" s="29" t="n"/>
      <ns0:c r="AE41" s="29" t="n"/>
      <ns0:c r="AF41" s="29" t="n"/>
      <ns0:c r="AG41" s="30" t="n"/>
    </ns0:row>
    <ns0:row r="42" ht="21" customHeight="1">
      <ns0:c r="B42" s="27" t="n"/>
      <ns0:c r="C42" s="36" t="n">
        <ns0:v>1</ns0:v>
      </ns0:c>
      <ns0:c r="D42" s="50" t="n">
        <ns0:v>45433</ns0:v>
      </ns0:c>
      <ns0:c r="E42" s="50" t="inlineStr">
        <ns0:is>
          <ns0:t>E2-4A</ns0:t>
        </ns0:is>
      </ns0:c>
      <ns0:c r="F42" s="36" t="inlineStr">
        <ns0:is>
          <ns0:t>Semi Yoke</ns0:t>
        </ns0:is>
      </ns0:c>
      <ns0:c r="G42" s="36" t="inlineStr">
        <ns0:is>
          <ns0:t>YK Different colour</ns0:t>
        </ns0:is>
      </ns0:c>
      <ns0:c r="H42" s="33" t="n"/>
      <ns0:c r="I42" s="51" t="n">
        <ns0:v>10</ns0:v>
      </ns0:c>
      <ns0:c r="J42" s="51" t="n">
        <ns0:v>10</ns0:v>
      </ns0:c>
      <ns0:c r="K42" s="52" t="n">
        <ns0:v>0</ns0:v>
      </ns0:c>
      <ns0:c r="L42" s="53" t="n">
        <ns0:v>0</ns0:v>
      </ns0:c>
      <ns0:c r="M42" s="29" t="n"/>
      <ns0:c r="N42" s="29" t="n"/>
      <ns0:c r="O42" s="29" t="n"/>
      <ns0:c r="P42" s="56" t="n"/>
      <ns0:c r="Q42" s="57" t="n"/>
      <ns0:c r="AD42" s="29" t="n"/>
      <ns0:c r="AE42" s="29" t="n"/>
      <ns0:c r="AF42" s="29" t="n"/>
      <ns0:c r="AG42" s="30" t="n"/>
    </ns0:row>
    <ns0:row r="43" ht="21" customHeight="1">
      <ns0:c r="B43" s="27" t="n"/>
      <ns0:c r="C43" s="36" t="n">
        <ns0:v>2</ns0:v>
      </ns0:c>
      <ns0:c r="D43" s="34" t="n"/>
      <ns0:c r="E43" s="58" t="n"/>
      <ns0:c r="F43" s="34" t="n"/>
      <ns0:c r="G43" s="36" t="inlineStr">
        <ns0:is>
          <ns0:t>Normal</ns0:t>
        </ns0:is>
      </ns0:c>
      <ns0:c r="H43" s="33" t="n"/>
      <ns0:c r="I43" s="51" t="n">
        <ns0:v>10</ns0:v>
      </ns0:c>
      <ns0:c r="J43" s="51" t="n">
        <ns0:v>10</ns0:v>
      </ns0:c>
      <ns0:c r="K43" s="52" t="n">
        <ns0:v>0</ns0:v>
      </ns0:c>
      <ns0:c r="L43" s="53" t="n">
        <ns0:v>0</ns0:v>
      </ns0:c>
      <ns0:c r="M43" s="29" t="n"/>
      <ns0:c r="N43" s="29" t="n"/>
      <ns0:c r="O43" s="29" t="n"/>
      <ns0:c r="P43" s="56" t="n"/>
      <ns0:c r="Q43" s="57" t="n"/>
      <ns0:c r="AD43" s="29" t="n"/>
      <ns0:c r="AE43" s="29" t="n"/>
      <ns0:c r="AF43" s="29" t="n"/>
      <ns0:c r="AG43" s="30" t="n"/>
    </ns0:row>
    <ns0:row r="44" ht="21" customHeight="1">
      <ns0:c r="B44" s="27" t="n"/>
      <ns0:c r="C44" s="36" t="n">
        <ns0:v>3</ns0:v>
      </ns0:c>
      <ns0:c r="D44" s="50" t="n">
        <ns0:v>45434</ns0:v>
      </ns0:c>
      <ns0:c r="E44" s="58" t="n"/>
      <ns0:c r="F44" s="36" t="inlineStr">
        <ns0:is>
          <ns0:t>Final SPK</ns0:t>
        </ns0:is>
      </ns0:c>
      <ns0:c r="G44" s="36" t="inlineStr">
        <ns0:is>
          <ns0:t>YK Different colour</ns0:t>
        </ns0:is>
      </ns0:c>
      <ns0:c r="H44" s="33" t="n"/>
      <ns0:c r="I44" s="51" t="n">
        <ns0:v>10</ns0:v>
      </ns0:c>
      <ns0:c r="J44" s="51" t="n">
        <ns0:v>10</ns0:v>
      </ns0:c>
      <ns0:c r="K44" s="52" t="n">
        <ns0:v>0</ns0:v>
      </ns0:c>
      <ns0:c r="L44" s="53" t="n">
        <ns0:v>0</ns0:v>
      </ns0:c>
      <ns0:c r="M44" s="29" t="n"/>
      <ns0:c r="N44" s="29" t="n"/>
      <ns0:c r="O44" s="29" t="n"/>
      <ns0:c r="P44" s="56" t="n"/>
      <ns0:c r="Q44" s="57" t="n"/>
      <ns0:c r="AD44" s="29" t="n"/>
      <ns0:c r="AE44" s="29" t="n"/>
      <ns0:c r="AF44" s="29" t="n"/>
      <ns0:c r="AG44" s="30" t="n"/>
    </ns0:row>
    <ns0:row r="45" ht="21" customHeight="1">
      <ns0:c r="B45" s="27" t="n"/>
      <ns0:c r="C45" s="36" t="n">
        <ns0:v>4</ns0:v>
      </ns0:c>
      <ns0:c r="D45" s="34" t="n"/>
      <ns0:c r="E45" s="34" t="n"/>
      <ns0:c r="F45" s="34" t="n"/>
      <ns0:c r="G45" s="36" t="inlineStr">
        <ns0:is>
          <ns0:t>Normal</ns0:t>
        </ns0:is>
      </ns0:c>
      <ns0:c r="H45" s="33" t="n"/>
      <ns0:c r="I45" s="51" t="n">
        <ns0:v>10</ns0:v>
      </ns0:c>
      <ns0:c r="J45" s="51" t="n">
        <ns0:v>10</ns0:v>
      </ns0:c>
      <ns0:c r="K45" s="52" t="n">
        <ns0:v>0</ns0:v>
      </ns0:c>
      <ns0:c r="L45" s="53" t="n">
        <ns0:v>0</ns0:v>
      </ns0:c>
      <ns0:c r="M45" s="29" t="n"/>
      <ns0:c r="N45" s="29" t="n"/>
      <ns0:c r="O45" s="29" t="n"/>
      <ns0:c r="P45" s="56" t="n"/>
      <ns0:c r="Q45" s="57" t="n"/>
      <ns0:c r="AD45" s="29" t="n"/>
      <ns0:c r="AE45" s="29" t="n"/>
      <ns0:c r="AF45" s="29" t="n"/>
      <ns0:c r="AG45" s="30" t="n"/>
    </ns0:row>
    <ns0:row r="46" ht="21" customHeight="1">
      <ns0:c r="B46" s="27" t="n"/>
      <ns0:c r="C46" s="55" t="inlineStr">
        <ns0:is>
          <ns0:t>3.RESULT CHECKING FUNCTION</ns0:t>
        </ns0:is>
      </ns0:c>
      <ns0:c r="K46" s="59" t="n"/>
      <ns0:c r="L46" s="59" t="n"/>
      <ns0:c r="M46" s="59" t="n"/>
      <ns0:c r="N46" s="59" t="n"/>
      <ns0:c r="O46" s="59" t="n"/>
      <ns0:c r="P46" s="56" t="n"/>
      <ns0:c r="Q46" s="57" t="n"/>
      <ns0:c r="AD46" s="29" t="n"/>
      <ns0:c r="AE46" s="29" t="n"/>
      <ns0:c r="AF46" s="29" t="n"/>
      <ns0:c r="AG46" s="30" t="n"/>
    </ns0:row>
    <ns0:row r="47" ht="21" customHeight="1">
      <ns0:c r="B47" s="27" t="n"/>
      <ns0:c r="C47" s="48" t="inlineStr">
        <ns0:is>
          <ns0:t>Date</ns0:t>
        </ns0:is>
      </ns0:c>
      <ns0:c r="D47" s="48" t="inlineStr">
        <ns0:is>
          <ns0:t>Type</ns0:t>
        </ns0:is>
      </ns0:c>
      <ns0:c r="E47" s="49" t="inlineStr">
        <ns0:is>
          <ns0:t xml:space="preserve">Input </ns0:t>
        </ns0:is>
      </ns0:c>
      <ns0:c r="F47" s="48" t="inlineStr">
        <ns0:is>
          <ns0:t xml:space="preserve">OK </ns0:t>
        </ns0:is>
      </ns0:c>
      <ns0:c r="G47" s="48" t="inlineStr">
        <ns0:is>
          <ns0:t xml:space="preserve">Sigma </ns0:t>
        </ns0:is>
      </ns0:c>
      <ns0:c r="H47" s="18" t="n"/>
      <ns0:c r="I47" s="18" t="n"/>
      <ns0:c r="J47" s="33" t="n"/>
      <ns0:c r="K47" s="48" t="inlineStr">
        <ns0:is>
          <ns0:t xml:space="preserve">Hearing </ns0:t>
        </ns0:is>
      </ns0:c>
      <ns0:c r="L47" s="33" t="n"/>
      <ns0:c r="M47" s="48" t="inlineStr">
        <ns0:is>
          <ns0:t>Total NG</ns0:t>
        </ns0:is>
      </ns0:c>
      <ns0:c r="N47" s="49" t="inlineStr">
        <ns0:is>
          <ns0:t>Total NG
 rate</ns0:t>
        </ns0:is>
      </ns0:c>
      <ns0:c r="O47" s="56" t="n"/>
      <ns0:c r="P47" s="56" t="n"/>
      <ns0:c r="Q47" s="57" t="n"/>
      <ns0:c r="AD47" s="29" t="n"/>
      <ns0:c r="AE47" s="29" t="n"/>
      <ns0:c r="AF47" s="29" t="n"/>
      <ns0:c r="AG47" s="30" t="n"/>
    </ns0:row>
    <ns0:row r="48" ht="21" customHeight="1">
      <ns0:c r="B48" s="27" t="n"/>
      <ns0:c r="C48" s="34" t="n"/>
      <ns0:c r="D48" s="34" t="n"/>
      <ns0:c r="E48" s="34" t="n"/>
      <ns0:c r="F48" s="34" t="n"/>
      <ns0:c r="G48" s="48" t="inlineStr">
        <ns0:is>
          <ns0:t xml:space="preserve">SPL </ns0:t>
        </ns0:is>
      </ns0:c>
      <ns0:c r="H48" s="48" t="inlineStr">
        <ns0:is>
          <ns0:t xml:space="preserve">THD </ns0:t>
        </ns0:is>
      </ns0:c>
      <ns0:c r="I48" s="48" t="inlineStr">
        <ns0:is>
          <ns0:t xml:space="preserve">SPL+THD </ns0:t>
        </ns0:is>
      </ns0:c>
      <ns0:c r="J48" s="48" t="inlineStr">
        <ns0:is>
          <ns0:t>SPL+THD+F0</ns0:t>
        </ns0:is>
      </ns0:c>
      <ns0:c r="K48" s="48" t="inlineStr">
        <ns0:is>
          <ns0:t xml:space="preserve">Noise </ns0:t>
        </ns0:is>
      </ns0:c>
      <ns0:c r="L48" s="48" t="inlineStr">
        <ns0:is>
          <ns0:t xml:space="preserve">Touch </ns0:t>
        </ns0:is>
      </ns0:c>
      <ns0:c r="M48" s="34" t="n"/>
      <ns0:c r="N48" s="34" t="n"/>
      <ns0:c r="O48" s="56" t="n"/>
      <ns0:c r="P48" s="56" t="n"/>
      <ns0:c r="Q48" s="57" t="n"/>
      <ns0:c r="AD48" s="29" t="n"/>
      <ns0:c r="AE48" s="29" t="n"/>
      <ns0:c r="AF48" s="29" t="n"/>
      <ns0:c r="AG48" s="30" t="n"/>
    </ns0:row>
    <ns0:row r="49" ht="24.1875" customHeight="1">
      <ns0:c r="B49" s="27" t="n"/>
      <ns0:c r="C49" s="60" t="n">
        <ns0:v>45434</ns0:v>
      </ns0:c>
      <ns0:c r="D49" s="61" t="inlineStr">
        <ns0:is>
          <ns0:t>YK Different colour</ns0:t>
        </ns0:is>
      </ns0:c>
      <ns0:c r="E49" s="62" t="n">
        <ns0:v>374</ns0:v>
      </ns0:c>
      <ns0:c r="F49" s="62" t="n">
        <ns0:v>342</ns0:v>
      </ns0:c>
      <ns0:c r="G49" s="63" t="n">
        <ns0:v>0</ns0:v>
      </ns0:c>
      <ns0:c r="H49" s="63" t="n">
        <ns0:v>0</ns0:v>
      </ns0:c>
      <ns0:c r="I49" s="63" t="n">
        <ns0:v>0</ns0:v>
      </ns0:c>
      <ns0:c r="J49" s="63" t="n">
        <ns0:v>0</ns0:v>
      </ns0:c>
      <ns0:c r="K49" s="63" t="n">
        <ns0:v>8</ns0:v>
      </ns0:c>
      <ns0:c r="L49" s="63" t="n">
        <ns0:v>24</ns0:v>
      </ns0:c>
      <ns0:c r="M49" s="63" t="n">
        <ns0:v>32</ns0:v>
      </ns0:c>
      <ns0:c r="N49" s="64" t="n">
        <ns0:v>0.0855614973262032</ns0:v>
      </ns0:c>
      <ns0:c r="O49" s="56" t="n"/>
      <ns0:c r="P49" s="56" t="n"/>
      <ns0:c r="Q49" s="57" t="n"/>
      <ns0:c r="AD49" s="29" t="n"/>
      <ns0:c r="AE49" s="29" t="n"/>
      <ns0:c r="AF49" s="29" t="n"/>
      <ns0:c r="AG49" s="30" t="n"/>
    </ns0:row>
    <ns0:row r="50" ht="24.1875" customHeight="1">
      <ns0:c r="B50" s="27" t="n"/>
      <ns0:c r="C50" s="58" t="n"/>
      <ns0:c r="D50" s="34" t="n"/>
      <ns0:c r="E50" s="34" t="n"/>
      <ns0:c r="F50" s="34" t="n"/>
      <ns0:c r="G50" s="65" t="n">
        <ns0:v>0</ns0:v>
      </ns0:c>
      <ns0:c r="H50" s="65" t="n">
        <ns0:v>0</ns0:v>
      </ns0:c>
      <ns0:c r="I50" s="65" t="n">
        <ns0:v>0</ns0:v>
      </ns0:c>
      <ns0:c r="J50" s="65" t="n">
        <ns0:v>0</ns0:v>
      </ns0:c>
      <ns0:c r="K50" s="65" t="n">
        <ns0:v>0.25</ns0:v>
      </ns0:c>
      <ns0:c r="L50" s="65" t="n">
        <ns0:v>0.75</ns0:v>
      </ns0:c>
      <ns0:c r="M50" s="34" t="n"/>
      <ns0:c r="N50" s="34" t="n"/>
      <ns0:c r="O50" s="56" t="n"/>
      <ns0:c r="P50" s="56" t="n"/>
      <ns0:c r="Q50" s="57" t="n"/>
      <ns0:c r="AD50" s="29" t="n"/>
      <ns0:c r="AE50" s="29" t="n"/>
      <ns0:c r="AF50" s="29" t="n"/>
      <ns0:c r="AG50" s="30" t="n"/>
    </ns0:row>
    <ns0:row r="51" ht="24.1875" customHeight="1">
      <ns0:c r="B51" s="27" t="n"/>
      <ns0:c r="C51" s="58" t="n"/>
      <ns0:c r="D51" s="66" t="inlineStr">
        <ns0:is>
          <ns0:t xml:space="preserve">Normal 
</ns0:t>
        </ns0:is>
      </ns0:c>
      <ns0:c r="E51" s="66" t="n">
        <ns0:v>399</ns0:v>
      </ns0:c>
      <ns0:c r="F51" s="67" t="n">
        <ns0:v>371</ns0:v>
      </ns0:c>
      <ns0:c r="G51" s="67" t="n">
        <ns0:v>0</ns0:v>
      </ns0:c>
      <ns0:c r="H51" s="67" t="n">
        <ns0:v>0</ns0:v>
      </ns0:c>
      <ns0:c r="I51" s="67" t="n">
        <ns0:v>0</ns0:v>
      </ns0:c>
      <ns0:c r="J51" s="67" t="n">
        <ns0:v>0</ns0:v>
      </ns0:c>
      <ns0:c r="K51" s="67" t="n">
        <ns0:v>16</ns0:v>
      </ns0:c>
      <ns0:c r="L51" s="67" t="n">
        <ns0:v>12</ns0:v>
      </ns0:c>
      <ns0:c r="M51" s="67" t="n">
        <ns0:v>28</ns0:v>
      </ns0:c>
      <ns0:c r="N51" s="68" t="n">
        <ns0:v>0.07017543859649122</ns0:v>
      </ns0:c>
      <ns0:c r="O51" s="56" t="n"/>
      <ns0:c r="P51" s="56" t="n"/>
      <ns0:c r="Q51" s="57" t="n"/>
      <ns0:c r="AD51" s="29" t="n"/>
      <ns0:c r="AE51" s="29" t="n"/>
      <ns0:c r="AF51" s="29" t="n"/>
      <ns0:c r="AG51" s="30" t="n"/>
    </ns0:row>
    <ns0:row r="52" ht="24.1875" customHeight="1">
      <ns0:c r="B52" s="27" t="n"/>
      <ns0:c r="C52" s="34" t="n"/>
      <ns0:c r="D52" s="34" t="n"/>
      <ns0:c r="E52" s="34" t="n"/>
      <ns0:c r="F52" s="34" t="n"/>
      <ns0:c r="G52" s="69" t="n">
        <ns0:v>0</ns0:v>
      </ns0:c>
      <ns0:c r="H52" s="69" t="n">
        <ns0:v>0</ns0:v>
      </ns0:c>
      <ns0:c r="I52" s="69" t="n">
        <ns0:v>0</ns0:v>
      </ns0:c>
      <ns0:c r="J52" s="69" t="n">
        <ns0:v>0</ns0:v>
      </ns0:c>
      <ns0:c r="K52" s="69" t="n">
        <ns0:v>0.5714285714285714</ns0:v>
      </ns0:c>
      <ns0:c r="L52" s="69" t="n">
        <ns0:v>0.4285714285714285</ns0:v>
      </ns0:c>
      <ns0:c r="M52" s="34" t="n"/>
      <ns0:c r="N52" s="34" t="n"/>
      <ns0:c r="O52" s="56" t="n"/>
      <ns0:c r="P52" s="56" t="n"/>
      <ns0:c r="Q52" s="57" t="n"/>
      <ns0:c r="AD52" s="29" t="n"/>
      <ns0:c r="AE52" s="29" t="n"/>
      <ns0:c r="AF52" s="29" t="n"/>
      <ns0:c r="AG52" s="30" t="n"/>
    </ns0:row>
    <ns0:row r="53" ht="21" customHeight="1">
      <ns0:c r="B53" s="27" t="n"/>
      <ns0:c r="C53" s="55" t="inlineStr">
        <ns0:is>
          <ns0:t xml:space="preserve">RESULT ANALYSE NG HEARING </ns0:t>
        </ns0:is>
      </ns0:c>
      <ns0:c r="K53" s="29" t="n"/>
      <ns0:c r="L53" s="29" t="n"/>
      <ns0:c r="M53" s="29" t="n"/>
      <ns0:c r="N53" s="29" t="n"/>
      <ns0:c r="O53" s="29" t="n"/>
      <ns0:c r="P53" s="56" t="n"/>
      <ns0:c r="Q53" s="57" t="n"/>
      <ns0:c r="AD53" s="29" t="n"/>
      <ns0:c r="AE53" s="29" t="n"/>
      <ns0:c r="AF53" s="29" t="n"/>
      <ns0:c r="AG53" s="30" t="n"/>
    </ns0:row>
    <ns0:row r="54" ht="21" customHeight="1">
      <ns0:c r="B54" s="27" t="n"/>
      <ns0:c r="C54" s="70" t="n"/>
      <ns0:c r="D54" s="71" t="n"/>
      <ns0:c r="E54" s="71" t="n"/>
      <ns0:c r="F54" s="70" t="n"/>
      <ns0:c r="G54" s="44" t="n"/>
      <ns0:c r="H54" s="44" t="n"/>
      <ns0:c r="I54" s="45" t="n"/>
      <ns0:c r="J54" s="29" t="n"/>
      <ns0:c r="K54" s="29" t="n"/>
      <ns0:c r="L54" s="29" t="n"/>
      <ns0:c r="M54" s="29" t="n"/>
      <ns0:c r="N54" s="29" t="n"/>
      <ns0:c r="O54" s="29" t="n"/>
      <ns0:c r="P54" s="56" t="n"/>
      <ns0:c r="Q54" s="57" t="n"/>
      <ns0:c r="AD54" s="29" t="n"/>
      <ns0:c r="AE54" s="29" t="n"/>
      <ns0:c r="AF54" s="29" t="n"/>
      <ns0:c r="AG54" s="30" t="n"/>
    </ns0:row>
    <ns0:row r="55" ht="21" customHeight="1">
      <ns0:c r="B55" s="27" t="n"/>
      <ns0:c r="C55" s="70" t="n"/>
      <ns0:c r="D55" s="71" t="n"/>
      <ns0:c r="E55" s="71" t="n"/>
      <ns0:c r="F55" s="70" t="n"/>
      <ns0:c r="G55" s="44" t="n"/>
      <ns0:c r="H55" s="44" t="n"/>
      <ns0:c r="I55" s="45" t="n"/>
      <ns0:c r="J55" s="29" t="n"/>
      <ns0:c r="K55" s="29" t="n"/>
      <ns0:c r="L55" s="29" t="n"/>
      <ns0:c r="M55" s="29" t="n"/>
      <ns0:c r="N55" s="29" t="n"/>
      <ns0:c r="O55" s="29" t="n"/>
      <ns0:c r="P55" s="56" t="n"/>
      <ns0:c r="Q55" s="57" t="n"/>
      <ns0:c r="AD55" s="29" t="n"/>
      <ns0:c r="AE55" s="29" t="n"/>
      <ns0:c r="AF55" s="29" t="n"/>
      <ns0:c r="AG55" s="30" t="n"/>
    </ns0:row>
    <ns0:row r="56" ht="21" customHeight="1">
      <ns0:c r="B56" s="27" t="n"/>
      <ns0:c r="C56" s="70" t="n"/>
      <ns0:c r="D56" s="71" t="n"/>
      <ns0:c r="E56" s="71" t="n"/>
      <ns0:c r="F56" s="70" t="n"/>
      <ns0:c r="G56" s="44" t="n"/>
      <ns0:c r="H56" s="44" t="n"/>
      <ns0:c r="I56" s="45" t="n"/>
      <ns0:c r="J56" s="29" t="n"/>
      <ns0:c r="K56" s="29" t="n"/>
      <ns0:c r="L56" s="29" t="n"/>
      <ns0:c r="M56" s="29" t="n"/>
      <ns0:c r="N56" s="29" t="n"/>
      <ns0:c r="O56" s="29" t="n"/>
      <ns0:c r="P56" s="56" t="n"/>
      <ns0:c r="Q56" s="57" t="n"/>
      <ns0:c r="AD56" s="29" t="n"/>
      <ns0:c r="AE56" s="29" t="n"/>
      <ns0:c r="AF56" s="29" t="n"/>
      <ns0:c r="AG56" s="30" t="n"/>
    </ns0:row>
    <ns0:row r="57" ht="21" customHeight="1">
      <ns0:c r="B57" s="27" t="n"/>
      <ns0:c r="C57" s="70" t="n"/>
      <ns0:c r="D57" s="71" t="n"/>
      <ns0:c r="E57" s="71" t="n"/>
      <ns0:c r="F57" s="70" t="n"/>
      <ns0:c r="G57" s="44" t="n"/>
      <ns0:c r="H57" s="44" t="n"/>
      <ns0:c r="I57" s="45" t="n"/>
      <ns0:c r="J57" s="29" t="n"/>
      <ns0:c r="K57" s="29" t="n"/>
      <ns0:c r="L57" s="29" t="n"/>
      <ns0:c r="M57" s="29" t="n"/>
      <ns0:c r="N57" s="29" t="n"/>
      <ns0:c r="O57" s="29" t="n"/>
      <ns0:c r="P57" s="56" t="n"/>
      <ns0:c r="Q57" s="57" t="n"/>
      <ns0:c r="AD57" s="29" t="n"/>
      <ns0:c r="AE57" s="29" t="n"/>
      <ns0:c r="AF57" s="29" t="n"/>
      <ns0:c r="AG57" s="30" t="n"/>
    </ns0:row>
    <ns0:row r="58" ht="21" customHeight="1">
      <ns0:c r="B58" s="27" t="n"/>
      <ns0:c r="C58" s="70" t="n"/>
      <ns0:c r="D58" s="71" t="n"/>
      <ns0:c r="E58" s="71" t="n"/>
      <ns0:c r="F58" s="70" t="n"/>
      <ns0:c r="G58" s="44" t="n"/>
      <ns0:c r="H58" s="44" t="n"/>
      <ns0:c r="I58" s="45" t="n"/>
      <ns0:c r="J58" s="29" t="n"/>
      <ns0:c r="K58" s="29" t="n"/>
      <ns0:c r="L58" s="29" t="n"/>
      <ns0:c r="M58" s="29" t="n"/>
      <ns0:c r="N58" s="29" t="n"/>
      <ns0:c r="O58" s="29" t="n"/>
      <ns0:c r="P58" s="56" t="n"/>
      <ns0:c r="Q58" s="57" t="n"/>
      <ns0:c r="AD58" s="29" t="n"/>
      <ns0:c r="AE58" s="29" t="n"/>
      <ns0:c r="AF58" s="29" t="n"/>
      <ns0:c r="AG58" s="30" t="n"/>
    </ns0:row>
    <ns0:row r="59" ht="21" customHeight="1">
      <ns0:c r="B59" s="27" t="n"/>
      <ns0:c r="C59" s="70" t="n"/>
      <ns0:c r="D59" s="71" t="n"/>
      <ns0:c r="E59" s="71" t="n"/>
      <ns0:c r="F59" s="70" t="n"/>
      <ns0:c r="G59" s="44" t="n"/>
      <ns0:c r="H59" s="44" t="n"/>
      <ns0:c r="I59" s="45" t="n"/>
      <ns0:c r="J59" s="29" t="n"/>
      <ns0:c r="K59" s="29" t="n"/>
      <ns0:c r="L59" s="29" t="n"/>
      <ns0:c r="M59" s="29" t="n"/>
      <ns0:c r="N59" s="29" t="n"/>
      <ns0:c r="O59" s="29" t="n"/>
      <ns0:c r="P59" s="56" t="n"/>
      <ns0:c r="Q59" s="57" t="n"/>
      <ns0:c r="AD59" s="29" t="n"/>
      <ns0:c r="AE59" s="29" t="n"/>
      <ns0:c r="AF59" s="29" t="n"/>
      <ns0:c r="AG59" s="30" t="n"/>
    </ns0:row>
    <ns0:row r="60" ht="21" customHeight="1">
      <ns0:c r="B60" s="27" t="n"/>
      <ns0:c r="C60" s="70" t="n"/>
      <ns0:c r="D60" s="71" t="n"/>
      <ns0:c r="E60" s="71" t="n"/>
      <ns0:c r="F60" s="70" t="n"/>
      <ns0:c r="G60" s="44" t="n"/>
      <ns0:c r="H60" s="44" t="n"/>
      <ns0:c r="I60" s="45" t="n"/>
      <ns0:c r="J60" s="29" t="n"/>
      <ns0:c r="K60" s="29" t="n"/>
      <ns0:c r="L60" s="29" t="n"/>
      <ns0:c r="M60" s="29" t="n"/>
      <ns0:c r="N60" s="29" t="n"/>
      <ns0:c r="O60" s="29" t="n"/>
      <ns0:c r="P60" s="56" t="n"/>
      <ns0:c r="Q60" s="57" t="n"/>
      <ns0:c r="AD60" s="29" t="n"/>
      <ns0:c r="AE60" s="29" t="n"/>
      <ns0:c r="AF60" s="29" t="n"/>
      <ns0:c r="AG60" s="30" t="n"/>
    </ns0:row>
    <ns0:row r="61" ht="21" customHeight="1">
      <ns0:c r="B61" s="27" t="n"/>
      <ns0:c r="C61" s="70" t="n"/>
      <ns0:c r="D61" s="71" t="n"/>
      <ns0:c r="E61" s="71" t="n"/>
      <ns0:c r="F61" s="70" t="n"/>
      <ns0:c r="G61" s="44" t="n"/>
      <ns0:c r="H61" s="44" t="n"/>
      <ns0:c r="I61" s="45" t="n"/>
      <ns0:c r="J61" s="29" t="n"/>
      <ns0:c r="K61" s="29" t="n"/>
      <ns0:c r="L61" s="29" t="n"/>
      <ns0:c r="M61" s="29" t="n"/>
      <ns0:c r="N61" s="29" t="n"/>
      <ns0:c r="O61" s="29" t="n"/>
      <ns0:c r="P61" s="56" t="n"/>
      <ns0:c r="Q61" s="57" t="n"/>
      <ns0:c r="AD61" s="29" t="n"/>
      <ns0:c r="AE61" s="29" t="n"/>
      <ns0:c r="AF61" s="29" t="n"/>
      <ns0:c r="AG61" s="30" t="n"/>
    </ns0:row>
    <ns0:row r="62" ht="21" customHeight="1">
      <ns0:c r="B62" s="27" t="n"/>
      <ns0:c r="C62" s="70" t="n"/>
      <ns0:c r="D62" s="71" t="n"/>
      <ns0:c r="E62" s="71" t="n"/>
      <ns0:c r="F62" s="70" t="n"/>
      <ns0:c r="G62" s="44" t="n"/>
      <ns0:c r="H62" s="44" t="n"/>
      <ns0:c r="I62" s="45" t="n"/>
      <ns0:c r="J62" s="29" t="n"/>
      <ns0:c r="K62" s="29" t="n"/>
      <ns0:c r="L62" s="29" t="n"/>
      <ns0:c r="M62" s="29" t="n"/>
      <ns0:c r="N62" s="29" t="n"/>
      <ns0:c r="O62" s="29" t="n"/>
      <ns0:c r="P62" s="56" t="n"/>
      <ns0:c r="Q62" s="57" t="n"/>
      <ns0:c r="AD62" s="29" t="n"/>
      <ns0:c r="AE62" s="29" t="n"/>
      <ns0:c r="AF62" s="29" t="n"/>
      <ns0:c r="AG62" s="30" t="n"/>
    </ns0:row>
    <ns0:row r="63" ht="21" customHeight="1">
      <ns0:c r="B63" s="27" t="n"/>
      <ns0:c r="C63" s="70" t="n"/>
      <ns0:c r="D63" s="71" t="n"/>
      <ns0:c r="E63" s="71" t="n"/>
      <ns0:c r="F63" s="70" t="n"/>
      <ns0:c r="G63" s="44" t="n"/>
      <ns0:c r="H63" s="44" t="n"/>
      <ns0:c r="I63" s="45" t="n"/>
      <ns0:c r="J63" s="29" t="n"/>
      <ns0:c r="K63" s="29" t="n"/>
      <ns0:c r="L63" s="29" t="n"/>
      <ns0:c r="M63" s="29" t="n"/>
      <ns0:c r="N63" s="29" t="n"/>
      <ns0:c r="O63" s="29" t="n"/>
      <ns0:c r="P63" s="56" t="n"/>
      <ns0:c r="Q63" s="57" t="n"/>
      <ns0:c r="AD63" s="29" t="n"/>
      <ns0:c r="AE63" s="29" t="n"/>
      <ns0:c r="AF63" s="29" t="n"/>
      <ns0:c r="AG63" s="30" t="n"/>
    </ns0:row>
    <ns0:row r="64" ht="21" customHeight="1">
      <ns0:c r="B64" s="27" t="n"/>
      <ns0:c r="C64" s="70" t="n"/>
      <ns0:c r="D64" s="71" t="n"/>
      <ns0:c r="E64" s="71" t="n"/>
      <ns0:c r="F64" s="70" t="n"/>
      <ns0:c r="G64" s="44" t="n"/>
      <ns0:c r="H64" s="44" t="n"/>
      <ns0:c r="I64" s="45" t="n"/>
      <ns0:c r="J64" s="29" t="n"/>
      <ns0:c r="K64" s="29" t="n"/>
      <ns0:c r="L64" s="29" t="n"/>
      <ns0:c r="M64" s="29" t="n"/>
      <ns0:c r="N64" s="29" t="n"/>
      <ns0:c r="O64" s="29" t="n"/>
      <ns0:c r="P64" s="56" t="n"/>
      <ns0:c r="Q64" s="57" t="n"/>
      <ns0:c r="AD64" s="29" t="n"/>
      <ns0:c r="AE64" s="29" t="n"/>
      <ns0:c r="AF64" s="29" t="n"/>
      <ns0:c r="AG64" s="30" t="n"/>
    </ns0:row>
    <ns0:row r="65" ht="21" customHeight="1">
      <ns0:c r="B65" s="27" t="n"/>
      <ns0:c r="C65" s="70" t="n"/>
      <ns0:c r="D65" s="71" t="n"/>
      <ns0:c r="E65" s="71" t="n"/>
      <ns0:c r="F65" s="70" t="n"/>
      <ns0:c r="G65" s="44" t="n"/>
      <ns0:c r="H65" s="44" t="n"/>
      <ns0:c r="I65" s="45" t="n"/>
      <ns0:c r="J65" s="29" t="n"/>
      <ns0:c r="K65" s="29" t="n"/>
      <ns0:c r="L65" s="29" t="n"/>
      <ns0:c r="M65" s="29" t="n"/>
      <ns0:c r="N65" s="29" t="n"/>
      <ns0:c r="O65" s="29" t="n"/>
      <ns0:c r="P65" s="56" t="n"/>
      <ns0:c r="Q65" s="57" t="n"/>
      <ns0:c r="AD65" s="29" t="n"/>
      <ns0:c r="AE65" s="29" t="n"/>
      <ns0:c r="AF65" s="29" t="n"/>
      <ns0:c r="AG65" s="30" t="n"/>
    </ns0:row>
    <ns0:row r="66" ht="21" customHeight="1">
      <ns0:c r="B66" s="17" t="inlineStr">
        <ns0:is>
          <ns0:t>4. Decision</ns0:t>
        </ns0:is>
      </ns0:c>
      <ns0:c r="C66" s="18" t="n"/>
      <ns0:c r="D66" s="18" t="n"/>
      <ns0:c r="E66" s="18" t="n"/>
      <ns0:c r="F66" s="18" t="n"/>
      <ns0:c r="G66" s="18" t="n"/>
      <ns0:c r="H66" s="18" t="n"/>
      <ns0:c r="I66" s="18" t="n"/>
      <ns0:c r="J66" s="18" t="n"/>
      <ns0:c r="K66" s="18" t="n"/>
      <ns0:c r="L66" s="18" t="n"/>
      <ns0:c r="M66" s="18" t="n"/>
      <ns0:c r="N66" s="18" t="n"/>
      <ns0:c r="O66" s="18" t="n"/>
      <ns0:c r="P66" s="18" t="n"/>
      <ns0:c r="Q66" s="19" t="n"/>
    </ns0:row>
    <ns0:row r="67" ht="21" customHeight="1">
      <ns0:c r="B67" s="72" t="inlineStr">
        <ns0:is>
          <ns0:t xml:space="preserve"> - Result checking tension YK+SM and YK+CM ALL OK</ns0:t>
        </ns0:is>
      </ns0:c>
      <ns0:c r="C67" s="21" t="n"/>
      <ns0:c r="D67" s="21" t="n"/>
      <ns0:c r="E67" s="21" t="n"/>
      <ns0:c r="F67" s="21" t="n"/>
      <ns0:c r="G67" s="21" t="n"/>
      <ns0:c r="H67" s="21" t="n"/>
      <ns0:c r="I67" s="21" t="n"/>
      <ns0:c r="J67" s="21" t="n"/>
      <ns0:c r="K67" s="21" t="n"/>
      <ns0:c r="L67" s="21" t="n"/>
      <ns0:c r="M67" s="21" t="n"/>
      <ns0:c r="N67" s="21" t="n"/>
      <ns0:c r="O67" s="21" t="n"/>
      <ns0:c r="P67" s="21" t="n"/>
      <ns0:c r="Q67" s="22" t="n"/>
    </ns0:row>
    <ns0:row r="68" ht="21" customHeight="1">
      <ns0:c r="B68" s="73" t="inlineStr">
        <ns0:is>
          <ns0:t xml:space="preserve"> - Result checking Drop test semi Yoke and Final sample ALL OK</ns0:t>
        </ns0:is>
      </ns0:c>
      <ns0:c r="Q68" s="26" t="n"/>
    </ns0:row>
    <ns0:row r="69" ht="21" customHeight="1">
      <ns0:c r="B69" s="73" t="inlineStr">
        <ns0:is>
          <ns0:t xml:space="preserve"> - Result checking Function NG 32/374pcs rate 8.6% higher NG rate normal 7% decap NG sample reason : SM offset and coil deform and VP DOME+COIL separate </ns0:t>
        </ns0:is>
      </ns0:c>
      <ns0:c r="Q69" s="26" t="n"/>
    </ns0:row>
    <ns0:row r="70" ht="21" customHeight="1">
      <ns0:c r="B70" s="73" t="inlineStr">
        <ns0:is>
          <ns0:t xml:space="preserve"> =&gt; Need test more 2nd Q'ty 500pcs</ns0:t>
        </ns0:is>
      </ns0:c>
      <ns0:c r="Q70" s="26" t="n"/>
    </ns0:row>
    <ns0:row r="71" ht="21" customHeight="1">
      <ns0:c r="B71" s="73" t="n"/>
      <ns0:c r="Q71" s="26" t="n"/>
    </ns0:row>
    <ns0:row r="72" ht="21" customHeight="1">
      <ns0:c r="B72" s="73" t="n"/>
      <ns0:c r="Q72" s="26" t="n"/>
    </ns0:row>
    <ns0:row r="73" ht="21" customHeight="1">
      <ns0:c r="B73" s="74" t="n"/>
      <ns0:c r="C73" s="75" t="n"/>
      <ns0:c r="D73" s="75" t="n"/>
      <ns0:c r="E73" s="75" t="n"/>
      <ns0:c r="F73" s="75" t="n"/>
      <ns0:c r="G73" s="75" t="n"/>
      <ns0:c r="H73" s="75" t="n"/>
      <ns0:c r="I73" s="75" t="n"/>
      <ns0:c r="J73" s="75" t="n"/>
      <ns0:c r="K73" s="75" t="n"/>
      <ns0:c r="L73" s="75" t="n"/>
      <ns0:c r="M73" s="75" t="n"/>
      <ns0:c r="N73" s="75" t="n"/>
      <ns0:c r="O73" s="75" t="n"/>
      <ns0:c r="P73" s="75" t="n"/>
      <ns0:c r="Q73" s="76" t="n"/>
    </ns0:row>
    <ns0:row r="74" ht="25.5" customHeight="1"/>
  </ns0:sheetData>
  <ns0:mergeCells count="64">
    <ns0:mergeCell ref="F44:F45"/>
    <ns0:mergeCell ref="B10:Q10"/>
    <ns0:mergeCell ref="G43:H43"/>
    <ns0:mergeCell ref="D49:D50"/>
    <ns0:mergeCell ref="C17:I17"/>
    <ns0:mergeCell ref="D19:E19"/>
    <ns0:mergeCell ref="B9:Q9"/>
    <ns0:mergeCell ref="F19:G19"/>
    <ns0:mergeCell ref="G42:H42"/>
    <ns0:mergeCell ref="N47:N48"/>
    <ns0:mergeCell ref="E51:E52"/>
    <ns0:mergeCell ref="E42:E45"/>
    <ns0:mergeCell ref="M51:M52"/>
    <ns0:mergeCell ref="G47:J47"/>
    <ns0:mergeCell ref="C2:O4"/>
    <ns0:mergeCell ref="B6:Q6"/>
    <ns0:mergeCell ref="B68:Q68"/>
    <ns0:mergeCell ref="B15:Q15"/>
    <ns0:mergeCell ref="B5:Q5"/>
    <ns0:mergeCell ref="C18:I18"/>
    <ns0:mergeCell ref="E38:E39"/>
    <ns0:mergeCell ref="C47:C48"/>
    <ns0:mergeCell ref="F51:F52"/>
    <ns0:mergeCell ref="K47:L47"/>
    <ns0:mergeCell ref="F42:F43"/>
    <ns0:mergeCell ref="D47:D48"/>
    <ns0:mergeCell ref="F47:F48"/>
    <ns0:mergeCell ref="B16:Q16"/>
    <ns0:mergeCell ref="E49:E50"/>
    <ns0:mergeCell ref="B7:Q7"/>
    <ns0:mergeCell ref="B72:Q72"/>
    <ns0:mergeCell ref="C40:J40"/>
    <ns0:mergeCell ref="B66:Q66"/>
    <ns0:mergeCell ref="F38:G38"/>
    <ns0:mergeCell ref="C46:J46"/>
    <ns0:mergeCell ref="B71:Q71"/>
    <ns0:mergeCell ref="B12:Q12"/>
    <ns0:mergeCell ref="H19:I19"/>
    <ns0:mergeCell ref="G45:H45"/>
    <ns0:mergeCell ref="B70:Q70"/>
    <ns0:mergeCell ref="B2:B4"/>
    <ns0:mergeCell ref="D42:D43"/>
    <ns0:mergeCell ref="F49:F50"/>
    <ns0:mergeCell ref="B11:Q11"/>
    <ns0:mergeCell ref="C19:C20"/>
    <ns0:mergeCell ref="N49:N50"/>
    <ns0:mergeCell ref="B67:Q67"/>
    <ns0:mergeCell ref="F37:G37"/>
    <ns0:mergeCell ref="F39:G39"/>
    <ns0:mergeCell ref="B14:Q14"/>
    <ns0:mergeCell ref="E47:E48"/>
    <ns0:mergeCell ref="D51:D52"/>
    <ns0:mergeCell ref="D38:D39"/>
    <ns0:mergeCell ref="M47:M48"/>
    <ns0:mergeCell ref="B8:Q8"/>
    <ns0:mergeCell ref="G41:H41"/>
    <ns0:mergeCell ref="N51:N52"/>
    <ns0:mergeCell ref="B13:Q13"/>
    <ns0:mergeCell ref="G44:H44"/>
    <ns0:mergeCell ref="B69:Q69"/>
    <ns0:mergeCell ref="C53:J53"/>
    <ns0:mergeCell ref="D44:D45"/>
    <ns0:mergeCell ref="C49:C52"/>
    <ns0:mergeCell ref="M49:M5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5:AY164"/>
  <ns0:sheetViews>
    <ns0:sheetView workbookViewId="0">
      <ns0:selection activeCell="A1" sqref="A1"/>
    </ns0:sheetView>
  </ns0:sheetViews>
  <ns0:sheetFormatPr baseColWidth="8" defaultRowHeight="15"/>
  <ns0:cols>
    <ns0:col width="6.75" customWidth="1" min="1" max="1"/>
    <ns0:col width="12" customWidth="1" min="2" max="2"/>
    <ns0:col width="15.5" customWidth="1" min="3" max="3"/>
    <ns0:col width="20.75" customWidth="1" min="4" max="4"/>
    <ns0:col width="18.75" customWidth="1" min="5" max="5"/>
    <ns0:col width="8.880000000000001" customWidth="1" min="6" max="6"/>
    <ns0:col width="12.88" customWidth="1" min="7" max="7"/>
    <ns0:col width="15.38" customWidth="1" min="8" max="8"/>
    <ns0:col width="12" customWidth="1" min="9" max="9"/>
    <ns0:col width="18.25" customWidth="1" min="10" max="10"/>
    <ns0:col width="18.25" customWidth="1" min="11" max="11"/>
    <ns0:col width="18.25" customWidth="1" min="12" max="12"/>
    <ns0:col width="16.88" customWidth="1" min="13" max="13"/>
    <ns0:col width="14" customWidth="1" min="14" max="14"/>
    <ns0:col width="14" customWidth="1" min="15" max="15"/>
    <ns0:col width="14" customWidth="1" min="16" max="16"/>
    <ns0:col width="14" customWidth="1" min="17" max="17"/>
    <ns0:col width="14" customWidth="1" min="18" max="18"/>
    <ns0:col width="14" customWidth="1" min="19" max="19"/>
    <ns0:col width="14" customWidth="1" min="20" max="20"/>
    <ns0:col width="14" customWidth="1" min="21" max="21"/>
    <ns0:col width="14" customWidth="1" min="22" max="22"/>
    <ns0:col width="14" customWidth="1" min="23" max="23"/>
    <ns0:col width="14" customWidth="1" min="24" max="24"/>
    <ns0:col width="14" customWidth="1" min="25" max="25"/>
    <ns0:col width="14" customWidth="1" min="26" max="26"/>
    <ns0:col width="14" customWidth="1" min="27" max="27"/>
    <ns0:col width="14" customWidth="1" min="28" max="28"/>
    <ns0:col width="14" customWidth="1" min="29" max="29"/>
    <ns0:col width="14" customWidth="1" min="30" max="30"/>
    <ns0:col width="14" customWidth="1" min="31" max="31"/>
    <ns0:col width="14" customWidth="1" min="32" max="32"/>
    <ns0:col width="14" customWidth="1" min="33" max="33"/>
    <ns0:col width="14" customWidth="1" min="34" max="34"/>
    <ns0:col width="14" customWidth="1" min="35" max="35"/>
    <ns0:col width="14" customWidth="1" min="36" max="36"/>
    <ns0:col width="14" customWidth="1" min="37" max="37"/>
    <ns0:col width="14" customWidth="1" min="38" max="38"/>
    <ns0:col width="14" customWidth="1" min="39" max="39"/>
    <ns0:col width="14" customWidth="1" min="40" max="40"/>
    <ns0:col width="14" customWidth="1" min="41" max="41"/>
    <ns0:col width="14" customWidth="1" min="42" max="42"/>
    <ns0:col width="14" customWidth="1" min="43" max="43"/>
    <ns0:col width="14" customWidth="1" min="44" max="44"/>
    <ns0:col width="14" customWidth="1" min="45" max="45"/>
    <ns0:col width="14" customWidth="1" min="46" max="46"/>
    <ns0:col width="14" customWidth="1" min="47" max="47"/>
    <ns0:col width="14" customWidth="1" min="48" max="48"/>
    <ns0:col width="14" customWidth="1" min="49" max="49"/>
    <ns0:col width="34.25" customWidth="1" min="50" max="50"/>
    <ns0:col width="17.25" customWidth="1" min="51" max="51"/>
    <ns0:col width="14" customWidth="1" min="52" max="52"/>
    <ns0:col width="14" customWidth="1" min="53" max="53"/>
    <ns0:col width="15.5" customWidth="1" min="54" max="54"/>
    <ns0:col width="13.88" customWidth="1" min="55" max="55"/>
    <ns0:col width="13.88" customWidth="1" min="56" max="56"/>
    <ns0:col width="13.88" customWidth="1" min="57" max="57"/>
    <ns0:col width="13.88" customWidth="1" min="58" max="58"/>
    <ns0:col width="13.88" customWidth="1" min="59" max="59"/>
    <ns0:col width="13.88" customWidth="1" min="60" max="60"/>
    <ns0:col width="13.88" customWidth="1" min="61" max="61"/>
    <ns0:col width="13.88" customWidth="1" min="62" max="62"/>
    <ns0:col width="13.88" customWidth="1" min="63" max="63"/>
    <ns0:col width="13.88" customWidth="1" min="64" max="64"/>
    <ns0:col width="13.88" customWidth="1" min="65" max="65"/>
    <ns0:col width="13.88" customWidth="1" min="66" max="66"/>
    <ns0:col width="13.88" customWidth="1" min="67" max="67"/>
    <ns0:col width="13.88" customWidth="1" min="68" max="68"/>
    <ns0:col width="13.88" customWidth="1" min="69" max="69"/>
    <ns0:col width="13.88" customWidth="1" min="70" max="70"/>
    <ns0:col width="13.88" customWidth="1" min="71" max="71"/>
    <ns0:col width="13.88" customWidth="1" min="72" max="72"/>
    <ns0:col width="13.88" customWidth="1" min="73" max="73"/>
    <ns0:col width="13.88" customWidth="1" min="74" max="74"/>
    <ns0:col width="13.88" customWidth="1" min="75" max="75"/>
    <ns0:col width="13.88" customWidth="1" min="76" max="76"/>
    <ns0:col width="13.88" customWidth="1" min="77" max="77"/>
    <ns0:col width="13.88" customWidth="1" min="78" max="78"/>
    <ns0:col width="13.88" customWidth="1" min="79" max="79"/>
    <ns0:col width="13.88" customWidth="1" min="80" max="80"/>
    <ns0:col width="13.88" customWidth="1" min="81" max="81"/>
    <ns0:col width="13.88" customWidth="1" min="82" max="82"/>
    <ns0:col width="13.88" customWidth="1" min="83" max="83"/>
    <ns0:col width="13.88" customWidth="1" min="84" max="84"/>
    <ns0:col width="13.88" customWidth="1" min="85" max="85"/>
    <ns0:col width="13.88" customWidth="1" min="86" max="86"/>
    <ns0:col width="13.88" customWidth="1" min="87" max="87"/>
    <ns0:col width="13.88" customWidth="1" min="88" max="88"/>
    <ns0:col width="13.88" customWidth="1" min="89" max="89"/>
    <ns0:col width="13.88" customWidth="1" min="90" max="90"/>
    <ns0:col width="13.88" customWidth="1" min="91" max="91"/>
    <ns0:col width="13.88" customWidth="1" min="92" max="92"/>
    <ns0:col width="13.88" customWidth="1" min="93" max="93"/>
    <ns0:col width="13.88" customWidth="1" min="94" max="94"/>
    <ns0:col width="13.88" customWidth="1" min="95" max="95"/>
    <ns0:col width="13.88" customWidth="1" min="96" max="96"/>
    <ns0:col width="13.88" customWidth="1" min="97" max="97"/>
    <ns0:col width="13.88" customWidth="1" min="98" max="98"/>
    <ns0:col width="13.88" customWidth="1" min="99" max="99"/>
    <ns0:col width="13.88" customWidth="1" min="100" max="100"/>
    <ns0:col width="13.88" customWidth="1" min="101" max="101"/>
    <ns0:col width="13.88" customWidth="1" min="102" max="102"/>
    <ns0:col width="13.88" customWidth="1" min="103" max="103"/>
    <ns0:col width="13.88" customWidth="1" min="104" max="104"/>
    <ns0:col width="13.88" customWidth="1" min="105" max="105"/>
    <ns0:col width="13.88" customWidth="1" min="106" max="106"/>
    <ns0:col width="13.88" customWidth="1" min="107" max="107"/>
    <ns0:col width="13.88" customWidth="1" min="108" max="108"/>
    <ns0:col width="13.88" customWidth="1" min="109" max="109"/>
    <ns0:col width="13.88" customWidth="1" min="110" max="110"/>
    <ns0:col width="13.88" customWidth="1" min="111" max="111"/>
    <ns0:col width="13.88" customWidth="1" min="112" max="112"/>
    <ns0:col width="13.88" customWidth="1" min="113" max="113"/>
    <ns0:col width="13.88" customWidth="1" min="114" max="114"/>
    <ns0:col width="13.88" customWidth="1" min="115" max="115"/>
    <ns0:col width="13.88" customWidth="1" min="116" max="116"/>
    <ns0:col width="13.88" customWidth="1" min="117" max="117"/>
    <ns0:col width="13.88" customWidth="1" min="118" max="118"/>
    <ns0:col width="13.88" customWidth="1" min="119" max="119"/>
    <ns0:col width="13.88" customWidth="1" min="120" max="120"/>
    <ns0:col width="13.88" customWidth="1" min="121" max="121"/>
    <ns0:col width="13.88" customWidth="1" min="122" max="122"/>
    <ns0:col width="13.88" customWidth="1" min="123" max="123"/>
    <ns0:col width="13.88" customWidth="1" min="124" max="124"/>
    <ns0:col width="13.88" customWidth="1" min="125" max="125"/>
    <ns0:col width="13.88" customWidth="1" min="126" max="126"/>
    <ns0:col width="13.88" customWidth="1" min="127" max="127"/>
    <ns0:col width="13.88" customWidth="1" min="128" max="128"/>
    <ns0:col width="13.88" customWidth="1" min="129" max="129"/>
    <ns0:col width="13.88" customWidth="1" min="130" max="130"/>
    <ns0:col width="13.88" customWidth="1" min="131" max="131"/>
    <ns0:col width="13.88" customWidth="1" min="132" max="132"/>
    <ns0:col width="13.88" customWidth="1" min="133" max="133"/>
    <ns0:col width="13.88" customWidth="1" min="134" max="134"/>
    <ns0:col width="13.88" customWidth="1" min="135" max="135"/>
    <ns0:col width="13.88" customWidth="1" min="136" max="136"/>
    <ns0:col width="13.88" customWidth="1" min="137" max="137"/>
    <ns0:col width="13.88" customWidth="1" min="138" max="138"/>
    <ns0:col width="13.88" customWidth="1" min="139" max="139"/>
    <ns0:col width="13.88" customWidth="1" min="140" max="140"/>
    <ns0:col width="13.88" customWidth="1" min="141" max="141"/>
    <ns0:col width="13.88" customWidth="1" min="142" max="142"/>
    <ns0:col width="13.88" customWidth="1" min="143" max="143"/>
    <ns0:col width="13.88" customWidth="1" min="144" max="144"/>
    <ns0:col width="13.88" customWidth="1" min="145" max="145"/>
    <ns0:col width="13.88" customWidth="1" min="146" max="146"/>
    <ns0:col width="13.88" customWidth="1" min="147" max="147"/>
    <ns0:col width="13.88" customWidth="1" min="148" max="148"/>
    <ns0:col width="13.88" customWidth="1" min="149" max="149"/>
    <ns0:col width="13.88" customWidth="1" min="150" max="150"/>
    <ns0:col width="13.88" customWidth="1" min="151" max="151"/>
    <ns0:col width="13.88" customWidth="1" min="152" max="152"/>
    <ns0:col width="13.88" customWidth="1" min="153" max="153"/>
    <ns0:col width="13.88" customWidth="1" min="154" max="154"/>
    <ns0:col width="13.88" customWidth="1" min="155" max="155"/>
    <ns0:col width="13.88" customWidth="1" min="156" max="156"/>
    <ns0:col width="13.88" customWidth="1" min="157" max="157"/>
    <ns0:col width="13.88" customWidth="1" min="158" max="158"/>
    <ns0:col width="13.88" customWidth="1" min="159" max="159"/>
    <ns0:col width="13.88" customWidth="1" min="160" max="160"/>
    <ns0:col width="13.88" customWidth="1" min="161" max="161"/>
    <ns0:col width="13.88" customWidth="1" min="162" max="162"/>
    <ns0:col width="13.88" customWidth="1" min="163" max="163"/>
    <ns0:col width="13.88" customWidth="1" min="164" max="164"/>
    <ns0:col width="13.88" customWidth="1" min="165" max="165"/>
    <ns0:col width="13.88" customWidth="1" min="166" max="166"/>
    <ns0:col width="13.88" customWidth="1" min="167" max="167"/>
    <ns0:col width="13.88" customWidth="1" min="168" max="168"/>
    <ns0:col width="13.88" customWidth="1" min="169" max="169"/>
    <ns0:col width="13.88" customWidth="1" min="170" max="170"/>
    <ns0:col width="13.88" customWidth="1" min="171" max="171"/>
    <ns0:col width="13.88" customWidth="1" min="172" max="172"/>
    <ns0:col width="13.88" customWidth="1" min="173" max="173"/>
    <ns0:col width="13.88" customWidth="1" min="174" max="174"/>
    <ns0:col width="13.88" customWidth="1" min="175" max="175"/>
    <ns0:col width="13.88" customWidth="1" min="176" max="176"/>
    <ns0:col width="13.88" customWidth="1" min="177" max="177"/>
    <ns0:col width="13.88" customWidth="1" min="178" max="178"/>
    <ns0:col width="13.88" customWidth="1" min="179" max="179"/>
    <ns0:col width="13.88" customWidth="1" min="180" max="180"/>
    <ns0:col width="13.88" customWidth="1" min="181" max="181"/>
    <ns0:col width="13.88" customWidth="1" min="182" max="182"/>
    <ns0:col width="13.88" customWidth="1" min="183" max="183"/>
    <ns0:col width="13.88" customWidth="1" min="184" max="184"/>
    <ns0:col width="13.88" customWidth="1" min="185" max="185"/>
    <ns0:col width="13.88" customWidth="1" min="186" max="186"/>
    <ns0:col width="13.88" customWidth="1" min="187" max="187"/>
    <ns0:col width="13.88" customWidth="1" min="188" max="188"/>
    <ns0:col width="13.88" customWidth="1" min="189" max="189"/>
    <ns0:col width="13.88" customWidth="1" min="190" max="190"/>
  </ns0:cols>
  <ns0:sheetData>
    <ns0:row r="4" ht="17.25" customHeight="1"/>
    <ns0:row r="5" ht="36" customHeight="1">
      <ns0:c r="B5" t="inlineStr">
        <ns0:is>
          <ns0:t>TITLE</ns0:t>
        </ns0:is>
      </ns0:c>
      <ns0:c r="D5" t="inlineStr">
        <ns0:is>
          <ns0:t>REPORT ANALYZE NG FUNCTION MODEL BRS-201506</ns0:t>
        </ns0:is>
      </ns0:c>
      <ns0:c r="AX5" t="inlineStr">
        <ns0:is>
          <ns0:t>Dept</ns0:t>
        </ns0:is>
      </ns0:c>
      <ns0:c r="AY5" t="inlineStr">
        <ns0:is>
          <ns0:t>ME - Auto SPK</ns0:t>
        </ns0:is>
      </ns0:c>
    </ns0:row>
    <ns0:row r="6" ht="45" customHeight="1">
      <ns0:c r="AX6" t="inlineStr">
        <ns0:is>
          <ns0:t>Date</ns0:t>
        </ns0:is>
      </ns0:c>
      <ns0:c r="AY6" s="77" t="n">
        <ns0:v>45434</ns0:v>
      </ns0:c>
    </ns0:row>
    <ns0:row r="7" ht="45" customHeight="1">
      <ns0:c r="AX7" t="inlineStr">
        <ns0:is>
          <ns0:t>Maker</ns0:t>
        </ns0:is>
      </ns0:c>
      <ns0:c r="AY7" t="inlineStr">
        <ns0:is>
          <ns0:t>THUY</ns0:t>
        </ns0:is>
      </ns0:c>
    </ns0:row>
    <ns0:row r="8" ht="20.25" customHeight="1"/>
    <ns0:row r="9" ht="20.25" customHeight="1">
      <ns0:c r="B9" t="inlineStr">
        <ns0:is>
          <ns0:t>-NG function BRS-201506</ns0:t>
        </ns0:is>
      </ns0:c>
    </ns0:row>
    <ns0:row r="10" ht="20.25" customHeight="1">
      <ns0:c r="B10" t="inlineStr">
        <ns0:is>
          <ns0:t xml:space="preserve">2. Result NG </ns0:t>
        </ns0:is>
      </ns0:c>
    </ns0:row>
    <ns0:row r="11" ht="20.25" customHeight="1">
      <ns0:c r="B11" t="inlineStr">
        <ns0:is>
          <ns0:t>- Type total function  NG  :30 pcs</ns0:t>
        </ns0:is>
      </ns0:c>
      <ns0:c r="AY11" t="inlineStr">
        <ns0:is>
          <ns0:t> </ns0:t>
        </ns0:is>
      </ns0:c>
    </ns0:row>
    <ns0:row r="12" ht="20.25" customHeight="1">
      <ns0:c r="B12" t="inlineStr">
        <ns0:is>
          <ns0:t>3. Result analysis NG Function</ns0:t>
        </ns0:is>
      </ns0:c>
    </ns0:row>
    <ns0:row r="13" ht="20.25" customHeight="1">
      <ns0:c r="B13" t="inlineStr">
        <ns0:is>
          <ns0:t xml:space="preserve">- Data Analysis </ns0:t>
        </ns0:is>
      </ns0:c>
    </ns0:row>
    <ns0:row r="14" ht="20.25" customHeight="1"/>
    <ns0:row r="15" ht="20.25" customHeight="1"/>
    <ns0:row r="16" ht="20.25" customHeight="1">
      <ns0:c r="C16" t="inlineStr">
        <ns0:is>
          <ns0:t xml:space="preserve"> -NG HOHD</ns0:t>
        </ns0:is>
      </ns0:c>
    </ns0:row>
    <ns0:row r="17" ht="20.25" customHeight="1">
      <ns0:c r="C17" t="inlineStr">
        <ns0:is>
          <ns0:t>TYPE</ns0:t>
        </ns0:is>
      </ns0:c>
      <ns0:c r="G17" t="inlineStr">
        <ns0:is>
          <ns0:t>Total</ns0:t>
        </ns0:is>
      </ns0:c>
      <ns0:c r="H17" t="inlineStr">
        <ns0:is>
          <ns0:t>Q'ty</ns0:t>
        </ns0:is>
      </ns0:c>
      <ns0:c r="I17" t="inlineStr">
        <ns0:is>
          <ns0:t>Portion</ns0:t>
        </ns0:is>
      </ns0:c>
    </ns0:row>
    <ns0:row r="18" ht="26.25" customHeight="1">
      <ns0:c r="C18" t="inlineStr">
        <ns0:is>
          <ns0:t xml:space="preserve"> Coil Deform </ns0:t>
        </ns0:is>
      </ns0:c>
      <ns0:c r="G18">
        <ns0:f>SUM(H18:H143)</ns0:f>
        <ns0:v/>
      </ns0:c>
      <ns0:c r="H18" t="n">
        <ns0:v>5</ns0:v>
      </ns0:c>
      <ns0:c r="I18">
        <ns0:f>H18/G18</ns0:f>
        <ns0:v/>
      </ns0:c>
    </ns0:row>
    <ns0:row r="19" ht="26.25" customHeight="1"/>
    <ns0:row r="20" ht="26.25" customHeight="1"/>
    <ns0:row r="21" ht="26.25" customHeight="1"/>
    <ns0:row r="22" ht="26.25" customHeight="1"/>
    <ns0:row r="23" ht="26.25" customHeight="1"/>
    <ns0:row r="24" ht="26.25" customHeight="1"/>
    <ns0:row r="25" ht="26.25" customHeight="1"/>
    <ns0:row r="26" ht="26.25" customHeight="1">
      <ns0:c r="C26" t="inlineStr">
        <ns0:is>
          <ns0:t>Coil offset</ns0:t>
        </ns0:is>
      </ns0:c>
      <ns0:c r="H26" t="n">
        <ns0:v>1</ns0:v>
      </ns0:c>
      <ns0:c r="I26">
        <ns0:f>H26/G18</ns0:f>
        <ns0:v/>
      </ns0:c>
    </ns0:row>
    <ns0:row r="27" ht="26.25" customHeight="1"/>
    <ns0:row r="28" ht="26.25" customHeight="1"/>
    <ns0:row r="29" ht="26.25" customHeight="1"/>
    <ns0:row r="30" ht="26.25" customHeight="1"/>
    <ns0:row r="31" ht="26.25" customHeight="1"/>
    <ns0:row r="32" ht="26.25" customHeight="1"/>
    <ns0:row r="33" ht="26.25" customHeight="1"/>
    <ns0:row r="34" ht="26.25" customHeight="1">
      <ns0:c r="C34" t="inlineStr">
        <ns0:is>
          <ns0:t>SM Offset +Coil Deform</ns0:t>
        </ns0:is>
      </ns0:c>
      <ns0:c r="I34">
        <ns0:f>H34/$G$18</ns0:f>
        <ns0:v/>
      </ns0:c>
    </ns0:row>
    <ns0:row r="35" ht="26.25" customHeight="1"/>
    <ns0:row r="36" ht="26.25" customHeight="1"/>
    <ns0:row r="37" ht="26.25" customHeight="1"/>
    <ns0:row r="38" ht="26.25" customHeight="1"/>
    <ns0:row r="39" ht="26.25" customHeight="1"/>
    <ns0:row r="40" ht="26.25" customHeight="1"/>
    <ns0:row r="41" ht="26.25" customHeight="1"/>
    <ns0:row r="42" ht="26.25" customHeight="1"/>
    <ns0:row r="43" ht="26.25" customHeight="1">
      <ns0:c r="C43" t="inlineStr">
        <ns0:is>
          <ns0:t>CM Offset+Coil Deform</ns0:t>
        </ns0:is>
      </ns0:c>
      <ns0:c r="I43">
        <ns0:f>H43/G18</ns0:f>
        <ns0:v/>
      </ns0:c>
    </ns0:row>
    <ns0:row r="44" ht="26.25" customHeight="1"/>
    <ns0:row r="45" ht="26.25" customHeight="1"/>
    <ns0:row r="46" ht="26.25" customHeight="1"/>
    <ns0:row r="47" ht="26.25" customHeight="1"/>
    <ns0:row r="48" ht="26.25" customHeight="1"/>
    <ns0:row r="49" ht="26.25" customHeight="1"/>
    <ns0:row r="50" ht="26.25" customHeight="1"/>
    <ns0:row r="51" ht="26.25" customHeight="1"/>
    <ns0:row r="52" ht="26.25" customHeight="1">
      <ns0:c r="C52" t="inlineStr">
        <ns0:is>
          <ns0:t>CM Offset</ns0:t>
        </ns0:is>
      </ns0:c>
      <ns0:c r="I52">
        <ns0:f>H52/G18</ns0:f>
        <ns0:v/>
      </ns0:c>
    </ns0:row>
    <ns0:row r="53" ht="26.25" customHeight="1"/>
    <ns0:row r="54" ht="26.25" customHeight="1"/>
    <ns0:row r="55" ht="26.25" customHeight="1"/>
    <ns0:row r="56" ht="26.25" customHeight="1"/>
    <ns0:row r="57" ht="26.25" customHeight="1"/>
    <ns0:row r="58" ht="26.25" customHeight="1"/>
    <ns0:row r="59" ht="26.25" customHeight="1"/>
    <ns0:row r="60" ht="26.25" customHeight="1"/>
    <ns0:row r="61" ht="26.25" customHeight="1">
      <ns0:c r="C61" t="inlineStr">
        <ns0:is>
          <ns0:t>SM offset</ns0:t>
        </ns0:is>
      </ns0:c>
      <ns0:c r="H61" t="n">
        <ns0:v>9</ns0:v>
      </ns0:c>
      <ns0:c r="I61">
        <ns0:f>H61/G18</ns0:f>
        <ns0:v/>
      </ns0:c>
    </ns0:row>
    <ns0:row r="62" ht="26.25" customHeight="1"/>
    <ns0:row r="63" ht="26.25" customHeight="1"/>
    <ns0:row r="64" ht="26.25" customHeight="1"/>
    <ns0:row r="65" ht="26.25" customHeight="1"/>
    <ns0:row r="66" ht="26.25" customHeight="1"/>
    <ns0:row r="67" ht="26.25" customHeight="1"/>
    <ns0:row r="68" ht="26.25" customHeight="1"/>
    <ns0:row r="69" ht="26.25" customHeight="1"/>
    <ns0:row r="70" ht="26.25" customHeight="1">
      <ns0:c r="C70" t="inlineStr">
        <ns0:is>
          <ns0:t>Particle</ns0:t>
        </ns0:is>
      </ns0:c>
      <ns0:c r="H70" t="n">
        <ns0:v>5</ns0:v>
      </ns0:c>
      <ns0:c r="I70">
        <ns0:f>H70/$G$18</ns0:f>
        <ns0:v/>
      </ns0:c>
    </ns0:row>
    <ns0:row r="71" ht="26.25" customHeight="1"/>
    <ns0:row r="72" ht="26.25" customHeight="1"/>
    <ns0:row r="73" ht="42.75" customHeight="1"/>
    <ns0:row r="74" ht="26.25" customHeight="1"/>
    <ns0:row r="75" ht="26.25" customHeight="1"/>
    <ns0:row r="76" ht="26.25" customHeight="1"/>
    <ns0:row r="77" ht="26.25" customHeight="1">
      <ns0:c r="C77" t="inlineStr">
        <ns0:is>
          <ns0:t xml:space="preserve">VP Dome +Coil separate </ns0:t>
        </ns0:is>
      </ns0:c>
      <ns0:c r="H77" t="n">
        <ns0:v>4</ns0:v>
      </ns0:c>
      <ns0:c r="I77">
        <ns0:f>H77/$G$18</ns0:f>
        <ns0:v/>
      </ns0:c>
    </ns0:row>
    <ns0:row r="78" ht="26.25" customHeight="1"/>
    <ns0:row r="79" ht="26.25" customHeight="1"/>
    <ns0:row r="80" ht="26.25" customHeight="1"/>
    <ns0:row r="81" ht="26.25" customHeight="1"/>
    <ns0:row r="82" ht="26.25" customHeight="1"/>
    <ns0:row r="83" ht="26.25" customHeight="1"/>
    <ns0:row r="84" ht="26.25" customHeight="1"/>
    <ns0:row r="85" ht="26.25" customHeight="1"/>
    <ns0:row r="86" ht="26.25" customHeight="1"/>
    <ns0:row r="87" ht="26.25" customHeight="1">
      <ns0:c r="C87" t="inlineStr">
        <ns0:is>
          <ns0:t>Glue clot</ns0:t>
        </ns0:is>
      </ns0:c>
      <ns0:c r="H87" t="n">
        <ns0:v>1</ns0:v>
      </ns0:c>
      <ns0:c r="I87">
        <ns0:f>H87/$G$18</ns0:f>
        <ns0:v/>
      </ns0:c>
    </ns0:row>
    <ns0:row r="88" ht="26.25" customHeight="1"/>
    <ns0:row r="89" ht="26.25" customHeight="1"/>
    <ns0:row r="90" ht="26.25" customHeight="1"/>
    <ns0:row r="91" ht="26.25" customHeight="1"/>
    <ns0:row r="92" ht="26.25" customHeight="1"/>
    <ns0:row r="93" ht="26.25" customHeight="1"/>
    <ns0:row r="94" ht="26.25" customHeight="1"/>
    <ns0:row r="95" ht="26.25" customHeight="1"/>
    <ns0:row r="96" ht="26.25" customHeight="1"/>
    <ns0:row r="97" ht="26.25" customHeight="1">
      <ns0:c r="C97" t="inlineStr">
        <ns0:is>
          <ns0:t>SP+Coil gap</ns0:t>
        </ns0:is>
      </ns0:c>
      <ns0:c r="I97">
        <ns0:f>H97/$G$18</ns0:f>
        <ns0:v/>
      </ns0:c>
    </ns0:row>
    <ns0:row r="98" ht="26.25" customHeight="1"/>
    <ns0:row r="99" ht="26.25" customHeight="1"/>
    <ns0:row r="100" ht="26.25" customHeight="1"/>
    <ns0:row r="101" ht="26.25" customHeight="1"/>
    <ns0:row r="102" ht="26.25" customHeight="1"/>
    <ns0:row r="103" ht="26.25" customHeight="1"/>
    <ns0:row r="104" ht="26.25" customHeight="1"/>
    <ns0:row r="105" ht="26.25" customHeight="1"/>
    <ns0:row r="106" ht="26.25" customHeight="1"/>
    <ns0:row r="107" ht="26.25" customHeight="1">
      <ns0:c r="C107" t="inlineStr">
        <ns0:is>
          <ns0:t>Coil  Over Turn</ns0:t>
        </ns0:is>
      </ns0:c>
      <ns0:c r="I107">
        <ns0:f>H107/$G$18</ns0:f>
        <ns0:v/>
      </ns0:c>
    </ns0:row>
    <ns0:row r="108" ht="26.25" customHeight="1"/>
    <ns0:row r="109" ht="26.25" customHeight="1"/>
    <ns0:row r="110" ht="26.25" customHeight="1"/>
    <ns0:row r="111" ht="26.25" customHeight="1"/>
    <ns0:row r="112" ht="26.25" customHeight="1"/>
    <ns0:row r="113" ht="26.25" customHeight="1"/>
    <ns0:row r="114" ht="26.25" customHeight="1"/>
    <ns0:row r="115" ht="26.25" customHeight="1"/>
    <ns0:row r="116" ht="26.25" customHeight="1"/>
    <ns0:row r="117" ht="26.25" customHeight="1">
      <ns0:c r="C117" t="inlineStr">
        <ns0:is>
          <ns0:t xml:space="preserve"> Don't know reason</ns0:t>
        </ns0:is>
      </ns0:c>
      <ns0:c r="H117" t="n">
        <ns0:v>4</ns0:v>
      </ns0:c>
      <ns0:c r="I117">
        <ns0:f>H117/$G$18</ns0:f>
        <ns0:v/>
      </ns0:c>
    </ns0:row>
    <ns0:row r="118" ht="26.25" customHeight="1"/>
    <ns0:row r="119" ht="26.25" customHeight="1"/>
    <ns0:row r="120" ht="26.25" customHeight="1"/>
    <ns0:row r="121" ht="26.25" customHeight="1"/>
    <ns0:row r="122" ht="26.25" customHeight="1"/>
    <ns0:row r="123" ht="26.25" customHeight="1"/>
    <ns0:row r="124" ht="26.25" customHeight="1"/>
    <ns0:row r="125" ht="26.25" customHeight="1"/>
    <ns0:row r="126" ht="26.25" customHeight="1">
      <ns0:c r="C126" t="inlineStr">
        <ns0:is>
          <ns0:t>FR+Yoke offset</ns0:t>
        </ns0:is>
      </ns0:c>
      <ns0:c r="I126">
        <ns0:f>H126/$G$18</ns0:f>
        <ns0:v/>
      </ns0:c>
    </ns0:row>
    <ns0:row r="127" ht="26.25" customHeight="1"/>
    <ns0:row r="128" ht="26.25" customHeight="1"/>
    <ns0:row r="129" ht="26.25" customHeight="1"/>
    <ns0:row r="130" ht="26.25" customHeight="1"/>
    <ns0:row r="131" ht="26.25" customHeight="1"/>
    <ns0:row r="132" ht="26.25" customHeight="1"/>
    <ns0:row r="133" ht="26.25" customHeight="1"/>
    <ns0:row r="134" ht="26.25" customHeight="1"/>
    <ns0:row r="135" ht="26.25" customHeight="1">
      <ns0:c r="C135" t="inlineStr">
        <ns0:is>
          <ns0:t xml:space="preserve"> Other</ns0:t>
        </ns0:is>
      </ns0:c>
      <ns0:c r="H135" t="n">
        <ns0:v>1</ns0:v>
      </ns0:c>
      <ns0:c r="I135">
        <ns0:f>H135/$G$18</ns0:f>
        <ns0:v/>
      </ns0:c>
    </ns0:row>
    <ns0:row r="136" ht="26.25" customHeight="1"/>
    <ns0:row r="137" ht="26.25" customHeight="1"/>
    <ns0:row r="138" ht="26.25" customHeight="1"/>
    <ns0:row r="139" ht="26.25" customHeight="1"/>
    <ns0:row r="140" ht="26.25" customHeight="1"/>
    <ns0:row r="141" ht="26.25" customHeight="1"/>
    <ns0:row r="142" ht="26.25" customHeight="1"/>
    <ns0:row r="143" ht="26.25" customHeight="1"/>
    <ns0:row r="144" ht="26.25" customHeight="1"/>
    <ns0:row r="145" ht="26.25" customHeight="1"/>
    <ns0:row r="146" ht="26.25" customHeight="1"/>
    <ns0:row r="147" ht="26.25" customHeight="1">
      <ns0:c r="T147" t="inlineStr">
        <ns0:is>
          <ns0:t>      </ns0:t>
        </ns0:is>
      </ns0:c>
    </ns0:row>
    <ns0:row r="148" ht="43.5" customHeight="1">
      <ns0:c r="C148" t="inlineStr">
        <ns0:is>
          <ns0:t xml:space="preserve"> ※ SYNTHETIC ANALYSE RESULT NG HEARING  201506
</ns0:t>
        </ns0:is>
      </ns0:c>
    </ns0:row>
    <ns0:row r="149" ht="26.25" customHeight="1">
      <ns0:c r="C149" t="inlineStr">
        <ns0:is>
          <ns0:t>No</ns0:t>
        </ns0:is>
      </ns0:c>
      <ns0:c r="D149" t="inlineStr">
        <ns0:is>
          <ns0:t>Reason NG</ns0:t>
        </ns0:is>
      </ns0:c>
      <ns0:c r="G149" t="inlineStr">
        <ns0:is>
          <ns0:t>Q'ty analyse</ns0:t>
        </ns0:is>
      </ns0:c>
      <ns0:c r="H149" t="inlineStr">
        <ns0:is>
          <ns0:t>Q'ty NG</ns0:t>
        </ns0:is>
      </ns0:c>
      <ns0:c r="I149" t="inlineStr">
        <ns0:is>
          <ns0:t>NG rate</ns0:t>
        </ns0:is>
      </ns0:c>
      <ns0:c r="J149" t="inlineStr">
        <ns0:is>
          <ns0:t>Proportion</ns0:t>
        </ns0:is>
      </ns0:c>
    </ns0:row>
    <ns0:row r="150" ht="26.25" customHeight="1"/>
    <ns0:row r="151" ht="26.25" customHeight="1">
      <ns0:c r="C151" t="n">
        <ns0:v>1</ns0:v>
      </ns0:c>
      <ns0:c r="D151" t="inlineStr">
        <ns0:is>
          <ns0:t xml:space="preserve">Coil Deform </ns0:t>
        </ns0:is>
      </ns0:c>
      <ns0:c r="G151">
        <ns0:f>SUM(H151:H164)</ns0:f>
        <ns0:v/>
      </ns0:c>
      <ns0:c r="H151">
        <ns0:f>H18</ns0:f>
        <ns0:v/>
      </ns0:c>
      <ns0:c r="I151">
        <ns0:f>H151/$G$151</ns0:f>
        <ns0:v/>
      </ns0:c>
      <ns0:c r="J151">
        <ns0:f>(I151)</ns0:f>
        <ns0:v/>
      </ns0:c>
    </ns0:row>
    <ns0:row r="152" ht="26.25" customHeight="1">
      <ns0:c r="C152" t="n">
        <ns0:v>2</ns0:v>
      </ns0:c>
      <ns0:c r="D152" t="inlineStr">
        <ns0:is>
          <ns0:t>Coil offset</ns0:t>
        </ns0:is>
      </ns0:c>
      <ns0:c r="H152">
        <ns0:f>H26</ns0:f>
        <ns0:v/>
      </ns0:c>
      <ns0:c r="I152">
        <ns0:f>H152/$G$151</ns0:f>
        <ns0:v/>
      </ns0:c>
      <ns0:c r="J152">
        <ns0:f>(I152)</ns0:f>
        <ns0:v/>
      </ns0:c>
    </ns0:row>
    <ns0:row r="153" ht="26.25" customHeight="1">
      <ns0:c r="C153" t="n">
        <ns0:v>3</ns0:v>
      </ns0:c>
      <ns0:c r="D153" t="inlineStr">
        <ns0:is>
          <ns0:t>SM Offset +Coil Deform</ns0:t>
        </ns0:is>
      </ns0:c>
      <ns0:c r="H153">
        <ns0:f>H34</ns0:f>
        <ns0:v/>
      </ns0:c>
      <ns0:c r="I153">
        <ns0:f>H153/$G$151</ns0:f>
        <ns0:v/>
      </ns0:c>
      <ns0:c r="J153">
        <ns0:f>(I153)</ns0:f>
        <ns0:v/>
      </ns0:c>
    </ns0:row>
    <ns0:row r="154" ht="27" customHeight="1">
      <ns0:c r="C154" t="n">
        <ns0:v>4</ns0:v>
      </ns0:c>
      <ns0:c r="D154" t="inlineStr">
        <ns0:is>
          <ns0:t>CM Offset+Coil Deform</ns0:t>
        </ns0:is>
      </ns0:c>
      <ns0:c r="H154">
        <ns0:f>H43</ns0:f>
        <ns0:v/>
      </ns0:c>
      <ns0:c r="I154">
        <ns0:f>H154/$G$151</ns0:f>
        <ns0:v/>
      </ns0:c>
      <ns0:c r="J154">
        <ns0:f>(I154)</ns0:f>
        <ns0:v/>
      </ns0:c>
    </ns0:row>
    <ns0:row r="155" ht="27" customHeight="1">
      <ns0:c r="C155" t="n">
        <ns0:v>5</ns0:v>
      </ns0:c>
      <ns0:c r="D155" t="inlineStr">
        <ns0:is>
          <ns0:t>CM Offset</ns0:t>
        </ns0:is>
      </ns0:c>
      <ns0:c r="H155">
        <ns0:f>H52</ns0:f>
        <ns0:v/>
      </ns0:c>
      <ns0:c r="I155">
        <ns0:f>H155/$G$151</ns0:f>
        <ns0:v/>
      </ns0:c>
      <ns0:c r="J155">
        <ns0:f>(I155)</ns0:f>
        <ns0:v/>
      </ns0:c>
    </ns0:row>
    <ns0:row r="156" ht="27" customHeight="1">
      <ns0:c r="C156" t="n">
        <ns0:v>6</ns0:v>
      </ns0:c>
      <ns0:c r="D156" t="inlineStr">
        <ns0:is>
          <ns0:t>SM offset</ns0:t>
        </ns0:is>
      </ns0:c>
      <ns0:c r="H156">
        <ns0:f>H61</ns0:f>
        <ns0:v/>
      </ns0:c>
      <ns0:c r="I156">
        <ns0:f>H156/$G$151</ns0:f>
        <ns0:v/>
      </ns0:c>
      <ns0:c r="J156">
        <ns0:f>(I156)</ns0:f>
        <ns0:v/>
      </ns0:c>
    </ns0:row>
    <ns0:row r="157" ht="26.25" customHeight="1">
      <ns0:c r="C157" t="n">
        <ns0:v>7</ns0:v>
      </ns0:c>
      <ns0:c r="D157" t="inlineStr">
        <ns0:is>
          <ns0:t>Particle</ns0:t>
        </ns0:is>
      </ns0:c>
      <ns0:c r="H157">
        <ns0:f>H70</ns0:f>
        <ns0:v/>
      </ns0:c>
      <ns0:c r="I157">
        <ns0:f>H157/$G$151</ns0:f>
        <ns0:v/>
      </ns0:c>
      <ns0:c r="J157">
        <ns0:f>(I157)</ns0:f>
        <ns0:v/>
      </ns0:c>
      <ns0:c r="O157" t="inlineStr"/>
    </ns0:row>
    <ns0:row r="158" ht="26.25" customHeight="1">
      <ns0:c r="C158" t="n">
        <ns0:v>8</ns0:v>
      </ns0:c>
      <ns0:c r="D158" t="inlineStr">
        <ns0:is>
          <ns0:t xml:space="preserve">VP Dome +Coil separate </ns0:t>
        </ns0:is>
      </ns0:c>
      <ns0:c r="H158">
        <ns0:f>H77</ns0:f>
        <ns0:v/>
      </ns0:c>
      <ns0:c r="I158">
        <ns0:f>H158/$G$151</ns0:f>
        <ns0:v/>
      </ns0:c>
      <ns0:c r="J158">
        <ns0:f>(I158)</ns0:f>
        <ns0:v/>
      </ns0:c>
    </ns0:row>
    <ns0:row r="159" ht="26.25" customHeight="1">
      <ns0:c r="C159" t="n">
        <ns0:v>9</ns0:v>
      </ns0:c>
      <ns0:c r="D159" t="inlineStr">
        <ns0:is>
          <ns0:t>Glue Clot</ns0:t>
        </ns0:is>
      </ns0:c>
      <ns0:c r="H159">
        <ns0:f>H87</ns0:f>
        <ns0:v/>
      </ns0:c>
      <ns0:c r="I159">
        <ns0:f>H159/$G$151</ns0:f>
        <ns0:v/>
      </ns0:c>
      <ns0:c r="J159">
        <ns0:f>(I159)</ns0:f>
        <ns0:v/>
      </ns0:c>
    </ns0:row>
    <ns0:row r="160" ht="26.25" customHeight="1">
      <ns0:c r="C160" t="n">
        <ns0:v>10</ns0:v>
      </ns0:c>
      <ns0:c r="D160" t="inlineStr">
        <ns0:is>
          <ns0:t>SP+Coil gap</ns0:t>
        </ns0:is>
      </ns0:c>
      <ns0:c r="H160">
        <ns0:f>H97</ns0:f>
        <ns0:v/>
      </ns0:c>
      <ns0:c r="I160">
        <ns0:f>H160/$G$151</ns0:f>
        <ns0:v/>
      </ns0:c>
      <ns0:c r="J160">
        <ns0:f>(I160)</ns0:f>
        <ns0:v/>
      </ns0:c>
    </ns0:row>
    <ns0:row r="161" ht="30.75" customHeight="1">
      <ns0:c r="C161" t="n">
        <ns0:v>11</ns0:v>
      </ns0:c>
      <ns0:c r="D161" t="inlineStr">
        <ns0:is>
          <ns0:t>Coil  Over Turn</ns0:t>
        </ns0:is>
      </ns0:c>
      <ns0:c r="H161">
        <ns0:f>H107</ns0:f>
        <ns0:v/>
      </ns0:c>
      <ns0:c r="I161">
        <ns0:f>H161/$G$151</ns0:f>
        <ns0:v/>
      </ns0:c>
      <ns0:c r="J161">
        <ns0:f>(I161)</ns0:f>
        <ns0:v/>
      </ns0:c>
    </ns0:row>
    <ns0:row r="162" ht="30.75" customHeight="1">
      <ns0:c r="C162" t="n">
        <ns0:v>12</ns0:v>
      </ns0:c>
      <ns0:c r="D162" t="inlineStr">
        <ns0:is>
          <ns0:t>Don't know reason</ns0:t>
        </ns0:is>
      </ns0:c>
      <ns0:c r="H162">
        <ns0:f>H117</ns0:f>
        <ns0:v/>
      </ns0:c>
      <ns0:c r="I162">
        <ns0:f>H162/$G$151</ns0:f>
        <ns0:v/>
      </ns0:c>
      <ns0:c r="J162">
        <ns0:f>(I162)</ns0:f>
        <ns0:v/>
      </ns0:c>
    </ns0:row>
    <ns0:row r="163" ht="30.75" customHeight="1">
      <ns0:c r="C163" t="n">
        <ns0:v>13</ns0:v>
      </ns0:c>
      <ns0:c r="D163" t="inlineStr">
        <ns0:is>
          <ns0:t>FR+Yoke offset</ns0:t>
        </ns0:is>
      </ns0:c>
      <ns0:c r="H163">
        <ns0:f>H126</ns0:f>
        <ns0:v/>
      </ns0:c>
      <ns0:c r="I163">
        <ns0:f>H163/$G$151</ns0:f>
        <ns0:v/>
      </ns0:c>
      <ns0:c r="J163">
        <ns0:f>(I163)</ns0:f>
        <ns0:v/>
      </ns0:c>
    </ns0:row>
    <ns0:row r="164" ht="26.25" customHeight="1">
      <ns0:c r="C164" t="n">
        <ns0:v>14</ns0:v>
      </ns0:c>
      <ns0:c r="D164" t="inlineStr">
        <ns0:is>
          <ns0:t>Other (MG+PT Offset)</ns0:t>
        </ns0:is>
      </ns0:c>
      <ns0:c r="H164">
        <ns0:f>H135</ns0:f>
        <ns0:v/>
      </ns0:c>
      <ns0:c r="I164">
        <ns0:f>H164/$G$151</ns0:f>
        <ns0:v/>
      </ns0:c>
      <ns0:c r="J164">
        <ns0:f>(I164)</ns0:f>
        <ns0:v/>
      </ns0:c>
    </ns0:row>
    <ns0:row r="165" ht="16.5" customHeight="1"/>
    <ns0:row r="166" ht="16.5" customHeight="1"/>
    <ns0:row r="167" ht="16.5" customHeight="1"/>
    <ns0:row r="168" ht="16.5" customHeight="1"/>
    <ns0:row r="169" ht="16.5" customHeight="1"/>
    <ns0:row r="170" ht="17.25" customHeight="1"/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2026-05-13T00:51:37Z</dcterms:created>
  <dcterms:modified xsi:type="dcterms:W3CDTF">2026-05-13T00:51:56Z</dcterms:modified>
</cp:coreProperties>
</file>