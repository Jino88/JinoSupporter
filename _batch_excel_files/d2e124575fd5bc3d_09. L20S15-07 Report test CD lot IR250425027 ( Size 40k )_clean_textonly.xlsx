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Tension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sz val="16"/>
    </font>
    <font>
      <name val="Times New Roman"/>
      <color rgb="FFFF0000"/>
      <sz val="16"/>
    </font>
  </fonts>
  <fills count="4">
    <fill>
      <patternFill/>
    </fill>
    <fill>
      <patternFill patternType="gray125"/>
    </fill>
    <fill>
      <patternFill patternType="solid">
        <fgColor rgb="FFB1A0C7"/>
      </patternFill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Q24"/>
  <ns0:sheetViews>
    <ns0:sheetView workbookViewId="0">
      <ns0:selection activeCell="A1" sqref="A1"/>
    </ns0:sheetView>
  </ns0:sheetViews>
  <ns0:sheetFormatPr baseColWidth="8" defaultRowHeight="15"/>
  <ns0:cols>
    <ns0:col width="2.75" customWidth="1" min="1" max="1"/>
    <ns0:col width="19.5" customWidth="1" min="2" max="2"/>
    <ns0:col width="23.38" customWidth="1" min="3" max="3"/>
    <ns0:col width="23.38" customWidth="1" min="4" max="4"/>
    <ns0:col width="23.38" customWidth="1" min="5" max="5"/>
    <ns0:col width="23.38" customWidth="1" min="6" max="6"/>
    <ns0:col width="23.38" customWidth="1" min="7" max="7"/>
    <ns0:col width="23.38" customWidth="1" min="8" max="8"/>
    <ns0:col width="23.38" customWidth="1" min="9" max="9"/>
    <ns0:col width="23.38" customWidth="1" min="10" max="10"/>
    <ns0:col width="23.38" customWidth="1" min="11" max="11"/>
    <ns0:col width="23.38" customWidth="1" min="12" max="12"/>
    <ns0:col width="23.38" customWidth="1" min="13" max="13"/>
    <ns0:col width="23.38" customWidth="1" min="14" max="14"/>
    <ns0:col width="23.38" customWidth="1" min="15" max="15"/>
    <ns0:col width="23.38" customWidth="1" min="16" max="16"/>
    <ns0:col width="27" customWidth="1" min="17" max="17"/>
    <ns0:col width="23.38" customWidth="1" min="18" max="18"/>
    <ns0:col width="8.5" customWidth="1" min="19" max="19"/>
    <ns0:col width="8.5" customWidth="1" min="20" max="20"/>
    <ns0:col width="25.75" customWidth="1" min="21" max="21"/>
    <ns0:col width="19.75" customWidth="1" min="22" max="22"/>
    <ns0:col width="21.75" customWidth="1" min="23" max="23"/>
    <ns0:col width="20.5" customWidth="1" min="24" max="24"/>
    <ns0:col width="22.75" customWidth="1" min="25" max="25"/>
    <ns0:col width="15.5" customWidth="1" min="26" max="26"/>
    <ns0:col width="15.5" customWidth="1" min="27" max="27"/>
    <ns0:col width="15.5" customWidth="1" min="28" max="28"/>
    <ns0:col width="15.5" customWidth="1" min="29" max="29"/>
    <ns0:col width="15.5" customWidth="1" min="30" max="30"/>
    <ns0:col width="15.5" customWidth="1" min="31" max="31"/>
    <ns0:col width="15.5" customWidth="1" min="32" max="32"/>
    <ns0:col width="15.5" customWidth="1" min="33" max="33"/>
    <ns0:col width="15.5" customWidth="1" min="34" max="34"/>
    <ns0:col width="8.5" customWidth="1" min="35" max="35"/>
    <ns0:col width="8.5" customWidth="1" min="36" max="36"/>
    <ns0:col width="8.5" customWidth="1" min="37" max="37"/>
    <ns0:col width="8.5" customWidth="1" min="38" max="38"/>
    <ns0:col width="8.5" customWidth="1" min="39" max="39"/>
    <ns0:col width="8.5" customWidth="1" min="40" max="40"/>
    <ns0:col width="8.5" customWidth="1" min="41" max="41"/>
    <ns0:col width="8.5" customWidth="1" min="42" max="42"/>
    <ns0:col width="8.5" customWidth="1" min="43" max="43"/>
    <ns0:col width="8.5" customWidth="1" min="44" max="44"/>
    <ns0:col width="8.5" customWidth="1" min="45" max="45"/>
    <ns0:col width="8.5" customWidth="1" min="46" max="46"/>
    <ns0:col width="8.5" customWidth="1" min="47" max="47"/>
    <ns0:col width="8.5" customWidth="1" min="48" max="48"/>
    <ns0:col width="8.5" customWidth="1" min="49" max="49"/>
    <ns0:col width="8.5" customWidth="1" min="50" max="50"/>
    <ns0:col width="8.5" customWidth="1" min="51" max="51"/>
    <ns0:col width="8.5" customWidth="1" min="52" max="52"/>
    <ns0:col width="8.5" customWidth="1" min="53" max="53"/>
  </ns0:cols>
  <ns0:sheetData>
    <ns0:row r="1" ht="16.5" customHeight="1"/>
    <ns0:row r="2" ht="40.5" customHeight="1">
      <ns0:c r="B2" t="inlineStr">
        <ns0:is>
          <ns0:t>TITLE</ns0:t>
        </ns0:is>
      </ns0:c>
      <ns0:c r="C2" t="inlineStr">
        <ns0:is>
          <ns0:t>REPORT TEST  LOT CD Inv : IR250425027 ( SIZE 40K )</ns0:t>
        </ns0:is>
      </ns0:c>
      <ns0:c r="P2" t="inlineStr">
        <ns0:is>
          <ns0:t>Dept</ns0:t>
        </ns0:is>
      </ns0:c>
      <ns0:c r="Q2" t="inlineStr">
        <ns0:is>
          <ns0:t>ME</ns0:t>
        </ns0:is>
      </ns0:c>
    </ns0:row>
    <ns0:row r="3" ht="40.5" customHeight="1">
      <ns0:c r="P3" t="inlineStr">
        <ns0:is>
          <ns0:t>Date</ns0:t>
        </ns0:is>
      </ns0:c>
      <ns0:c r="Q3" s="1" t="n">
        <ns0:v>45779</ns0:v>
      </ns0:c>
    </ns0:row>
    <ns0:row r="4" ht="40.5" customHeight="1">
      <ns0:c r="P4" t="inlineStr">
        <ns0:is>
          <ns0:t>Marker</ns0:t>
        </ns0:is>
      </ns0:c>
      <ns0:c r="Q4" t="inlineStr">
        <ns0:is>
          <ns0:t>Huong</ns0:t>
        </ns0:is>
      </ns0:c>
    </ns0:row>
    <ns0:row r="5" ht="40.5" customHeight="1">
      <ns0:c r="B5" t="inlineStr">
        <ns0:is>
          <ns0:t>I. Purpose.</ns0:t>
        </ns0:is>
      </ns0:c>
    </ns0:row>
    <ns0:row r="6" ht="40.5" customHeight="1">
      <ns0:c r="B6" t="inlineStr">
        <ns0:is>
          <ns0:t xml:space="preserve">- Test lot CD : IR250425027 - Lot size : 40k </ns0:t>
        </ns0:is>
      </ns0:c>
    </ns0:row>
    <ns0:row r="7" ht="40.5" customHeight="1">
      <ns0:c r="B7" t="inlineStr">
        <ns0:is>
          <ns0:t>II. Content.</ns0:t>
        </ns0:is>
      </ns0:c>
    </ns0:row>
    <ns0:row r="8" ht="40.5" customHeight="1">
      <ns0:c r="B8" t="inlineStr">
        <ns0:is>
          <ns0:t>Q'Ty test : 70pcs</ns0:t>
        </ns0:is>
      </ns0:c>
    </ns0:row>
    <ns0:row r="9" ht="40.5" customHeight="1">
      <ns0:c r="B9" t="inlineStr">
        <ns0:is>
          <ns0:t xml:space="preserve"> + Plasma =&gt; PQC check dyne pen : 10EA</ns0:t>
        </ns0:is>
      </ns0:c>
    </ns0:row>
    <ns0:row r="10" ht="40.5" customHeight="1">
      <ns0:c r="B10" t="inlineStr">
        <ns0:is>
          <ns0:t xml:space="preserve"> + Make sample VP +CD check  tension : 10EA</ns0:t>
        </ns0:is>
      </ns0:c>
    </ns0:row>
    <ns0:row r="11" ht="40.5" customHeight="1">
      <ns0:c r="B11" t="inlineStr">
        <ns0:is>
          <ns0:t>+ Check separate vp + CD  : 50 EA</ns0:t>
        </ns0:is>
      </ns0:c>
    </ns0:row>
    <ns0:row r="12" ht="40.5" customHeight="1">
      <ns0:c r="B12" t="inlineStr">
        <ns0:is>
          <ns0:t xml:space="preserve"> + Make final sample SPK and check function : 50 EA</ns0:t>
        </ns0:is>
      </ns0:c>
    </ns0:row>
    <ns0:row r="13" ht="40.5" customHeight="1"/>
    <ns0:row r="14" ht="40.5" customHeight="1">
      <ns0:c r="B14" t="inlineStr">
        <ns0:is>
          <ns0:t xml:space="preserve">3.Result </ns0:t>
        </ns0:is>
      </ns0:c>
    </ns0:row>
    <ns0:row r="15" ht="40.5" customHeight="1">
      <ns0:c r="C15" t="inlineStr">
        <ns0:is>
          <ns0:t xml:space="preserve">RESULT CHECK NG SUB1 AND FUNCTION WHEN USE LOT TEST CD </ns0:t>
        </ns0:is>
      </ns0:c>
    </ns0:row>
    <ns0:row r="16" ht="65.25" customHeight="1">
      <ns0:c r="C16" t="inlineStr">
        <ns0:is>
          <ns0:t>No</ns0:t>
        </ns0:is>
      </ns0:c>
      <ns0:c r="D16" t="inlineStr">
        <ns0:is>
          <ns0:t>LOT</ns0:t>
        </ns0:is>
      </ns0:c>
      <ns0:c r="F16" t="inlineStr">
        <ns0:is>
          <ns0:t>Check  dyne CD after plasma and tension CD + CD</ns0:t>
        </ns0:is>
      </ns0:c>
      <ns0:c r="J16" t="inlineStr">
        <ns0:is>
          <ns0:t>Input</ns0:t>
        </ns0:is>
      </ns0:c>
      <ns0:c r="K16" t="inlineStr">
        <ns0:is>
          <ns0:t>OK</ns0:t>
        </ns0:is>
      </ns0:c>
      <ns0:c r="L16" t="inlineStr">
        <ns0:is>
          <ns0:t>Check separate VP + CD and Function</ns0:t>
        </ns0:is>
      </ns0:c>
    </ns0:row>
    <ns0:row r="17" ht="65.25" customHeight="1">
      <ns0:c r="F17" t="inlineStr">
        <ns0:is>
          <ns0:t>Dyne</ns0:t>
        </ns0:is>
      </ns0:c>
      <ns0:c r="G17" t="inlineStr">
        <ns0:is>
          <ns0:t>Input</ns0:t>
        </ns0:is>
      </ns0:c>
      <ns0:c r="H17" t="inlineStr">
        <ns0:is>
          <ns0:t>NG dyne</ns0:t>
        </ns0:is>
      </ns0:c>
      <ns0:c r="I17" t="inlineStr">
        <ns0:is>
          <ns0:t>Tension TEST</ns0:t>
        </ns0:is>
      </ns0:c>
      <ns0:c r="L17" t="inlineStr">
        <ns0:is>
          <ns0:t>VP/CD separate</ns0:t>
        </ns0:is>
      </ns0:c>
      <ns0:c r="M17" t="inlineStr">
        <ns0:is>
          <ns0:t>NG Sigma</ns0:t>
        </ns0:is>
      </ns0:c>
      <ns0:c r="N17" t="inlineStr">
        <ns0:is>
          <ns0:t>NG Hearing</ns0:t>
        </ns0:is>
      </ns0:c>
      <ns0:c r="O17" t="inlineStr">
        <ns0:is>
          <ns0:t>Total NG</ns0:t>
        </ns0:is>
      </ns0:c>
      <ns0:c r="P17" t="inlineStr">
        <ns0:is>
          <ns0:t>NG rate</ns0:t>
        </ns0:is>
      </ns0:c>
      <ns0:c r="Q17" t="inlineStr">
        <ns0:is>
          <ns0:t>Result decap NG hearing +Sigma
Check VP/CD separate</ns0:t>
        </ns0:is>
      </ns0:c>
    </ns0:row>
    <ns0:row r="18" ht="65.25" customHeight="1"/>
    <ns0:row r="19" ht="56.25" customHeight="1">
      <ns0:c r="C19" t="n">
        <ns0:v>1</ns0:v>
      </ns0:c>
      <ns0:c r="D19" t="inlineStr">
        <ns0:is>
          <ns0:t xml:space="preserve">Lot test </ns0:t>
        </ns0:is>
      </ns0:c>
      <ns0:c r="E19" t="inlineStr">
        <ns0:is>
          <ns0:t xml:space="preserve"> CD : IR250425027 - Lot size : 40k </ns0:t>
        </ns0:is>
      </ns0:c>
      <ns0:c r="F19" t="n">
        <ns0:v>40</ns0:v>
      </ns0:c>
      <ns0:c r="G19" t="n">
        <ns0:v>10</ns0:v>
      </ns0:c>
      <ns0:c r="H19" t="n">
        <ns0:v>0</ns0:v>
      </ns0:c>
      <ns0:c r="I19" t="n">
        <ns0:v>0</ns0:v>
      </ns0:c>
      <ns0:c r="J19" t="n">
        <ns0:v>47</ns0:v>
      </ns0:c>
      <ns0:c r="K19">
        <ns0:f>J19-O19</ns0:f>
        <ns0:v/>
      </ns0:c>
      <ns0:c r="L19" t="n">
        <ns0:v>0</ns0:v>
      </ns0:c>
      <ns0:c r="M19" t="n">
        <ns0:v>0</ns0:v>
      </ns0:c>
      <ns0:c r="N19" t="n">
        <ns0:v>2</ns0:v>
      </ns0:c>
      <ns0:c r="O19">
        <ns0:f>SUM(L19:N19)</ns0:f>
        <ns0:v/>
      </ns0:c>
      <ns0:c r="P19">
        <ns0:f>+O19/J19</ns0:f>
        <ns0:v/>
      </ns0:c>
      <ns0:c r="Q19" t="inlineStr">
        <ns0:is>
          <ns0:t xml:space="preserve">Other reason </ns0:t>
        </ns0:is>
      </ns0:c>
    </ns0:row>
    <ns0:row r="20" ht="48" customHeight="1">
      <ns0:c r="H20">
        <ns0:f>+H19/G19</ns0:f>
        <ns0:v/>
      </ns0:c>
      <ns0:c r="I20">
        <ns0:f>+I19/G19</ns0:f>
        <ns0:v/>
      </ns0:c>
      <ns0:c r="L20">
        <ns0:f>L19/J19</ns0:f>
        <ns0:v/>
      </ns0:c>
      <ns0:c r="M20">
        <ns0:f>M19/J19</ns0:f>
        <ns0:v/>
      </ns0:c>
      <ns0:c r="N20">
        <ns0:f>N19/J19</ns0:f>
        <ns0:v/>
      </ns0:c>
    </ns0:row>
    <ns0:row r="21" ht="48" customHeight="1">
      <ns0:c r="C21" t="n">
        <ns0:v>2</ns0:v>
      </ns0:c>
      <ns0:c r="D21" t="inlineStr">
        <ns0:is>
          <ns0:t xml:space="preserve">Normal </ns0:t>
        </ns0:is>
      </ns0:c>
      <ns0:c r="G21" t="n">
        <ns0:v>10</ns0:v>
      </ns0:c>
      <ns0:c r="H21" t="n">
        <ns0:v>0</ns0:v>
      </ns0:c>
      <ns0:c r="I21" t="n">
        <ns0:v>0</ns0:v>
      </ns0:c>
      <ns0:c r="J21" t="n">
        <ns0:v>50</ns0:v>
      </ns0:c>
      <ns0:c r="K21">
        <ns0:f>J21-O21</ns0:f>
        <ns0:v/>
      </ns0:c>
      <ns0:c r="L21" t="n">
        <ns0:v>0</ns0:v>
      </ns0:c>
      <ns0:c r="M21" t="n">
        <ns0:v>0</ns0:v>
      </ns0:c>
      <ns0:c r="N21" t="n">
        <ns0:v>1</ns0:v>
      </ns0:c>
      <ns0:c r="O21">
        <ns0:f>SUM(L21:N21)</ns0:f>
        <ns0:v/>
      </ns0:c>
      <ns0:c r="P21">
        <ns0:f>+O21/J21</ns0:f>
        <ns0:v/>
      </ns0:c>
      <ns0:c r="Q21" t="inlineStr">
        <ns0:is>
          <ns0:t xml:space="preserve">Other reason </ns0:t>
        </ns0:is>
      </ns0:c>
    </ns0:row>
    <ns0:row r="22" ht="48" customHeight="1">
      <ns0:c r="H22">
        <ns0:f>+H21/G21</ns0:f>
        <ns0:v/>
      </ns0:c>
      <ns0:c r="I22">
        <ns0:f>+I21/G21</ns0:f>
        <ns0:v/>
      </ns0:c>
      <ns0:c r="L22">
        <ns0:f>L21/J21</ns0:f>
        <ns0:v/>
      </ns0:c>
      <ns0:c r="M22">
        <ns0:f>M21/J21</ns0:f>
        <ns0:v/>
      </ns0:c>
      <ns0:c r="N22">
        <ns0:f>N21/J21</ns0:f>
        <ns0:v/>
      </ns0:c>
    </ns0:row>
    <ns0:row r="23" ht="40.5" customHeight="1"/>
    <ns0:row r="24" ht="40.5" customHeight="1">
      <ns0:c r="B24" t="inlineStr">
        <ns0:is>
          <ns0:t>4. Decision</ns0:t>
        </ns0:is>
      </ns0:c>
    </ns0:row>
    <ns0:row r="25" ht="40.5" customHeight="1"/>
    <ns0:row r="26" ht="40.5" customHeight="1"/>
    <ns0:row r="27" ht="40.5" customHeight="1"/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V11"/>
  <ns0:sheetViews>
    <ns0:sheetView workbookViewId="0">
      <ns0:selection activeCell="A1" sqref="A1"/>
    </ns0:sheetView>
  </ns0:sheetViews>
  <ns0:sheetFormatPr baseColWidth="8" defaultRowHeight="15"/>
  <ns0:cols>
    <ns0:col width="13" customWidth="1" min="2" max="2"/>
    <ns0:col width="12" customWidth="1" min="3" max="3"/>
    <ns0:col width="11.5" customWidth="1" min="4" max="4"/>
    <ns0:col width="11.5" customWidth="1" min="5" max="5"/>
    <ns0:col width="15" customWidth="1" min="6" max="6"/>
    <ns0:col width="11.5" customWidth="1" min="7" max="7"/>
    <ns0:col width="16.75" customWidth="1" min="8" max="8"/>
    <ns0:col width="14.25" customWidth="1" min="9" max="9"/>
    <ns0:col width="14.25" customWidth="1" min="10" max="10"/>
    <ns0:col width="14.25" customWidth="1" min="11" max="11"/>
    <ns0:col width="14.25" customWidth="1" min="12" max="12"/>
    <ns0:col width="14.25" customWidth="1" min="13" max="13"/>
    <ns0:col width="14.25" customWidth="1" min="14" max="14"/>
    <ns0:col width="14.25" customWidth="1" min="15" max="15"/>
    <ns0:col width="14.25" customWidth="1" min="16" max="16"/>
    <ns0:col width="14.25" customWidth="1" min="17" max="17"/>
    <ns0:col width="14.25" customWidth="1" min="18" max="18"/>
    <ns0:col width="11.5" customWidth="1" min="19" max="19"/>
    <ns0:col width="11.5" customWidth="1" min="20" max="20"/>
    <ns0:col width="11.5" customWidth="1" min="21" max="21"/>
    <ns0:col width="10.38" customWidth="1" min="22" max="22"/>
  </ns0:cols>
  <ns0:sheetData>
    <ns0:row r="4" ht="18" customHeight="1">
      <ns0:c r="B4" t="inlineStr">
        <ns0:is>
          <ns0:t xml:space="preserve">1.RESULT CHECK TENSION VP + CD ASS'Y ( Spec : 1.2kgf ) </ns0:t>
        </ns0:is>
      </ns0:c>
    </ns0:row>
    <ns0:row r="5" ht="20.5" customHeight="1">
      <ns0:c r="B5" t="inlineStr">
        <ns0:is>
          <ns0:t>Date</ns0:t>
        </ns0:is>
      </ns0:c>
      <ns0:c r="C5" t="inlineStr">
        <ns0:is>
          <ns0:t>Line</ns0:t>
        </ns0:is>
      </ns0:c>
      <ns0:c r="D5" t="inlineStr">
        <ns0:is>
          <ns0:t>No</ns0:t>
        </ns0:is>
      </ns0:c>
      <ns0:c r="E5" t="inlineStr">
        <ns0:is>
          <ns0:t>Material</ns0:t>
        </ns0:is>
      </ns0:c>
      <ns0:c r="G5" t="inlineStr">
        <ns0:is>
          <ns0:t>Type</ns0:t>
        </ns0:is>
      </ns0:c>
      <ns0:c r="I5" t="inlineStr">
        <ns0:is>
          <ns0:t>Sample #1</ns0:t>
        </ns0:is>
      </ns0:c>
      <ns0:c r="J5" t="inlineStr">
        <ns0:is>
          <ns0:t>Sample #2</ns0:t>
        </ns0:is>
      </ns0:c>
      <ns0:c r="K5" t="inlineStr">
        <ns0:is>
          <ns0:t>Sample #3</ns0:t>
        </ns0:is>
      </ns0:c>
      <ns0:c r="L5" t="inlineStr">
        <ns0:is>
          <ns0:t>Sample #4</ns0:t>
        </ns0:is>
      </ns0:c>
      <ns0:c r="M5" t="inlineStr">
        <ns0:is>
          <ns0:t>Sample #5</ns0:t>
        </ns0:is>
      </ns0:c>
      <ns0:c r="N5" t="inlineStr">
        <ns0:is>
          <ns0:t>Sample #6</ns0:t>
        </ns0:is>
      </ns0:c>
      <ns0:c r="O5" t="inlineStr">
        <ns0:is>
          <ns0:t>Sample #7</ns0:t>
        </ns0:is>
      </ns0:c>
      <ns0:c r="P5" t="inlineStr">
        <ns0:is>
          <ns0:t>Sample #8</ns0:t>
        </ns0:is>
      </ns0:c>
      <ns0:c r="Q5" t="inlineStr">
        <ns0:is>
          <ns0:t>Sample #9</ns0:t>
        </ns0:is>
      </ns0:c>
      <ns0:c r="R5" t="inlineStr">
        <ns0:is>
          <ns0:t>Sample #10</ns0:t>
        </ns0:is>
      </ns0:c>
      <ns0:c r="S5" t="inlineStr">
        <ns0:is>
          <ns0:t>Min</ns0:t>
        </ns0:is>
      </ns0:c>
      <ns0:c r="T5" t="inlineStr">
        <ns0:is>
          <ns0:t>Max</ns0:t>
        </ns0:is>
      </ns0:c>
      <ns0:c r="U5" t="inlineStr">
        <ns0:is>
          <ns0:t>Average</ns0:t>
        </ns0:is>
      </ns0:c>
      <ns0:c r="V5" t="inlineStr">
        <ns0:is>
          <ns0:t xml:space="preserve">Note </ns0:t>
        </ns0:is>
      </ns0:c>
    </ns0:row>
    <ns0:row r="6" ht="21" customHeight="1"/>
    <ns0:row r="7" ht="21" customHeight="1">
      <ns0:c r="E7" t="inlineStr">
        <ns0:is>
          <ns0:t>CD</ns0:t>
        </ns0:is>
      </ns0:c>
    </ns0:row>
    <ns0:row r="8" ht="17.25" customHeight="1">
      <ns0:c r="B8" s="1" t="n">
        <ns0:v>45779</ns0:v>
      </ns0:c>
      <ns0:c r="C8" t="inlineStr">
        <ns0:is>
          <ns0:t>E2-4B</ns0:t>
        </ns0:is>
      </ns0:c>
      <ns0:c r="D8" t="n">
        <ns0:v>1</ns0:v>
      </ns0:c>
      <ns0:c r="E8" t="inlineStr">
        <ns0:is>
          <ns0:t xml:space="preserve"> CD : IR250425027 - Lot size : 40k </ns0:t>
        </ns0:is>
      </ns0:c>
      <ns0:c r="I8" t="n">
        <ns0:v>1.798</ns0:v>
      </ns0:c>
      <ns0:c r="J8" t="n">
        <ns0:v>1.988</ns0:v>
      </ns0:c>
      <ns0:c r="K8" t="n">
        <ns0:v>1.809</ns0:v>
      </ns0:c>
      <ns0:c r="L8" t="n">
        <ns0:v>1.662</ns0:v>
      </ns0:c>
      <ns0:c r="M8" t="n">
        <ns0:v>2.242</ns0:v>
      </ns0:c>
      <ns0:c r="N8" t="n">
        <ns0:v>1.604</ns0:v>
      </ns0:c>
      <ns0:c r="O8" t="n">
        <ns0:v>2.055</ns0:v>
      </ns0:c>
      <ns0:c r="P8" t="n">
        <ns0:v>1.82</ns0:v>
      </ns0:c>
      <ns0:c r="Q8" t="n">
        <ns0:v>2.012</ns0:v>
      </ns0:c>
      <ns0:c r="R8" t="n">
        <ns0:v>2.249</ns0:v>
      </ns0:c>
      <ns0:c r="S8">
        <ns0:f>MIN(I8:R9)</ns0:f>
        <ns0:v/>
      </ns0:c>
      <ns0:c r="T8">
        <ns0:f>MAX(I8:R9)</ns0:f>
        <ns0:v/>
      </ns0:c>
      <ns0:c r="U8">
        <ns0:f>AVERAGE(I8:R9)</ns0:f>
        <ns0:v/>
      </ns0:c>
      <ns0:c r="V8" t="inlineStr">
        <ns0:is>
          <ns0:t>pass</ns0:t>
        </ns0:is>
      </ns0:c>
    </ns0:row>
    <ns0:row r="9" ht="16.5" customHeight="1"/>
    <ns0:row r="10" ht="14.5" customHeight="1">
      <ns0:c r="D10" t="n">
        <ns0:v>2</ns0:v>
      </ns0:c>
      <ns0:c r="E10" t="inlineStr">
        <ns0:is>
          <ns0:t xml:space="preserve">Normal </ns0:t>
        </ns0:is>
      </ns0:c>
      <ns0:c r="I10" t="n">
        <ns0:v>1.802</ns0:v>
      </ns0:c>
      <ns0:c r="J10" t="n">
        <ns0:v>1.398</ns0:v>
      </ns0:c>
      <ns0:c r="K10" t="n">
        <ns0:v>1.667</ns0:v>
      </ns0:c>
      <ns0:c r="L10" t="n">
        <ns0:v>1.472</ns0:v>
      </ns0:c>
      <ns0:c r="M10" t="n">
        <ns0:v>1.355</ns0:v>
      </ns0:c>
      <ns0:c r="N10" t="n">
        <ns0:v>1.482</ns0:v>
      </ns0:c>
      <ns0:c r="O10" t="n">
        <ns0:v>1.506</ns0:v>
      </ns0:c>
      <ns0:c r="P10" t="n">
        <ns0:v>1.596</ns0:v>
      </ns0:c>
      <ns0:c r="Q10" t="n">
        <ns0:v>1.687</ns0:v>
      </ns0:c>
      <ns0:c r="R10" t="n">
        <ns0:v>1.707</ns0:v>
      </ns0:c>
      <ns0:c r="S10">
        <ns0:f>MIN(I10:R11)</ns0:f>
        <ns0:v/>
      </ns0:c>
      <ns0:c r="T10">
        <ns0:f>MAX(I10:R11)</ns0:f>
        <ns0:v/>
      </ns0:c>
      <ns0:c r="U10" s="2">
        <ns0:f>AVERAGE(I10:R11)</ns0:f>
        <ns0:v/>
      </ns0:c>
      <ns0:c r="V10" t="inlineStr">
        <ns0:is>
          <ns0:t>pass</ns0:t>
        </ns0:is>
      </ns0:c>
    </ns0:row>
    <ns0:row r="11" ht="14.5" customHeight="1"/>
  </ns0:sheetData>
  <ns0:mergeCells count="2">
    <ns0:mergeCell ref="U10:U11"/>
    <ns0:mergeCell ref="K10:K11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C4:Q54"/>
  <ns0:sheetViews>
    <ns0:sheetView workbookViewId="0">
      <ns0:selection activeCell="A1" sqref="A1"/>
    </ns0:sheetView>
  </ns0:sheetViews>
  <ns0:sheetFormatPr baseColWidth="8" defaultRowHeight="15"/>
  <ns0:cols>
    <ns0:col width="8.380000000000001" customWidth="1" min="3" max="3"/>
    <ns0:col width="12" customWidth="1" min="4" max="4"/>
    <ns0:col width="12" customWidth="1" min="5" max="5"/>
    <ns0:col width="7" customWidth="1" min="6" max="6"/>
    <ns0:col width="7" customWidth="1" min="7" max="7"/>
    <ns0:col width="17" customWidth="1" min="8" max="8"/>
    <ns0:col width="18.38" customWidth="1" min="9" max="9"/>
    <ns0:col width="8.5" customWidth="1" min="10" max="10"/>
    <ns0:col width="7.75" customWidth="1" min="11" max="11"/>
    <ns0:col width="20.5" customWidth="1" min="12" max="12"/>
    <ns0:col width="13" customWidth="1" min="13" max="13"/>
    <ns0:col width="15.25" customWidth="1" min="14" max="14"/>
    <ns0:col width="12" customWidth="1" min="15" max="15"/>
    <ns0:col width="10.25" customWidth="1" min="16" max="16"/>
    <ns0:col width="33.75" customWidth="1" min="17" max="17"/>
  </ns0:cols>
  <ns0:sheetData>
    <ns0:row r="4" ht="20.25" customHeight="1">
      <ns0:c r="C4" s="3" t="inlineStr">
        <ns0:is>
          <ns0:t>No</ns0:t>
        </ns0:is>
      </ns0:c>
      <ns0:c r="D4" s="3" t="inlineStr">
        <ns0:is>
          <ns0:t>LOT</ns0:t>
        </ns0:is>
      </ns0:c>
      <ns0:c r="F4" s="3" t="inlineStr">
        <ns0:is>
          <ns0:t>Check Material</ns0:t>
        </ns0:is>
      </ns0:c>
      <ns0:c r="J4" s="3" t="inlineStr">
        <ns0:is>
          <ns0:t>Check Function</ns0:t>
        </ns0:is>
      </ns0:c>
    </ns0:row>
    <ns0:row r="5" ht="29.5" customHeight="1">
      <ns0:c r="F5" s="3" t="inlineStr">
        <ns0:is>
          <ns0:t>Dyne</ns0:t>
        </ns0:is>
      </ns0:c>
      <ns0:c r="G5" s="3" t="inlineStr">
        <ns0:is>
          <ns0:t>Input</ns0:t>
        </ns0:is>
      </ns0:c>
      <ns0:c r="H5" s="3" t="inlineStr">
        <ns0:is>
          <ns0:t>NG / NG rate</ns0:t>
        </ns0:is>
      </ns0:c>
      <ns0:c r="I5" s="3" t="inlineStr">
        <ns0:is>
          <ns0:t>Tension TEST</ns0:t>
        </ns0:is>
      </ns0:c>
      <ns0:c r="J5" s="3" t="inlineStr">
        <ns0:is>
          <ns0:t>Input</ns0:t>
        </ns0:is>
      </ns0:c>
      <ns0:c r="K5" s="3" t="inlineStr">
        <ns0:is>
          <ns0:t>OK</ns0:t>
        </ns0:is>
      </ns0:c>
      <ns0:c r="L5" s="3" t="inlineStr">
        <ns0:is>
          <ns0:t>VP/CD separate</ns0:t>
        </ns0:is>
      </ns0:c>
      <ns0:c r="M5" s="3" t="inlineStr">
        <ns0:is>
          <ns0:t>NG Sigma</ns0:t>
        </ns0:is>
      </ns0:c>
      <ns0:c r="N5" s="3" t="inlineStr">
        <ns0:is>
          <ns0:t>NG Hearing</ns0:t>
        </ns0:is>
      </ns0:c>
      <ns0:c r="O5" s="3" t="inlineStr">
        <ns0:is>
          <ns0:t>Total NG</ns0:t>
        </ns0:is>
      </ns0:c>
      <ns0:c r="P5" s="3" t="inlineStr">
        <ns0:is>
          <ns0:t>NG rate</ns0:t>
        </ns0:is>
      </ns0:c>
      <ns0:c r="Q5" s="3" t="inlineStr">
        <ns0:is>
          <ns0:t>Result decap NG hearing 
Check VP/CD separate</ns0:t>
        </ns0:is>
      </ns0:c>
    </ns0:row>
    <ns0:row r="6" ht="43.25" customHeight="1"/>
    <ns0:row r="7">
      <ns0:c r="C7" s="3" t="n">
        <ns0:v>1</ns0:v>
      </ns0:c>
      <ns0:c r="D7" s="3" t="inlineStr">
        <ns0:is>
          <ns0:t>IV :250410013</ns0:t>
        </ns0:is>
      </ns0:c>
      <ns0:c r="F7" s="3" t="n">
        <ns0:v>40</ns0:v>
      </ns0:c>
      <ns0:c r="G7" s="3" t="n">
        <ns0:v>10</ns0:v>
      </ns0:c>
      <ns0:c r="H7" s="3" t="n">
        <ns0:v>3</ns0:v>
      </ns0:c>
      <ns0:c r="I7" s="3" t="n">
        <ns0:v>0</ns0:v>
      </ns0:c>
      <ns0:c r="J7" s="3" t="n">
        <ns0:v>50</ns0:v>
      </ns0:c>
      <ns0:c r="K7" s="3">
        <ns0:f>J7-O7</ns0:f>
        <ns0:v/>
      </ns0:c>
      <ns0:c r="L7" s="3" t="n">
        <ns0:v>0</ns0:v>
      </ns0:c>
      <ns0:c r="M7" s="3" t="n">
        <ns0:v>0</ns0:v>
      </ns0:c>
      <ns0:c r="N7" s="3" t="n">
        <ns0:v>2</ns0:v>
      </ns0:c>
      <ns0:c r="O7" s="3">
        <ns0:f>SUM(L7:N7)</ns0:f>
        <ns0:v/>
      </ns0:c>
      <ns0:c r="P7" s="3">
        <ns0:f>+O7/J7</ns0:f>
        <ns0:v/>
      </ns0:c>
      <ns0:c r="Q7" s="3" t="inlineStr">
        <ns0:is>
          <ns0:t xml:space="preserve">Reason  other </ns0:t>
        </ns0:is>
      </ns0:c>
    </ns0:row>
    <ns0:row r="8">
      <ns0:c r="H8" s="3">
        <ns0:f>+H7/G7</ns0:f>
        <ns0:v/>
      </ns0:c>
      <ns0:c r="I8" s="3">
        <ns0:f>+I7/G7</ns0:f>
        <ns0:v/>
      </ns0:c>
      <ns0:c r="L8" s="3">
        <ns0:f>L7/J7</ns0:f>
        <ns0:v/>
      </ns0:c>
      <ns0:c r="M8" s="3">
        <ns0:f>M7/J7</ns0:f>
        <ns0:v/>
      </ns0:c>
      <ns0:c r="N8" s="3">
        <ns0:f>N7/J7</ns0:f>
        <ns0:v/>
      </ns0:c>
    </ns0:row>
    <ns0:row r="9">
      <ns0:c r="C9" s="3" t="n">
        <ns0:v>2</ns0:v>
      </ns0:c>
      <ns0:c r="G9" s="3" t="n">
        <ns0:v>10</ns0:v>
      </ns0:c>
      <ns0:c r="H9" s="3" t="n">
        <ns0:v>0</ns0:v>
      </ns0:c>
      <ns0:c r="I9" s="3" t="n">
        <ns0:v>0</ns0:v>
      </ns0:c>
      <ns0:c r="J9" s="3" t="n">
        <ns0:v>50</ns0:v>
      </ns0:c>
      <ns0:c r="K9" s="3">
        <ns0:f>J9-O9</ns0:f>
        <ns0:v/>
      </ns0:c>
      <ns0:c r="L9" s="3" t="n">
        <ns0:v>0</ns0:v>
      </ns0:c>
      <ns0:c r="M9" s="3" t="n">
        <ns0:v>0</ns0:v>
      </ns0:c>
      <ns0:c r="N9" s="3" t="n">
        <ns0:v>0</ns0:v>
      </ns0:c>
      <ns0:c r="O9" s="3">
        <ns0:f>SUM(L9:N9)</ns0:f>
        <ns0:v/>
      </ns0:c>
      <ns0:c r="P9" s="3">
        <ns0:f>+O9/J9</ns0:f>
        <ns0:v/>
      </ns0:c>
    </ns0:row>
    <ns0:row r="10">
      <ns0:c r="H10" s="3">
        <ns0:f>+H9/G9</ns0:f>
        <ns0:v/>
      </ns0:c>
      <ns0:c r="I10" s="3">
        <ns0:f>+I9/G9</ns0:f>
        <ns0:v/>
      </ns0:c>
      <ns0:c r="L10" s="3">
        <ns0:f>L9/J9</ns0:f>
        <ns0:v/>
      </ns0:c>
      <ns0:c r="M10" s="3">
        <ns0:f>M9/J9</ns0:f>
        <ns0:v/>
      </ns0:c>
      <ns0:c r="N10" s="3">
        <ns0:f>N9/J9</ns0:f>
        <ns0:v/>
      </ns0:c>
    </ns0:row>
    <ns0:row r="11">
      <ns0:c r="C11" s="3" t="n">
        <ns0:v>3</ns0:v>
      </ns0:c>
      <ns0:c r="G11" s="3" t="n">
        <ns0:v>10</ns0:v>
      </ns0:c>
      <ns0:c r="H11" s="3" t="n">
        <ns0:v>0</ns0:v>
      </ns0:c>
      <ns0:c r="I11" s="3" t="n">
        <ns0:v>0</ns0:v>
      </ns0:c>
      <ns0:c r="J11" s="3" t="n">
        <ns0:v>50</ns0:v>
      </ns0:c>
      <ns0:c r="K11" s="3">
        <ns0:f>J11-O11</ns0:f>
        <ns0:v/>
      </ns0:c>
      <ns0:c r="L11" s="3" t="n">
        <ns0:v>0</ns0:v>
      </ns0:c>
      <ns0:c r="M11" s="3" t="n">
        <ns0:v>0</ns0:v>
      </ns0:c>
      <ns0:c r="N11" s="3" t="n">
        <ns0:v>2</ns0:v>
      </ns0:c>
      <ns0:c r="O11" s="3">
        <ns0:f>SUM(L11:N11)</ns0:f>
        <ns0:v/>
      </ns0:c>
      <ns0:c r="P11" s="3">
        <ns0:f>+O11/J11</ns0:f>
        <ns0:v/>
      </ns0:c>
      <ns0:c r="Q11" s="3" t="inlineStr">
        <ns0:is>
          <ns0:t xml:space="preserve">Reason  other </ns0:t>
        </ns0:is>
      </ns0:c>
    </ns0:row>
    <ns0:row r="12">
      <ns0:c r="H12" s="3">
        <ns0:f>+H11/G11</ns0:f>
        <ns0:v/>
      </ns0:c>
      <ns0:c r="I12" s="3">
        <ns0:f>+I11/G11</ns0:f>
        <ns0:v/>
      </ns0:c>
      <ns0:c r="L12" s="3">
        <ns0:f>L11/J11</ns0:f>
        <ns0:v/>
      </ns0:c>
      <ns0:c r="M12" s="3">
        <ns0:f>M11/J11</ns0:f>
        <ns0:v/>
      </ns0:c>
      <ns0:c r="N12" s="3">
        <ns0:f>N11/J11</ns0:f>
        <ns0:v/>
      </ns0:c>
    </ns0:row>
    <ns0:row r="13">
      <ns0:c r="C13" s="3" t="n">
        <ns0:v>4</ns0:v>
      </ns0:c>
      <ns0:c r="G13" s="3" t="n">
        <ns0:v>10</ns0:v>
      </ns0:c>
      <ns0:c r="H13" s="3" t="n">
        <ns0:v>0</ns0:v>
      </ns0:c>
      <ns0:c r="I13" s="3" t="n">
        <ns0:v>0</ns0:v>
      </ns0:c>
      <ns0:c r="J13" s="3" t="n">
        <ns0:v>45</ns0:v>
      </ns0:c>
      <ns0:c r="K13" s="3">
        <ns0:f>J13-O13</ns0:f>
        <ns0:v/>
      </ns0:c>
      <ns0:c r="L13" s="3" t="n">
        <ns0:v>0</ns0:v>
      </ns0:c>
      <ns0:c r="M13" s="3" t="n">
        <ns0:v>1</ns0:v>
      </ns0:c>
      <ns0:c r="N13" s="3" t="n">
        <ns0:v>1</ns0:v>
      </ns0:c>
      <ns0:c r="O13" s="3">
        <ns0:f>SUM(L13:N13)</ns0:f>
        <ns0:v/>
      </ns0:c>
      <ns0:c r="P13" s="3">
        <ns0:f>+O13/J13</ns0:f>
        <ns0:v/>
      </ns0:c>
      <ns0:c r="Q13" s="3" t="inlineStr">
        <ns0:is>
          <ns0:t>NG 2/2 separate VP/CD</ns0:t>
        </ns0:is>
      </ns0:c>
    </ns0:row>
    <ns0:row r="14">
      <ns0:c r="H14" s="3">
        <ns0:f>+H13/G13</ns0:f>
        <ns0:v/>
      </ns0:c>
      <ns0:c r="I14" s="3">
        <ns0:f>+I13/G13</ns0:f>
        <ns0:v/>
      </ns0:c>
      <ns0:c r="L14" s="3">
        <ns0:f>L13/J13</ns0:f>
        <ns0:v/>
      </ns0:c>
      <ns0:c r="M14" s="3">
        <ns0:f>M13/J13</ns0:f>
        <ns0:v/>
      </ns0:c>
      <ns0:c r="N14" s="3">
        <ns0:f>N13/J13</ns0:f>
        <ns0:v/>
      </ns0:c>
    </ns0:row>
    <ns0:row r="15">
      <ns0:c r="C15" s="3" t="n">
        <ns0:v>5</ns0:v>
      </ns0:c>
      <ns0:c r="G15" s="3" t="n">
        <ns0:v>10</ns0:v>
      </ns0:c>
      <ns0:c r="H15" s="3" t="n">
        <ns0:v>0</ns0:v>
      </ns0:c>
      <ns0:c r="I15" s="3" t="n">
        <ns0:v>0</ns0:v>
      </ns0:c>
      <ns0:c r="J15" s="3" t="n">
        <ns0:v>50</ns0:v>
      </ns0:c>
      <ns0:c r="K15" s="3">
        <ns0:f>J15-O15</ns0:f>
        <ns0:v/>
      </ns0:c>
      <ns0:c r="L15" s="3" t="n">
        <ns0:v>0</ns0:v>
      </ns0:c>
      <ns0:c r="M15" s="3" t="n">
        <ns0:v>0</ns0:v>
      </ns0:c>
      <ns0:c r="N15" s="3" t="n">
        <ns0:v>0</ns0:v>
      </ns0:c>
      <ns0:c r="O15" s="3">
        <ns0:f>SUM(L15:N15)</ns0:f>
        <ns0:v/>
      </ns0:c>
      <ns0:c r="P15" s="3">
        <ns0:f>+O15/J15</ns0:f>
        <ns0:v/>
      </ns0:c>
    </ns0:row>
    <ns0:row r="16">
      <ns0:c r="H16" s="3">
        <ns0:f>+H15/G15</ns0:f>
        <ns0:v/>
      </ns0:c>
      <ns0:c r="I16" s="3">
        <ns0:f>+I15/G15</ns0:f>
        <ns0:v/>
      </ns0:c>
      <ns0:c r="L16" s="3">
        <ns0:f>L15/J15</ns0:f>
        <ns0:v/>
      </ns0:c>
      <ns0:c r="M16" s="3">
        <ns0:f>M15/J15</ns0:f>
        <ns0:v/>
      </ns0:c>
      <ns0:c r="N16" s="3">
        <ns0:f>N15/J15</ns0:f>
        <ns0:v/>
      </ns0:c>
    </ns0:row>
    <ns0:row r="17">
      <ns0:c r="C17" s="3" t="n">
        <ns0:v>6</ns0:v>
      </ns0:c>
      <ns0:c r="G17" s="3" t="n">
        <ns0:v>10</ns0:v>
      </ns0:c>
      <ns0:c r="H17" s="3" t="n">
        <ns0:v>0</ns0:v>
      </ns0:c>
      <ns0:c r="I17" s="3" t="n">
        <ns0:v>0</ns0:v>
      </ns0:c>
      <ns0:c r="J17" s="3" t="n">
        <ns0:v>50</ns0:v>
      </ns0:c>
      <ns0:c r="K17" s="3">
        <ns0:f>J17-O17</ns0:f>
        <ns0:v/>
      </ns0:c>
      <ns0:c r="L17" s="3" t="n">
        <ns0:v>0</ns0:v>
      </ns0:c>
      <ns0:c r="M17" s="3" t="n">
        <ns0:v>0</ns0:v>
      </ns0:c>
      <ns0:c r="N17" s="3" t="n">
        <ns0:v>2</ns0:v>
      </ns0:c>
      <ns0:c r="O17" s="3">
        <ns0:f>SUM(L17:N17)</ns0:f>
        <ns0:v/>
      </ns0:c>
      <ns0:c r="P17" s="3">
        <ns0:f>+O17/J17</ns0:f>
        <ns0:v/>
      </ns0:c>
      <ns0:c r="Q17" s="3" t="inlineStr">
        <ns0:is>
          <ns0:t xml:space="preserve">Reason  other </ns0:t>
        </ns0:is>
      </ns0:c>
    </ns0:row>
    <ns0:row r="18">
      <ns0:c r="H18" s="3">
        <ns0:f>+H17/G17</ns0:f>
        <ns0:v/>
      </ns0:c>
      <ns0:c r="I18" s="3">
        <ns0:f>+I17/G17</ns0:f>
        <ns0:v/>
      </ns0:c>
      <ns0:c r="L18" s="3">
        <ns0:f>L17/J17</ns0:f>
        <ns0:v/>
      </ns0:c>
      <ns0:c r="M18" s="3">
        <ns0:f>M17/J17</ns0:f>
        <ns0:v/>
      </ns0:c>
      <ns0:c r="N18" s="3">
        <ns0:f>N17/J17</ns0:f>
        <ns0:v/>
      </ns0:c>
    </ns0:row>
    <ns0:row r="19">
      <ns0:c r="C19" s="3" t="n">
        <ns0:v>7</ns0:v>
      </ns0:c>
      <ns0:c r="G19" s="3" t="n">
        <ns0:v>10</ns0:v>
      </ns0:c>
      <ns0:c r="H19" s="3" t="n">
        <ns0:v>0</ns0:v>
      </ns0:c>
      <ns0:c r="I19" s="3" t="n">
        <ns0:v>0</ns0:v>
      </ns0:c>
      <ns0:c r="J19" s="3" t="n">
        <ns0:v>50</ns0:v>
      </ns0:c>
      <ns0:c r="K19" s="3">
        <ns0:f>J19-O19</ns0:f>
        <ns0:v/>
      </ns0:c>
      <ns0:c r="L19" s="3" t="n">
        <ns0:v>0</ns0:v>
      </ns0:c>
      <ns0:c r="M19" s="3" t="n">
        <ns0:v>0</ns0:v>
      </ns0:c>
      <ns0:c r="N19" s="3" t="n">
        <ns0:v>3</ns0:v>
      </ns0:c>
      <ns0:c r="O19" s="3">
        <ns0:f>SUM(L19:N19)</ns0:f>
        <ns0:v/>
      </ns0:c>
      <ns0:c r="P19" s="3">
        <ns0:f>+O19/J19</ns0:f>
        <ns0:v/>
      </ns0:c>
      <ns0:c r="Q19" s="3" t="inlineStr">
        <ns0:is>
          <ns0:t>NG 3/3 separate VP/CD</ns0:t>
        </ns0:is>
      </ns0:c>
    </ns0:row>
    <ns0:row r="20">
      <ns0:c r="H20" s="3">
        <ns0:f>+H19/G19</ns0:f>
        <ns0:v/>
      </ns0:c>
      <ns0:c r="I20" s="3">
        <ns0:f>+I19/G19</ns0:f>
        <ns0:v/>
      </ns0:c>
      <ns0:c r="L20" s="3">
        <ns0:f>L19/J19</ns0:f>
        <ns0:v/>
      </ns0:c>
      <ns0:c r="M20" s="3">
        <ns0:f>M19/J19</ns0:f>
        <ns0:v/>
      </ns0:c>
      <ns0:c r="N20" s="3">
        <ns0:f>N19/J19</ns0:f>
        <ns0:v/>
      </ns0:c>
    </ns0:row>
    <ns0:row r="21">
      <ns0:c r="C21" s="3" t="n">
        <ns0:v>8</ns0:v>
      </ns0:c>
      <ns0:c r="G21" s="3" t="n">
        <ns0:v>10</ns0:v>
      </ns0:c>
      <ns0:c r="H21" s="3" t="n">
        <ns0:v>0</ns0:v>
      </ns0:c>
      <ns0:c r="I21" s="3" t="n">
        <ns0:v>0</ns0:v>
      </ns0:c>
      <ns0:c r="J21" s="3" t="n">
        <ns0:v>50</ns0:v>
      </ns0:c>
      <ns0:c r="K21" s="3">
        <ns0:f>J21-O21</ns0:f>
        <ns0:v/>
      </ns0:c>
      <ns0:c r="L21" s="3" t="n">
        <ns0:v>0</ns0:v>
      </ns0:c>
      <ns0:c r="M21" s="3" t="n">
        <ns0:v>0</ns0:v>
      </ns0:c>
      <ns0:c r="N21" s="3" t="n">
        <ns0:v>0</ns0:v>
      </ns0:c>
      <ns0:c r="O21" s="3">
        <ns0:f>SUM(L21:N21)</ns0:f>
        <ns0:v/>
      </ns0:c>
      <ns0:c r="P21" s="3">
        <ns0:f>+O21/J21</ns0:f>
        <ns0:v/>
      </ns0:c>
    </ns0:row>
    <ns0:row r="22">
      <ns0:c r="H22" s="3">
        <ns0:f>+H21/G21</ns0:f>
        <ns0:v/>
      </ns0:c>
      <ns0:c r="I22" s="3">
        <ns0:f>+I21/G21</ns0:f>
        <ns0:v/>
      </ns0:c>
      <ns0:c r="L22" s="3">
        <ns0:f>L21/J21</ns0:f>
        <ns0:v/>
      </ns0:c>
      <ns0:c r="M22" s="3">
        <ns0:f>M21/J21</ns0:f>
        <ns0:v/>
      </ns0:c>
      <ns0:c r="N22" s="3">
        <ns0:f>N21/J21</ns0:f>
        <ns0:v/>
      </ns0:c>
    </ns0:row>
    <ns0:row r="23">
      <ns0:c r="C23" s="3" t="n">
        <ns0:v>9</ns0:v>
      </ns0:c>
      <ns0:c r="G23" s="3" t="n">
        <ns0:v>10</ns0:v>
      </ns0:c>
      <ns0:c r="H23" s="3" t="n">
        <ns0:v>0</ns0:v>
      </ns0:c>
      <ns0:c r="I23" s="3" t="n">
        <ns0:v>0</ns0:v>
      </ns0:c>
      <ns0:c r="J23" s="3" t="n">
        <ns0:v>50</ns0:v>
      </ns0:c>
      <ns0:c r="K23" s="3">
        <ns0:f>J23-O23</ns0:f>
        <ns0:v/>
      </ns0:c>
      <ns0:c r="L23" s="3" t="n">
        <ns0:v>0</ns0:v>
      </ns0:c>
      <ns0:c r="M23" s="3" t="n">
        <ns0:v>0</ns0:v>
      </ns0:c>
      <ns0:c r="N23" s="3" t="n">
        <ns0:v>1</ns0:v>
      </ns0:c>
      <ns0:c r="O23" s="3">
        <ns0:f>SUM(L23:N23)</ns0:f>
        <ns0:v/>
      </ns0:c>
      <ns0:c r="P23" s="3">
        <ns0:f>+O23/J23</ns0:f>
        <ns0:v/>
      </ns0:c>
      <ns0:c r="Q23" s="3" t="inlineStr">
        <ns0:is>
          <ns0:t xml:space="preserve">Reason  other </ns0:t>
        </ns0:is>
      </ns0:c>
    </ns0:row>
    <ns0:row r="24">
      <ns0:c r="H24" s="3">
        <ns0:f>+H23/G23</ns0:f>
        <ns0:v/>
      </ns0:c>
      <ns0:c r="I24" s="3">
        <ns0:f>+I23/G23</ns0:f>
        <ns0:v/>
      </ns0:c>
      <ns0:c r="L24" s="3">
        <ns0:f>L23/J23</ns0:f>
        <ns0:v/>
      </ns0:c>
      <ns0:c r="M24" s="3">
        <ns0:f>M23/J23</ns0:f>
        <ns0:v/>
      </ns0:c>
      <ns0:c r="N24" s="3">
        <ns0:f>N23/J23</ns0:f>
        <ns0:v/>
      </ns0:c>
    </ns0:row>
    <ns0:row r="25">
      <ns0:c r="C25" s="3" t="n">
        <ns0:v>10</ns0:v>
      </ns0:c>
      <ns0:c r="G25" s="3" t="n">
        <ns0:v>10</ns0:v>
      </ns0:c>
      <ns0:c r="H25" s="3" t="n">
        <ns0:v>0</ns0:v>
      </ns0:c>
      <ns0:c r="I25" s="3" t="n">
        <ns0:v>0</ns0:v>
      </ns0:c>
      <ns0:c r="J25" s="3" t="n">
        <ns0:v>50</ns0:v>
      </ns0:c>
      <ns0:c r="K25" s="3">
        <ns0:f>J25-O25</ns0:f>
        <ns0:v/>
      </ns0:c>
      <ns0:c r="L25" s="3" t="n">
        <ns0:v>0</ns0:v>
      </ns0:c>
      <ns0:c r="M25" s="3" t="n">
        <ns0:v>0</ns0:v>
      </ns0:c>
      <ns0:c r="N25" s="3" t="n">
        <ns0:v>0</ns0:v>
      </ns0:c>
      <ns0:c r="O25" s="3">
        <ns0:f>SUM(L25:N25)</ns0:f>
        <ns0:v/>
      </ns0:c>
      <ns0:c r="P25" s="3">
        <ns0:f>+O25/J25</ns0:f>
        <ns0:v/>
      </ns0:c>
    </ns0:row>
    <ns0:row r="26">
      <ns0:c r="H26" s="3">
        <ns0:f>+H25/G25</ns0:f>
        <ns0:v/>
      </ns0:c>
      <ns0:c r="I26" s="3">
        <ns0:f>+I25/G25</ns0:f>
        <ns0:v/>
      </ns0:c>
      <ns0:c r="L26" s="3">
        <ns0:f>L25/J25</ns0:f>
        <ns0:v/>
      </ns0:c>
      <ns0:c r="M26" s="3">
        <ns0:f>M25/J25</ns0:f>
        <ns0:v/>
      </ns0:c>
      <ns0:c r="N26" s="3">
        <ns0:f>N25/J25</ns0:f>
        <ns0:v/>
      </ns0:c>
    </ns0:row>
    <ns0:row r="27">
      <ns0:c r="C27" s="3" t="n">
        <ns0:v>11</ns0:v>
      </ns0:c>
      <ns0:c r="G27" s="3" t="n">
        <ns0:v>10</ns0:v>
      </ns0:c>
      <ns0:c r="H27" s="3" t="n">
        <ns0:v>0</ns0:v>
      </ns0:c>
      <ns0:c r="I27" s="3" t="n">
        <ns0:v>0</ns0:v>
      </ns0:c>
      <ns0:c r="J27" s="3" t="n">
        <ns0:v>55</ns0:v>
      </ns0:c>
      <ns0:c r="K27" s="3">
        <ns0:f>J27-O27</ns0:f>
        <ns0:v/>
      </ns0:c>
      <ns0:c r="L27" s="3" t="n">
        <ns0:v>0</ns0:v>
      </ns0:c>
      <ns0:c r="M27" s="3" t="n">
        <ns0:v>0</ns0:v>
      </ns0:c>
      <ns0:c r="N27" s="3" t="n">
        <ns0:v>12</ns0:v>
      </ns0:c>
      <ns0:c r="O27" s="3">
        <ns0:f>SUM(L27:N27)</ns0:f>
        <ns0:v/>
      </ns0:c>
      <ns0:c r="P27" s="3">
        <ns0:f>+O27/J27</ns0:f>
        <ns0:v/>
      </ns0:c>
      <ns0:c r="Q27" s="3" t="inlineStr">
        <ns0:is>
          <ns0:t>NG 12/12 separate VP/CD</ns0:t>
        </ns0:is>
      </ns0:c>
    </ns0:row>
    <ns0:row r="28">
      <ns0:c r="H28" s="3">
        <ns0:f>+H27/G27</ns0:f>
        <ns0:v/>
      </ns0:c>
      <ns0:c r="I28" s="3">
        <ns0:f>+I27/G27</ns0:f>
        <ns0:v/>
      </ns0:c>
      <ns0:c r="L28" s="3">
        <ns0:f>L27/J27</ns0:f>
        <ns0:v/>
      </ns0:c>
      <ns0:c r="M28" s="3">
        <ns0:f>M27/J27</ns0:f>
        <ns0:v/>
      </ns0:c>
      <ns0:c r="N28" s="3">
        <ns0:f>N27/J27</ns0:f>
        <ns0:v/>
      </ns0:c>
    </ns0:row>
    <ns0:row r="29">
      <ns0:c r="C29" s="3" t="n">
        <ns0:v>12</ns0:v>
      </ns0:c>
      <ns0:c r="G29" s="3" t="n">
        <ns0:v>10</ns0:v>
      </ns0:c>
      <ns0:c r="H29" s="3" t="n">
        <ns0:v>0</ns0:v>
      </ns0:c>
      <ns0:c r="I29" s="3" t="n">
        <ns0:v>0</ns0:v>
      </ns0:c>
      <ns0:c r="J29" s="3" t="n">
        <ns0:v>55</ns0:v>
      </ns0:c>
      <ns0:c r="K29" s="3">
        <ns0:f>J29-O29</ns0:f>
        <ns0:v/>
      </ns0:c>
      <ns0:c r="L29" s="3" t="n">
        <ns0:v>0</ns0:v>
      </ns0:c>
      <ns0:c r="M29" s="3" t="n">
        <ns0:v>0</ns0:v>
      </ns0:c>
      <ns0:c r="N29" s="3" t="n">
        <ns0:v>1</ns0:v>
      </ns0:c>
      <ns0:c r="O29" s="3">
        <ns0:f>SUM(L29:N29)</ns0:f>
        <ns0:v/>
      </ns0:c>
      <ns0:c r="P29" s="3">
        <ns0:f>+O29/J29</ns0:f>
        <ns0:v/>
      </ns0:c>
      <ns0:c r="Q29" s="3" t="inlineStr">
        <ns0:is>
          <ns0:t>NG 1/1 separate VP/CD</ns0:t>
        </ns0:is>
      </ns0:c>
    </ns0:row>
    <ns0:row r="30">
      <ns0:c r="H30" s="3">
        <ns0:f>+H29/G29</ns0:f>
        <ns0:v/>
      </ns0:c>
      <ns0:c r="I30" s="3">
        <ns0:f>+I29/G29</ns0:f>
        <ns0:v/>
      </ns0:c>
      <ns0:c r="L30" s="3">
        <ns0:f>L29/J29</ns0:f>
        <ns0:v/>
      </ns0:c>
      <ns0:c r="M30" s="3">
        <ns0:f>M29/J29</ns0:f>
        <ns0:v/>
      </ns0:c>
      <ns0:c r="N30" s="3">
        <ns0:f>N29/J29</ns0:f>
        <ns0:v/>
      </ns0:c>
    </ns0:row>
    <ns0:row r="31">
      <ns0:c r="C31" s="3" t="n">
        <ns0:v>13</ns0:v>
      </ns0:c>
      <ns0:c r="G31" s="3" t="n">
        <ns0:v>10</ns0:v>
      </ns0:c>
      <ns0:c r="H31" s="3" t="n">
        <ns0:v>0</ns0:v>
      </ns0:c>
      <ns0:c r="I31" s="3" t="n">
        <ns0:v>0</ns0:v>
      </ns0:c>
      <ns0:c r="J31" s="3" t="n">
        <ns0:v>55</ns0:v>
      </ns0:c>
      <ns0:c r="K31" s="3">
        <ns0:f>J31-O31</ns0:f>
        <ns0:v/>
      </ns0:c>
      <ns0:c r="L31" s="3" t="n">
        <ns0:v>0</ns0:v>
      </ns0:c>
      <ns0:c r="M31" s="3" t="n">
        <ns0:v>0</ns0:v>
      </ns0:c>
      <ns0:c r="N31" s="3" t="n">
        <ns0:v>6</ns0:v>
      </ns0:c>
      <ns0:c r="O31" s="3">
        <ns0:f>SUM(L31:N31)</ns0:f>
        <ns0:v/>
      </ns0:c>
      <ns0:c r="P31" s="3">
        <ns0:f>+O31/J31</ns0:f>
        <ns0:v/>
      </ns0:c>
      <ns0:c r="Q31" s="3" t="inlineStr">
        <ns0:is>
          <ns0:t>NG 4/6 separate VP/CD</ns0:t>
        </ns0:is>
      </ns0:c>
    </ns0:row>
    <ns0:row r="32">
      <ns0:c r="H32" s="3">
        <ns0:f>+H31/G31</ns0:f>
        <ns0:v/>
      </ns0:c>
      <ns0:c r="I32" s="3">
        <ns0:f>+I31/G31</ns0:f>
        <ns0:v/>
      </ns0:c>
      <ns0:c r="L32" s="3">
        <ns0:f>L31/J31</ns0:f>
        <ns0:v/>
      </ns0:c>
      <ns0:c r="M32" s="3">
        <ns0:f>M31/J31</ns0:f>
        <ns0:v/>
      </ns0:c>
      <ns0:c r="N32" s="3">
        <ns0:f>N31/J31</ns0:f>
        <ns0:v/>
      </ns0:c>
    </ns0:row>
    <ns0:row r="33">
      <ns0:c r="C33" s="3" t="n">
        <ns0:v>14</ns0:v>
      </ns0:c>
      <ns0:c r="G33" s="3" t="n">
        <ns0:v>10</ns0:v>
      </ns0:c>
      <ns0:c r="H33" s="3" t="n">
        <ns0:v>0</ns0:v>
      </ns0:c>
      <ns0:c r="I33" s="3" t="n">
        <ns0:v>0</ns0:v>
      </ns0:c>
      <ns0:c r="J33" s="3" t="n">
        <ns0:v>55</ns0:v>
      </ns0:c>
      <ns0:c r="K33" s="3">
        <ns0:f>J33-O33</ns0:f>
        <ns0:v/>
      </ns0:c>
      <ns0:c r="L33" s="3" t="n">
        <ns0:v>0</ns0:v>
      </ns0:c>
      <ns0:c r="M33" s="3" t="n">
        <ns0:v>0</ns0:v>
      </ns0:c>
      <ns0:c r="N33" s="3" t="n">
        <ns0:v>0</ns0:v>
      </ns0:c>
      <ns0:c r="O33" s="3">
        <ns0:f>SUM(L33:N33)</ns0:f>
        <ns0:v/>
      </ns0:c>
      <ns0:c r="P33" s="3">
        <ns0:f>+O33/J33</ns0:f>
        <ns0:v/>
      </ns0:c>
    </ns0:row>
    <ns0:row r="34">
      <ns0:c r="H34" s="3">
        <ns0:f>+H33/G33</ns0:f>
        <ns0:v/>
      </ns0:c>
      <ns0:c r="I34" s="3">
        <ns0:f>+I33/G33</ns0:f>
        <ns0:v/>
      </ns0:c>
      <ns0:c r="L34" s="3">
        <ns0:f>L33/J33</ns0:f>
        <ns0:v/>
      </ns0:c>
      <ns0:c r="M34" s="3">
        <ns0:f>M33/J33</ns0:f>
        <ns0:v/>
      </ns0:c>
      <ns0:c r="N34" s="3">
        <ns0:f>N33/J33</ns0:f>
        <ns0:v/>
      </ns0:c>
    </ns0:row>
    <ns0:row r="35">
      <ns0:c r="C35" s="3" t="n">
        <ns0:v>15</ns0:v>
      </ns0:c>
      <ns0:c r="G35" s="3" t="n">
        <ns0:v>10</ns0:v>
      </ns0:c>
      <ns0:c r="H35" s="3" t="n">
        <ns0:v>0</ns0:v>
      </ns0:c>
      <ns0:c r="I35" s="3" t="n">
        <ns0:v>0</ns0:v>
      </ns0:c>
      <ns0:c r="J35" s="3" t="n">
        <ns0:v>50</ns0:v>
      </ns0:c>
      <ns0:c r="K35" s="3">
        <ns0:f>J35-O35</ns0:f>
        <ns0:v/>
      </ns0:c>
      <ns0:c r="L35" s="3" t="n">
        <ns0:v>0</ns0:v>
      </ns0:c>
      <ns0:c r="M35" s="3" t="n">
        <ns0:v>0</ns0:v>
      </ns0:c>
      <ns0:c r="N35" s="3" t="n">
        <ns0:v>3</ns0:v>
      </ns0:c>
      <ns0:c r="O35" s="3">
        <ns0:f>SUM(L35:N35)</ns0:f>
        <ns0:v/>
      </ns0:c>
      <ns0:c r="P35" s="3">
        <ns0:f>+O35/J35</ns0:f>
        <ns0:v/>
      </ns0:c>
      <ns0:c r="Q35" s="3" t="inlineStr">
        <ns0:is>
          <ns0:t>NG 1/10 separate VP/CD</ns0:t>
        </ns0:is>
      </ns0:c>
    </ns0:row>
    <ns0:row r="36">
      <ns0:c r="H36" s="3">
        <ns0:f>+H35/G35</ns0:f>
        <ns0:v/>
      </ns0:c>
      <ns0:c r="I36" s="3">
        <ns0:f>+I35/G35</ns0:f>
        <ns0:v/>
      </ns0:c>
      <ns0:c r="L36" s="3">
        <ns0:f>L35/J35</ns0:f>
        <ns0:v/>
      </ns0:c>
      <ns0:c r="M36" s="3">
        <ns0:f>M35/J35</ns0:f>
        <ns0:v/>
      </ns0:c>
      <ns0:c r="N36" s="3">
        <ns0:f>N35/J35</ns0:f>
        <ns0:v/>
      </ns0:c>
    </ns0:row>
    <ns0:row r="37">
      <ns0:c r="C37" s="3" t="n">
        <ns0:v>16</ns0:v>
      </ns0:c>
      <ns0:c r="G37" s="3" t="n">
        <ns0:v>10</ns0:v>
      </ns0:c>
      <ns0:c r="H37" s="3" t="n">
        <ns0:v>0</ns0:v>
      </ns0:c>
      <ns0:c r="I37" s="3" t="n">
        <ns0:v>0</ns0:v>
      </ns0:c>
      <ns0:c r="J37" s="3" t="n">
        <ns0:v>50</ns0:v>
      </ns0:c>
      <ns0:c r="K37" s="3">
        <ns0:f>J37-O37</ns0:f>
        <ns0:v/>
      </ns0:c>
      <ns0:c r="L37" s="3" t="n">
        <ns0:v>0</ns0:v>
      </ns0:c>
      <ns0:c r="M37" s="3" t="n">
        <ns0:v>0</ns0:v>
      </ns0:c>
      <ns0:c r="N37" s="3" t="n">
        <ns0:v>10</ns0:v>
      </ns0:c>
      <ns0:c r="O37" s="3">
        <ns0:f>SUM(L37:N37)</ns0:f>
        <ns0:v/>
      </ns0:c>
      <ns0:c r="P37" s="3">
        <ns0:f>+O37/J37</ns0:f>
        <ns0:v/>
      </ns0:c>
      <ns0:c r="Q37" s="3" t="inlineStr">
        <ns0:is>
          <ns0:t>NG 8/10 separate VP/CD</ns0:t>
        </ns0:is>
      </ns0:c>
    </ns0:row>
    <ns0:row r="38">
      <ns0:c r="H38" s="3">
        <ns0:f>+H37/G37</ns0:f>
        <ns0:v/>
      </ns0:c>
      <ns0:c r="I38" s="3">
        <ns0:f>+I37/G37</ns0:f>
        <ns0:v/>
      </ns0:c>
      <ns0:c r="L38" s="3">
        <ns0:f>L37/J37</ns0:f>
        <ns0:v/>
      </ns0:c>
      <ns0:c r="M38" s="3">
        <ns0:f>M37/J37</ns0:f>
        <ns0:v/>
      </ns0:c>
      <ns0:c r="N38" s="3">
        <ns0:f>N37/J37</ns0:f>
        <ns0:v/>
      </ns0:c>
    </ns0:row>
    <ns0:row r="39">
      <ns0:c r="C39" s="3" t="n">
        <ns0:v>17</ns0:v>
      </ns0:c>
      <ns0:c r="G39" s="3" t="n">
        <ns0:v>10</ns0:v>
      </ns0:c>
      <ns0:c r="H39" s="3" t="n">
        <ns0:v>0</ns0:v>
      </ns0:c>
      <ns0:c r="I39" s="3" t="n">
        <ns0:v>0</ns0:v>
      </ns0:c>
      <ns0:c r="J39" s="3" t="n">
        <ns0:v>50</ns0:v>
      </ns0:c>
      <ns0:c r="K39" s="3">
        <ns0:f>J39-O39</ns0:f>
        <ns0:v/>
      </ns0:c>
      <ns0:c r="L39" s="3" t="n">
        <ns0:v>0</ns0:v>
      </ns0:c>
      <ns0:c r="M39" s="3" t="n">
        <ns0:v>0</ns0:v>
      </ns0:c>
      <ns0:c r="N39" s="3" t="n">
        <ns0:v>18</ns0:v>
      </ns0:c>
      <ns0:c r="O39" s="3">
        <ns0:f>SUM(L39:N39)</ns0:f>
        <ns0:v/>
      </ns0:c>
      <ns0:c r="P39" s="3">
        <ns0:f>+O39/J39</ns0:f>
        <ns0:v/>
      </ns0:c>
      <ns0:c r="Q39" s="3" t="inlineStr">
        <ns0:is>
          <ns0:t>NG 15/18 separate VP/CD</ns0:t>
        </ns0:is>
      </ns0:c>
    </ns0:row>
    <ns0:row r="40">
      <ns0:c r="H40" s="3">
        <ns0:f>+H39/G39</ns0:f>
        <ns0:v/>
      </ns0:c>
      <ns0:c r="I40" s="3">
        <ns0:f>+I39/G39</ns0:f>
        <ns0:v/>
      </ns0:c>
      <ns0:c r="L40" s="3">
        <ns0:f>L39/J39</ns0:f>
        <ns0:v/>
      </ns0:c>
      <ns0:c r="M40" s="3">
        <ns0:f>M39/J39</ns0:f>
        <ns0:v/>
      </ns0:c>
      <ns0:c r="N40" s="3">
        <ns0:f>N39/J39</ns0:f>
        <ns0:v/>
      </ns0:c>
    </ns0:row>
    <ns0:row r="41" ht="20.25" customHeight="1">
      <ns0:c r="C41" s="3" t="n">
        <ns0:v>18</ns0:v>
      </ns0:c>
      <ns0:c r="G41" s="3" t="n">
        <ns0:v>10</ns0:v>
      </ns0:c>
      <ns0:c r="H41" s="3" t="n">
        <ns0:v>0</ns0:v>
      </ns0:c>
      <ns0:c r="J41" s="3" t="n">
        <ns0:v>49</ns0:v>
      </ns0:c>
      <ns0:c r="K41" s="3">
        <ns0:f>J41-O41</ns0:f>
        <ns0:v/>
      </ns0:c>
      <ns0:c r="L41" s="3" t="n">
        <ns0:v>0</ns0:v>
      </ns0:c>
      <ns0:c r="M41" s="3" t="n">
        <ns0:v>0</ns0:v>
      </ns0:c>
      <ns0:c r="N41" s="3" t="n">
        <ns0:v>1</ns0:v>
      </ns0:c>
      <ns0:c r="O41" s="3">
        <ns0:f>SUM(L41:N41)</ns0:f>
        <ns0:v/>
      </ns0:c>
      <ns0:c r="P41" s="3">
        <ns0:f>+O41/J41</ns0:f>
        <ns0:v/>
      </ns0:c>
    </ns0:row>
    <ns0:row r="42" ht="20.25" customHeight="1">
      <ns0:c r="H42" s="3">
        <ns0:f>+H41/G41</ns0:f>
        <ns0:v/>
      </ns0:c>
      <ns0:c r="I42" s="3">
        <ns0:f>+I41/G41</ns0:f>
        <ns0:v/>
      </ns0:c>
      <ns0:c r="L42" s="3">
        <ns0:f>L41/J41</ns0:f>
        <ns0:v/>
      </ns0:c>
      <ns0:c r="M42" s="3">
        <ns0:f>M41/J41</ns0:f>
        <ns0:v/>
      </ns0:c>
      <ns0:c r="N42" s="3">
        <ns0:f>N41/J41</ns0:f>
        <ns0:v/>
      </ns0:c>
    </ns0:row>
    <ns0:row r="43" ht="20.25" customHeight="1">
      <ns0:c r="C43" s="3" t="n">
        <ns0:v>19</ns0:v>
      </ns0:c>
      <ns0:c r="G43" s="3" t="n">
        <ns0:v>10</ns0:v>
      </ns0:c>
      <ns0:c r="H43" s="3" t="n">
        <ns0:v>0</ns0:v>
      </ns0:c>
      <ns0:c r="J43" s="3" t="n">
        <ns0:v>42</ns0:v>
      </ns0:c>
      <ns0:c r="K43" s="3">
        <ns0:f>J43-O43</ns0:f>
        <ns0:v/>
      </ns0:c>
      <ns0:c r="L43" s="3" t="n">
        <ns0:v>5</ns0:v>
      </ns0:c>
      <ns0:c r="M43" s="3" t="n">
        <ns0:v>0</ns0:v>
      </ns0:c>
      <ns0:c r="N43" s="3" t="n">
        <ns0:v>5</ns0:v>
      </ns0:c>
      <ns0:c r="O43" s="3">
        <ns0:f>SUM(L43:N43)</ns0:f>
        <ns0:v/>
      </ns0:c>
      <ns0:c r="P43" s="3">
        <ns0:f>+O43/J43</ns0:f>
        <ns0:v/>
      </ns0:c>
    </ns0:row>
    <ns0:row r="44" ht="20.25" customHeight="1">
      <ns0:c r="H44" s="3">
        <ns0:f>+H43/G43</ns0:f>
        <ns0:v/>
      </ns0:c>
      <ns0:c r="I44" s="3">
        <ns0:f>+I43/G43</ns0:f>
        <ns0:v/>
      </ns0:c>
      <ns0:c r="L44" s="3">
        <ns0:f>L43/J43</ns0:f>
        <ns0:v/>
      </ns0:c>
      <ns0:c r="M44" s="3">
        <ns0:f>M43/J43</ns0:f>
        <ns0:v/>
      </ns0:c>
      <ns0:c r="N44" s="3">
        <ns0:f>N43/J43</ns0:f>
        <ns0:v/>
      </ns0:c>
    </ns0:row>
    <ns0:row r="45" ht="20.25" customHeight="1">
      <ns0:c r="C45" s="3" t="n">
        <ns0:v>20</ns0:v>
      </ns0:c>
      <ns0:c r="G45" s="3" t="n">
        <ns0:v>10</ns0:v>
      </ns0:c>
      <ns0:c r="H45" s="3" t="n">
        <ns0:v>0</ns0:v>
      </ns0:c>
      <ns0:c r="J45" s="3" t="n">
        <ns0:v>50</ns0:v>
      </ns0:c>
      <ns0:c r="K45" s="3">
        <ns0:f>J45-O45</ns0:f>
        <ns0:v/>
      </ns0:c>
      <ns0:c r="L45" s="3" t="n">
        <ns0:v>0</ns0:v>
      </ns0:c>
      <ns0:c r="M45" s="3" t="n">
        <ns0:v>0</ns0:v>
      </ns0:c>
      <ns0:c r="N45" s="3" t="n">
        <ns0:v>4</ns0:v>
      </ns0:c>
      <ns0:c r="O45" s="3">
        <ns0:f>SUM(L45:N45)</ns0:f>
        <ns0:v/>
      </ns0:c>
      <ns0:c r="P45" s="3">
        <ns0:f>+O45/J45</ns0:f>
        <ns0:v/>
      </ns0:c>
    </ns0:row>
    <ns0:row r="46" ht="20.25" customHeight="1">
      <ns0:c r="H46" s="3">
        <ns0:f>+H45/G45</ns0:f>
        <ns0:v/>
      </ns0:c>
      <ns0:c r="I46" s="3">
        <ns0:f>+I45/G45</ns0:f>
        <ns0:v/>
      </ns0:c>
      <ns0:c r="L46" s="3">
        <ns0:f>L45/J45</ns0:f>
        <ns0:v/>
      </ns0:c>
      <ns0:c r="M46" s="3">
        <ns0:f>M45/J45</ns0:f>
        <ns0:v/>
      </ns0:c>
      <ns0:c r="N46" s="3">
        <ns0:f>N45/J45</ns0:f>
        <ns0:v/>
      </ns0:c>
    </ns0:row>
    <ns0:row r="47" ht="20.25" customHeight="1">
      <ns0:c r="C47" s="3" t="n">
        <ns0:v>21</ns0:v>
      </ns0:c>
      <ns0:c r="G47" s="3" t="n">
        <ns0:v>10</ns0:v>
      </ns0:c>
      <ns0:c r="H47" s="3" t="n">
        <ns0:v>0</ns0:v>
      </ns0:c>
      <ns0:c r="J47" s="3" t="n">
        <ns0:v>46</ns0:v>
      </ns0:c>
      <ns0:c r="K47" s="3">
        <ns0:f>J47-O47</ns0:f>
        <ns0:v/>
      </ns0:c>
      <ns0:c r="L47" s="3" t="n">
        <ns0:v>0</ns0:v>
      </ns0:c>
      <ns0:c r="M47" s="3" t="n">
        <ns0:v>0</ns0:v>
      </ns0:c>
      <ns0:c r="N47" s="3" t="n">
        <ns0:v>2</ns0:v>
      </ns0:c>
      <ns0:c r="O47" s="3">
        <ns0:f>SUM(L47:N47)</ns0:f>
        <ns0:v/>
      </ns0:c>
      <ns0:c r="P47" s="3">
        <ns0:f>+O47/J47</ns0:f>
        <ns0:v/>
      </ns0:c>
    </ns0:row>
    <ns0:row r="48" ht="20.25" customHeight="1">
      <ns0:c r="H48" s="3">
        <ns0:f>+H47/G47</ns0:f>
        <ns0:v/>
      </ns0:c>
      <ns0:c r="I48" s="3">
        <ns0:f>+I47/G47</ns0:f>
        <ns0:v/>
      </ns0:c>
      <ns0:c r="L48" s="3">
        <ns0:f>L47/J47</ns0:f>
        <ns0:v/>
      </ns0:c>
      <ns0:c r="M48" s="3">
        <ns0:f>M47/J47</ns0:f>
        <ns0:v/>
      </ns0:c>
      <ns0:c r="N48" s="3">
        <ns0:f>N47/J47</ns0:f>
        <ns0:v/>
      </ns0:c>
    </ns0:row>
    <ns0:row r="49" ht="20.25" customHeight="1"/>
    <ns0:row r="50" ht="20.25" customHeight="1"/>
    <ns0:row r="51" ht="20.25" customHeight="1"/>
    <ns0:row r="52" ht="20.25" customHeight="1"/>
    <ns0:row r="53" ht="20.25" customHeight="1">
      <ns0:c r="C53" s="3" t="n">
        <ns0:v>22</ns0:v>
      </ns0:c>
      <ns0:c r="G53" s="3" t="n">
        <ns0:v>10</ns0:v>
      </ns0:c>
      <ns0:c r="H53" s="3" t="n">
        <ns0:v>0</ns0:v>
      </ns0:c>
      <ns0:c r="J53" s="3" t="n">
        <ns0:v>46</ns0:v>
      </ns0:c>
      <ns0:c r="K53" s="3">
        <ns0:f>J53-O53</ns0:f>
        <ns0:v/>
      </ns0:c>
      <ns0:c r="L53" s="3" t="n">
        <ns0:v>0</ns0:v>
      </ns0:c>
      <ns0:c r="M53" s="3" t="n">
        <ns0:v>0</ns0:v>
      </ns0:c>
      <ns0:c r="N53" s="3" t="n">
        <ns0:v>4</ns0:v>
      </ns0:c>
      <ns0:c r="O53" s="3">
        <ns0:f>SUM(L53:N53)</ns0:f>
        <ns0:v/>
      </ns0:c>
      <ns0:c r="P53" s="4">
        <ns0:f>+O53/J53</ns0:f>
        <ns0:v/>
      </ns0:c>
    </ns0:row>
    <ns0:row r="54" ht="20.25" customHeight="1">
      <ns0:c r="H54" s="3">
        <ns0:f>+H53/G53</ns0:f>
        <ns0:v/>
      </ns0:c>
      <ns0:c r="I54" s="3">
        <ns0:f>+I53/G53</ns0:f>
        <ns0:v/>
      </ns0:c>
      <ns0:c r="L54" s="3">
        <ns0:f>L53/J53</ns0:f>
        <ns0:v/>
      </ns0:c>
      <ns0:c r="M54" s="3">
        <ns0:f>M53/J53</ns0:f>
        <ns0:v/>
      </ns0:c>
      <ns0:c r="N54" s="3">
        <ns0:f>N53/J53</ns0:f>
        <ns0:v/>
      </ns0:c>
    </ns0:row>
  </ns0:sheetData>
  <ns0:mergeCells count="2">
    <ns0:mergeCell ref="P53:P54"/>
    <ns0:mergeCell ref="Q27:Q2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2026-05-12T08:14:14Z</dcterms:created>
  <dcterms:modified xsi:type="dcterms:W3CDTF">2026-05-12T08:14:31Z</dcterms:modified>
</cp:coreProperties>
</file>