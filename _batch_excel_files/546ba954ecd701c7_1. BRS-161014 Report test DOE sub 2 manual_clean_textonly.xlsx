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7" sheetId="1" state="visible" r:id="rId1"/>
    <sheet name="28.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7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0000FF"/>
      <sz val="20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2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18" pivotButton="0" quotePrefix="0" xfId="0"/>
    <xf numFmtId="166" fontId="5" fillId="3" borderId="14" applyAlignment="1" pivotButton="0" quotePrefix="0" xfId="0">
      <alignment horizontal="center" vertical="center"/>
    </xf>
    <xf numFmtId="1" fontId="5" fillId="3" borderId="14" applyAlignment="1" pivotButton="0" quotePrefix="0" xfId="0">
      <alignment horizontal="center" vertical="center"/>
    </xf>
    <xf numFmtId="1" fontId="5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25" pivotButton="0" quotePrefix="0" xfId="0"/>
    <xf numFmtId="0" fontId="0" fillId="0" borderId="26" pivotButton="0" quotePrefix="0" xfId="0"/>
    <xf numFmtId="0" fontId="5" fillId="0" borderId="1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7" pivotButton="0" quotePrefix="0" xfId="0"/>
    <xf numFmtId="166" fontId="5" fillId="0" borderId="14" applyAlignment="1" pivotButton="0" quotePrefix="0" xfId="0">
      <alignment horizontal="center" vertical="center"/>
    </xf>
    <xf numFmtId="1" fontId="5" fillId="0" borderId="14" applyAlignment="1" pivotButton="0" quotePrefix="0" xfId="0">
      <alignment horizontal="center" vertical="center"/>
    </xf>
    <xf numFmtId="1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67" fontId="5" fillId="0" borderId="14" applyAlignment="1" pivotButton="0" quotePrefix="0" xfId="0">
      <alignment horizontal="center" vertical="center"/>
    </xf>
    <xf numFmtId="1" fontId="5" fillId="4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167" fontId="5" fillId="4" borderId="14" applyAlignment="1" pivotButton="0" quotePrefix="0" xfId="0">
      <alignment horizontal="center" vertical="center"/>
    </xf>
    <xf numFmtId="166" fontId="6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vertical="center"/>
    </xf>
    <xf numFmtId="0" fontId="5" fillId="0" borderId="31" applyAlignment="1" pivotButton="0" quotePrefix="0" xfId="0">
      <alignment vertical="center"/>
    </xf>
    <xf numFmtId="0" fontId="5" fillId="0" borderId="32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34" applyAlignment="1" pivotButton="0" quotePrefix="0" xfId="0">
      <alignment vertical="center"/>
    </xf>
    <xf numFmtId="0" fontId="5" fillId="0" borderId="35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1" fillId="0" borderId="14" applyAlignment="1" pivotButton="0" quotePrefix="0" xfId="0">
      <alignment horizontal="center"/>
    </xf>
    <xf numFmtId="0" fontId="1" fillId="0" borderId="14" applyAlignment="1" pivotButton="0" quotePrefix="0" xfId="0">
      <alignment horizontal="center" wrapText="1"/>
    </xf>
    <xf numFmtId="166" fontId="5" fillId="0" borderId="0" applyAlignment="1" pivotButton="0" quotePrefix="0" xfId="0">
      <alignment horizontal="center" vertical="center"/>
    </xf>
    <xf numFmtId="0" fontId="2" fillId="0" borderId="37" applyAlignment="1" pivotButton="0" quotePrefix="0" xfId="0">
      <alignment horizontal="left" vertical="center"/>
    </xf>
    <xf numFmtId="0" fontId="2" fillId="0" borderId="38" applyAlignment="1" pivotButton="0" quotePrefix="0" xfId="0">
      <alignment vertical="center"/>
    </xf>
    <xf numFmtId="0" fontId="2" fillId="0" borderId="39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4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Q52"/>
  <ns0:sheetViews>
    <ns0:sheetView workbookViewId="0">
      <ns0:selection activeCell="A1" sqref="A1"/>
    </ns0:sheetView>
  </ns0:sheetViews>
  <ns0:sheetFormatPr baseColWidth="8" defaultRowHeight="15"/>
  <ns0:cols>
    <ns0:col width="7.5" customWidth="1" min="2" max="2"/>
    <ns0:col width="14.25" customWidth="1" min="3" max="3"/>
    <ns0:col width="16.38" customWidth="1" min="4" max="4"/>
    <ns0:col width="18.38" customWidth="1" min="5" max="5"/>
    <ns0:col width="15.13" customWidth="1" min="6" max="6"/>
    <ns0:col width="15.13" customWidth="1" min="7" max="7"/>
    <ns0:col width="15.13" customWidth="1" min="8" max="8"/>
    <ns0:col width="15.13" customWidth="1" min="9" max="9"/>
    <ns0:col width="15.13" customWidth="1" min="10" max="10"/>
    <ns0:col width="14.13" customWidth="1" min="11" max="11"/>
    <ns0:col width="14.13" customWidth="1" min="12" max="12"/>
    <ns0:col width="14.13" customWidth="1" min="13" max="13"/>
    <ns0:col width="14.13" customWidth="1" min="14" max="14"/>
    <ns0:col width="14.13" customWidth="1" min="15" max="15"/>
    <ns0:col width="13.5" customWidth="1" min="16" max="16"/>
    <ns0:col width="13.75" customWidth="1" min="17" max="17"/>
  </ns0:cols>
  <ns0:sheetData>
    <ns0:row r="1" ht="19.5" customHeight="1"/>
    <ns0:row r="2" ht="27" customHeight="1">
      <ns0:c r="B2" t="inlineStr">
        <ns0:is>
          <ns0:t>TITLE</ns0:t>
        </ns0:is>
      </ns0:c>
      <ns0:c r="D2" t="inlineStr">
        <ns0:is>
          <ns0:t>REPORT TEST DOE BONDING AMOUNT CM+B-PT SUB 2 MANUAL
BRS-161014</ns0:t>
        </ns0:is>
      </ns0:c>
      <ns0:c r="P2" t="inlineStr">
        <ns0:is>
          <ns0:t>Dept</ns0:t>
        </ns0:is>
      </ns0:c>
      <ns0:c r="Q2" t="inlineStr">
        <ns0:is>
          <ns0:t>ME</ns0:t>
        </ns0:is>
      </ns0:c>
    </ns0:row>
    <ns0:row r="3" ht="27" customHeight="1">
      <ns0:c r="P3" t="inlineStr">
        <ns0:is>
          <ns0:t>Date</ns0:t>
        </ns0:is>
      </ns0:c>
      <ns0:c r="Q3" s="1" t="n">
        <ns0:v>45138</ns0:v>
      </ns0:c>
    </ns0:row>
    <ns0:row r="4" ht="27" customHeight="1">
      <ns0:c r="P4" t="inlineStr">
        <ns0:is>
          <ns0:t>Maker</ns0:t>
        </ns0:is>
      </ns0:c>
      <ns0:c r="Q4" t="inlineStr">
        <ns0:is>
          <ns0:t>THUY</ns0:t>
        </ns0:is>
      </ns0:c>
    </ns0:row>
    <ns0:row r="5" ht="27" customHeight="1">
      <ns0:c r="B5" t="inlineStr">
        <ns0:is>
          <ns0:t>1. Purpose test</ns0:t>
        </ns0:is>
      </ns0:c>
    </ns0:row>
    <ns0:row r="6" ht="27" customHeight="1">
      <ns0:c r="B6" t="inlineStr">
        <ns0:is>
          <ns0:t xml:space="preserve"> - To find the best bonding amount to working at CM+B-PT process </ns0:t>
        </ns0:is>
      </ns0:c>
    </ns0:row>
    <ns0:row r="7" ht="27" customHeight="1">
      <ns0:c r="B7" t="inlineStr">
        <ns0:is>
          <ns0:t>2. Content of testing</ns0:t>
        </ns0:is>
      </ns0:c>
    </ns0:row>
    <ns0:row r="8" ht="27.75" customHeight="1">
      <ns0:c r="B8" t="inlineStr">
        <ns0:is>
          <ns0:t xml:space="preserve"> - To test DOE bonding amount CM+B-PT to check:</ns0:t>
        </ns0:is>
      </ns0:c>
    </ns0:row>
    <ns0:row r="9" ht="27.75" customHeight="1">
      <ns0:c r="B9" t="inlineStr">
        <ns0:is>
          <ns0:t xml:space="preserve"> ++ Check visual </ns0:t>
        </ns0:is>
      </ns0:c>
    </ns0:row>
    <ns0:row r="10" ht="27.75" customHeight="1">
      <ns0:c r="B10" t="inlineStr">
        <ns0:is>
          <ns0:t xml:space="preserve"> ++ Tension test</ns0:t>
        </ns0:is>
      </ns0:c>
    </ns0:row>
    <ns0:row r="11" ht="26.25" customHeight="1">
      <ns0:c r="B11" t="inlineStr">
        <ns0:is>
          <ns0:t>3.Result test</ns0:t>
        </ns0:is>
      </ns0:c>
    </ns0:row>
    <ns0:row r="12" ht="27" customHeight="1">
      <ns0:c r="C12" t="inlineStr">
        <ns0:is>
          <ns0:t xml:space="preserve">RESULT CHECKING VISUAL </ns0:t>
        </ns0:is>
      </ns0:c>
    </ns0:row>
    <ns0:row r="13" ht="51" customHeight="1">
      <ns0:c r="C13" t="inlineStr">
        <ns0:is>
          <ns0:t>Date</ns0:t>
        </ns0:is>
      </ns0:c>
      <ns0:c r="D13" t="inlineStr">
        <ns0:is>
          <ns0:t>Process</ns0:t>
        </ns0:is>
      </ns0:c>
      <ns0:c r="E13" t="inlineStr">
        <ns0:is>
          <ns0:t>Bonding amount</ns0:t>
        </ns0:is>
      </ns0:c>
      <ns0:c r="F13" t="inlineStr">
        <ns0:is>
          <ns0:t>Q'ty check</ns0:t>
        </ns0:is>
      </ns0:c>
      <ns0:c r="G13" t="inlineStr">
        <ns0:is>
          <ns0:t>OK</ns0:t>
        </ns0:is>
      </ns0:c>
      <ns0:c r="H13" t="inlineStr">
        <ns0:is>
          <ns0:t>NG over glue</ns0:t>
        </ns0:is>
      </ns0:c>
      <ns0:c r="I13" t="inlineStr">
        <ns0:is>
          <ns0:t>NG rate</ns0:t>
        </ns0:is>
      </ns0:c>
      <ns0:c r="J13" t="inlineStr">
        <ns0:is>
          <ns0:t>Picture</ns0:t>
        </ns0:is>
      </ns0:c>
    </ns0:row>
    <ns0:row r="14" ht="30" customHeight="1">
      <ns0:c r="C14" s="1" t="n">
        <ns0:v>45138</ns0:v>
      </ns0:c>
      <ns0:c r="D14" t="inlineStr">
        <ns0:is>
          <ns0:t>CM+B-PT</ns0:t>
        </ns0:is>
      </ns0:c>
      <ns0:c r="E14" t="inlineStr">
        <ns0:is>
          <ns0:t>(0.4 ~0.5)mg</ns0:t>
        </ns0:is>
      </ns0:c>
      <ns0:c r="F14" t="n">
        <ns0:v>8</ns0:v>
      </ns0:c>
      <ns0:c r="G14" t="n">
        <ns0:v>8</ns0:v>
      </ns0:c>
      <ns0:c r="H14" t="n">
        <ns0:v>0</ns0:v>
      </ns0:c>
      <ns0:c r="I14">
        <ns0:f>H14/F14</ns0:f>
        <ns0:v/>
      </ns0:c>
    </ns0:row>
    <ns0:row r="15" ht="30" customHeight="1"/>
    <ns0:row r="16" ht="30" customHeight="1"/>
    <ns0:row r="17" ht="30" customHeight="1"/>
    <ns0:row r="18" ht="30" customHeight="1"/>
    <ns0:row r="19" ht="30" customHeight="1">
      <ns0:c r="E19" t="inlineStr">
        <ns0:is>
          <ns0:t>(0.5 ~0.6)mg</ns0:t>
        </ns0:is>
      </ns0:c>
      <ns0:c r="F19" t="n">
        <ns0:v>8</ns0:v>
      </ns0:c>
      <ns0:c r="G19" t="n">
        <ns0:v>0</ns0:v>
      </ns0:c>
      <ns0:c r="H19" t="n">
        <ns0:v>8</ns0:v>
      </ns0:c>
      <ns0:c r="I19">
        <ns0:f>H19/F19</ns0:f>
        <ns0:v/>
      </ns0:c>
    </ns0:row>
    <ns0:row r="20" ht="30" customHeight="1"/>
    <ns0:row r="21" ht="30" customHeight="1"/>
    <ns0:row r="22" ht="30" customHeight="1"/>
    <ns0:row r="23" ht="30" customHeight="1"/>
    <ns0:row r="24" ht="30" customHeight="1">
      <ns0:c r="E24" t="inlineStr">
        <ns0:is>
          <ns0:t>(0.6 ~0.7)mg</ns0:t>
        </ns0:is>
      </ns0:c>
      <ns0:c r="F24" t="n">
        <ns0:v>8</ns0:v>
      </ns0:c>
      <ns0:c r="G24" t="n">
        <ns0:v>0</ns0:v>
      </ns0:c>
      <ns0:c r="H24" t="n">
        <ns0:v>8</ns0:v>
      </ns0:c>
      <ns0:c r="I24">
        <ns0:f>H24/F24</ns0:f>
        <ns0:v/>
      </ns0:c>
    </ns0:row>
    <ns0:row r="25" ht="30" customHeight="1"/>
    <ns0:row r="26" ht="30" customHeight="1"/>
    <ns0:row r="27" ht="30" customHeight="1"/>
    <ns0:row r="28" ht="30" customHeight="1"/>
    <ns0:row r="29" ht="30" customHeight="1">
      <ns0:c r="E29" t="inlineStr">
        <ns0:is>
          <ns0:t>(0.7 ~0.8)mg</ns0:t>
        </ns0:is>
      </ns0:c>
      <ns0:c r="F29" t="n">
        <ns0:v>8</ns0:v>
      </ns0:c>
      <ns0:c r="G29" t="n">
        <ns0:v>0</ns0:v>
      </ns0:c>
      <ns0:c r="H29" t="n">
        <ns0:v>8</ns0:v>
      </ns0:c>
      <ns0:c r="I29">
        <ns0:f>H29/F29</ns0:f>
        <ns0:v/>
      </ns0:c>
    </ns0:row>
    <ns0:row r="30" ht="30" customHeight="1"/>
    <ns0:row r="31" ht="30" customHeight="1"/>
    <ns0:row r="32" ht="30" customHeight="1"/>
    <ns0:row r="33" ht="30" customHeight="1"/>
    <ns0:row r="34" ht="27" customHeight="1"/>
    <ns0:row r="35" ht="27" customHeight="1">
      <ns0:c r="C35" t="inlineStr">
        <ns0:is>
          <ns0:t>RESULT TENSION TEST: SPEC ≥ 80 kgf</ns0:t>
        </ns0:is>
      </ns0:c>
    </ns0:row>
    <ns0:row r="36" ht="27" customHeight="1">
      <ns0:c r="C36" t="inlineStr">
        <ns0:is>
          <ns0:t>Date</ns0:t>
        </ns0:is>
      </ns0:c>
      <ns0:c r="D36" t="inlineStr">
        <ns0:is>
          <ns0:t>Type ( 0.4 ~0.5)mg</ns0:t>
        </ns0:is>
      </ns0:c>
      <ns0:c r="G36" t="inlineStr">
        <ns0:is>
          <ns0:t>Type ( 0.5 ~0.6)mg</ns0:t>
        </ns0:is>
      </ns0:c>
      <ns0:c r="J36" t="inlineStr">
        <ns0:is>
          <ns0:t>Type ( 0.6 ~0.7)mg</ns0:t>
        </ns0:is>
      </ns0:c>
      <ns0:c r="M36" t="inlineStr">
        <ns0:is>
          <ns0:t>Type ( 0.7 ~0.8)mg</ns0:t>
        </ns0:is>
      </ns0:c>
    </ns0:row>
    <ns0:row r="37" ht="39" customHeight="1">
      <ns0:c r="D37" t="inlineStr">
        <ns0:is>
          <ns0:t>Sample</ns0:t>
        </ns0:is>
      </ns0:c>
      <ns0:c r="E37" t="inlineStr">
        <ns0:is>
          <ns0:t>Bonding amount</ns0:t>
        </ns0:is>
      </ns0:c>
      <ns0:c r="F37" t="inlineStr">
        <ns0:is>
          <ns0:t>Tension</ns0:t>
        </ns0:is>
      </ns0:c>
      <ns0:c r="G37" t="inlineStr">
        <ns0:is>
          <ns0:t>Sample</ns0:t>
        </ns0:is>
      </ns0:c>
      <ns0:c r="H37" t="inlineStr">
        <ns0:is>
          <ns0:t>Bonding amount</ns0:t>
        </ns0:is>
      </ns0:c>
      <ns0:c r="I37" t="inlineStr">
        <ns0:is>
          <ns0:t>Tension</ns0:t>
        </ns0:is>
      </ns0:c>
      <ns0:c r="J37" t="inlineStr">
        <ns0:is>
          <ns0:t>Sample</ns0:t>
        </ns0:is>
      </ns0:c>
      <ns0:c r="K37" t="inlineStr">
        <ns0:is>
          <ns0:t>Bonding amount</ns0:t>
        </ns0:is>
      </ns0:c>
      <ns0:c r="L37" t="inlineStr">
        <ns0:is>
          <ns0:t>Tension</ns0:t>
        </ns0:is>
      </ns0:c>
      <ns0:c r="M37" t="inlineStr">
        <ns0:is>
          <ns0:t>Sample</ns0:t>
        </ns0:is>
      </ns0:c>
      <ns0:c r="N37" t="inlineStr">
        <ns0:is>
          <ns0:t>Bonding amount</ns0:t>
        </ns0:is>
      </ns0:c>
      <ns0:c r="O37" t="inlineStr">
        <ns0:is>
          <ns0:t>Tension</ns0:t>
        </ns0:is>
      </ns0:c>
    </ns0:row>
    <ns0:row r="38" ht="27" customHeight="1">
      <ns0:c r="C38" s="1" t="n">
        <ns0:v>45139</ns0:v>
      </ns0:c>
      <ns0:c r="D38" t="n">
        <ns0:v>1</ns0:v>
      </ns0:c>
      <ns0:c r="E38" t="n">
        <ns0:v>0.468</ns0:v>
      </ns0:c>
      <ns0:c r="F38" t="n">
        <ns0:v>86.2</ns0:v>
      </ns0:c>
      <ns0:c r="G38" t="n">
        <ns0:v>1</ns0:v>
      </ns0:c>
      <ns0:c r="H38" t="n">
        <ns0:v>0.588</ns0:v>
      </ns0:c>
      <ns0:c r="I38" t="n">
        <ns0:v>93.5</ns0:v>
      </ns0:c>
      <ns0:c r="J38" t="n">
        <ns0:v>1</ns0:v>
      </ns0:c>
      <ns0:c r="K38" t="n">
        <ns0:v>0.66</ns0:v>
      </ns0:c>
      <ns0:c r="L38" t="n">
        <ns0:v>90.90000000000001</ns0:v>
      </ns0:c>
      <ns0:c r="M38" t="n">
        <ns0:v>1</ns0:v>
      </ns0:c>
      <ns0:c r="N38" t="n">
        <ns0:v>0.788</ns0:v>
      </ns0:c>
      <ns0:c r="O38" t="n">
        <ns0:v>93.7</ns0:v>
      </ns0:c>
    </ns0:row>
    <ns0:row r="39" ht="27" customHeight="1">
      <ns0:c r="D39" t="n">
        <ns0:v>2</ns0:v>
      </ns0:c>
      <ns0:c r="E39" t="n">
        <ns0:v>0.442</ns0:v>
      </ns0:c>
      <ns0:c r="F39" t="n">
        <ns0:v>91.3</ns0:v>
      </ns0:c>
      <ns0:c r="G39" t="n">
        <ns0:v>2</ns0:v>
      </ns0:c>
      <ns0:c r="H39" t="n">
        <ns0:v>0.512</ns0:v>
      </ns0:c>
      <ns0:c r="I39" t="n">
        <ns0:v>101.5</ns0:v>
      </ns0:c>
      <ns0:c r="J39" t="n">
        <ns0:v>2</ns0:v>
      </ns0:c>
      <ns0:c r="K39" t="n">
        <ns0:v>0.64</ns0:v>
      </ns0:c>
      <ns0:c r="L39" t="n">
        <ns0:v>76.3</ns0:v>
      </ns0:c>
      <ns0:c r="M39" t="n">
        <ns0:v>2</ns0:v>
      </ns0:c>
      <ns0:c r="N39" t="n">
        <ns0:v>0.752</ns0:v>
      </ns0:c>
      <ns0:c r="O39" t="n">
        <ns0:v>89.90000000000001</ns0:v>
      </ns0:c>
    </ns0:row>
    <ns0:row r="40" ht="27" customHeight="1">
      <ns0:c r="D40" t="n">
        <ns0:v>3</ns0:v>
      </ns0:c>
      <ns0:c r="E40" t="n">
        <ns0:v>0.452</ns0:v>
      </ns0:c>
      <ns0:c r="F40" t="n">
        <ns0:v>96.2</ns0:v>
      </ns0:c>
      <ns0:c r="G40" t="n">
        <ns0:v>3</ns0:v>
      </ns0:c>
      <ns0:c r="H40" t="n">
        <ns0:v>0.552</ns0:v>
      </ns0:c>
      <ns0:c r="I40" t="n">
        <ns0:v>100.2</ns0:v>
      </ns0:c>
      <ns0:c r="J40" t="n">
        <ns0:v>3</ns0:v>
      </ns0:c>
      <ns0:c r="K40" t="n">
        <ns0:v>0.656</ns0:v>
      </ns0:c>
      <ns0:c r="L40" t="n">
        <ns0:v>93.5</ns0:v>
      </ns0:c>
      <ns0:c r="M40" t="n">
        <ns0:v>3</ns0:v>
      </ns0:c>
      <ns0:c r="N40" t="n">
        <ns0:v>0.732</ns0:v>
      </ns0:c>
      <ns0:c r="O40" t="n">
        <ns0:v>102.9</ns0:v>
      </ns0:c>
    </ns0:row>
    <ns0:row r="41" ht="27" customHeight="1">
      <ns0:c r="D41" t="n">
        <ns0:v>4</ns0:v>
      </ns0:c>
      <ns0:c r="E41" t="n">
        <ns0:v>0.41</ns0:v>
      </ns0:c>
      <ns0:c r="F41" t="n">
        <ns0:v>95.40000000000001</ns0:v>
      </ns0:c>
      <ns0:c r="G41" t="n">
        <ns0:v>4</ns0:v>
      </ns0:c>
      <ns0:c r="H41" t="n">
        <ns0:v>0.512</ns0:v>
      </ns0:c>
      <ns0:c r="I41" t="n">
        <ns0:v>108.5</ns0:v>
      </ns0:c>
      <ns0:c r="J41" t="n">
        <ns0:v>4</ns0:v>
      </ns0:c>
      <ns0:c r="K41" t="n">
        <ns0:v>0.6899999999999999</ns0:v>
      </ns0:c>
      <ns0:c r="L41" t="n">
        <ns0:v>83.09999999999999</ns0:v>
      </ns0:c>
      <ns0:c r="M41" t="n">
        <ns0:v>4</ns0:v>
      </ns0:c>
      <ns0:c r="N41" t="n">
        <ns0:v>0.738</ns0:v>
      </ns0:c>
      <ns0:c r="O41" t="n">
        <ns0:v>86.5</ns0:v>
      </ns0:c>
    </ns0:row>
    <ns0:row r="42" ht="27" customHeight="1">
      <ns0:c r="D42" t="n">
        <ns0:v>5</ns0:v>
      </ns0:c>
      <ns0:c r="E42" t="n">
        <ns0:v>0.434</ns0:v>
      </ns0:c>
      <ns0:c r="F42" t="n">
        <ns0:v>93.90000000000001</ns0:v>
      </ns0:c>
      <ns0:c r="G42" t="n">
        <ns0:v>5</ns0:v>
      </ns0:c>
      <ns0:c r="H42" t="n">
        <ns0:v>0.592</ns0:v>
      </ns0:c>
      <ns0:c r="I42" t="n">
        <ns0:v>107.1</ns0:v>
      </ns0:c>
      <ns0:c r="J42" t="n">
        <ns0:v>5</ns0:v>
      </ns0:c>
      <ns0:c r="K42" t="n">
        <ns0:v>0.654</ns0:v>
      </ns0:c>
      <ns0:c r="L42" t="n">
        <ns0:v>86.2</ns0:v>
      </ns0:c>
      <ns0:c r="M42" t="n">
        <ns0:v>5</ns0:v>
      </ns0:c>
      <ns0:c r="N42" t="n">
        <ns0:v>0.778</ns0:v>
      </ns0:c>
      <ns0:c r="O42" t="n">
        <ns0:v>80.40000000000001</ns0:v>
      </ns0:c>
    </ns0:row>
    <ns0:row r="43" ht="27" customHeight="1">
      <ns0:c r="D43" t="n">
        <ns0:v>6</ns0:v>
      </ns0:c>
      <ns0:c r="E43" t="n">
        <ns0:v>0.484</ns0:v>
      </ns0:c>
      <ns0:c r="F43" t="n">
        <ns0:v>100.7</ns0:v>
      </ns0:c>
      <ns0:c r="G43" t="n">
        <ns0:v>6</ns0:v>
      </ns0:c>
      <ns0:c r="H43" t="n">
        <ns0:v>0.524</ns0:v>
      </ns0:c>
      <ns0:c r="I43" t="n">
        <ns0:v>95</ns0:v>
      </ns0:c>
      <ns0:c r="J43" t="n">
        <ns0:v>6</ns0:v>
      </ns0:c>
      <ns0:c r="K43" t="n">
        <ns0:v>0.638</ns0:v>
      </ns0:c>
      <ns0:c r="L43" t="n">
        <ns0:v>95.7</ns0:v>
      </ns0:c>
      <ns0:c r="M43" t="n">
        <ns0:v>6</ns0:v>
      </ns0:c>
      <ns0:c r="N43" t="n">
        <ns0:v>0.734</ns0:v>
      </ns0:c>
      <ns0:c r="O43" t="n">
        <ns0:v>92.09999999999999</ns0:v>
      </ns0:c>
    </ns0:row>
    <ns0:row r="44" ht="27" customHeight="1">
      <ns0:c r="D44" t="n">
        <ns0:v>7</ns0:v>
      </ns0:c>
      <ns0:c r="E44" t="n">
        <ns0:v>0.482</ns0:v>
      </ns0:c>
      <ns0:c r="F44" t="n">
        <ns0:v>94.8</ns0:v>
      </ns0:c>
      <ns0:c r="G44" t="n">
        <ns0:v>7</ns0:v>
      </ns0:c>
      <ns0:c r="H44" t="n">
        <ns0:v>0.52</ns0:v>
      </ns0:c>
      <ns0:c r="I44" t="n">
        <ns0:v>100.7</ns0:v>
      </ns0:c>
      <ns0:c r="J44" t="n">
        <ns0:v>7</ns0:v>
      </ns0:c>
      <ns0:c r="K44" t="n">
        <ns0:v>0.658</ns0:v>
      </ns0:c>
      <ns0:c r="L44" t="n">
        <ns0:v>82</ns0:v>
      </ns0:c>
      <ns0:c r="M44" t="n">
        <ns0:v>7</ns0:v>
      </ns0:c>
      <ns0:c r="N44" t="n">
        <ns0:v>0.79</ns0:v>
      </ns0:c>
      <ns0:c r="O44" t="n">
        <ns0:v>98.3</ns0:v>
      </ns0:c>
    </ns0:row>
    <ns0:row r="45" ht="27" customHeight="1">
      <ns0:c r="D45" t="n">
        <ns0:v>8</ns0:v>
      </ns0:c>
      <ns0:c r="E45" t="n">
        <ns0:v>0.422</ns0:v>
      </ns0:c>
      <ns0:c r="F45" t="n">
        <ns0:v>74.09999999999999</ns0:v>
      </ns0:c>
      <ns0:c r="G45" t="n">
        <ns0:v>8</ns0:v>
      </ns0:c>
      <ns0:c r="H45" t="n">
        <ns0:v>0.586</ns0:v>
      </ns0:c>
      <ns0:c r="I45" t="n">
        <ns0:v>93.90000000000001</ns0:v>
      </ns0:c>
      <ns0:c r="J45" t="n">
        <ns0:v>8</ns0:v>
      </ns0:c>
      <ns0:c r="K45" t="n">
        <ns0:v>0.7</ns0:v>
      </ns0:c>
      <ns0:c r="L45" t="n">
        <ns0:v>87.7</ns0:v>
      </ns0:c>
      <ns0:c r="M45" t="n">
        <ns0:v>8</ns0:v>
      </ns0:c>
      <ns0:c r="N45" t="n">
        <ns0:v>0.754</ns0:v>
      </ns0:c>
      <ns0:c r="O45" t="n">
        <ns0:v>88.59999999999999</ns0:v>
      </ns0:c>
    </ns0:row>
    <ns0:row r="46" ht="27" customHeight="1">
      <ns0:c r="D46" t="inlineStr">
        <ns0:is>
          <ns0:t>Max</ns0:t>
        </ns0:is>
      </ns0:c>
      <ns0:c r="F46">
        <ns0:f>MAX(F38:F45)</ns0:f>
        <ns0:v/>
      </ns0:c>
      <ns0:c r="G46" t="inlineStr">
        <ns0:is>
          <ns0:t>Max</ns0:t>
        </ns0:is>
      </ns0:c>
      <ns0:c r="I46">
        <ns0:f>MAX(I38:I45)</ns0:f>
        <ns0:v/>
      </ns0:c>
      <ns0:c r="J46" t="inlineStr">
        <ns0:is>
          <ns0:t>Max</ns0:t>
        </ns0:is>
      </ns0:c>
      <ns0:c r="L46">
        <ns0:f>MAX(L38:L45)</ns0:f>
        <ns0:v/>
      </ns0:c>
      <ns0:c r="M46" t="inlineStr">
        <ns0:is>
          <ns0:t>Max</ns0:t>
        </ns0:is>
      </ns0:c>
      <ns0:c r="O46">
        <ns0:f>MAX(O38:O45)</ns0:f>
        <ns0:v/>
      </ns0:c>
    </ns0:row>
    <ns0:row r="47" ht="27" customHeight="1">
      <ns0:c r="D47" t="inlineStr">
        <ns0:is>
          <ns0:t>Min</ns0:t>
        </ns0:is>
      </ns0:c>
      <ns0:c r="F47">
        <ns0:f>MIN(F38:F45)</ns0:f>
        <ns0:v/>
      </ns0:c>
      <ns0:c r="G47" t="inlineStr">
        <ns0:is>
          <ns0:t>Min</ns0:t>
        </ns0:is>
      </ns0:c>
      <ns0:c r="I47">
        <ns0:f>MIN(I38:I45)</ns0:f>
        <ns0:v/>
      </ns0:c>
      <ns0:c r="J47" t="inlineStr">
        <ns0:is>
          <ns0:t>Min</ns0:t>
        </ns0:is>
      </ns0:c>
      <ns0:c r="L47">
        <ns0:f>MIN(L38:L45)</ns0:f>
        <ns0:v/>
      </ns0:c>
      <ns0:c r="M47" t="inlineStr">
        <ns0:is>
          <ns0:t>Min</ns0:t>
        </ns0:is>
      </ns0:c>
      <ns0:c r="O47">
        <ns0:f>MIN(O38:O45)</ns0:f>
        <ns0:v/>
      </ns0:c>
    </ns0:row>
    <ns0:row r="48" ht="27" customHeight="1">
      <ns0:c r="D48" t="inlineStr">
        <ns0:is>
          <ns0:t>Avg</ns0:t>
        </ns0:is>
      </ns0:c>
      <ns0:c r="F48">
        <ns0:f>AVERAGE(F38:F45)</ns0:f>
        <ns0:v/>
      </ns0:c>
      <ns0:c r="G48" t="inlineStr">
        <ns0:is>
          <ns0:t>Avg</ns0:t>
        </ns0:is>
      </ns0:c>
      <ns0:c r="I48">
        <ns0:f>AVERAGE(I38:I45)</ns0:f>
        <ns0:v/>
      </ns0:c>
      <ns0:c r="J48" t="inlineStr">
        <ns0:is>
          <ns0:t>Avg</ns0:t>
        </ns0:is>
      </ns0:c>
      <ns0:c r="L48">
        <ns0:f>AVERAGE(L38:L45)</ns0:f>
        <ns0:v/>
      </ns0:c>
      <ns0:c r="M48" t="inlineStr">
        <ns0:is>
          <ns0:t>Avg</ns0:t>
        </ns0:is>
      </ns0:c>
      <ns0:c r="O48">
        <ns0:f>AVERAGE(O38:O45)</ns0:f>
        <ns0:v/>
      </ns0:c>
    </ns0:row>
    <ns0:row r="49" ht="27" customHeight="1">
      <ns0:c r="D49" t="inlineStr">
        <ns0:is>
          <ns0:t>Q'ty NG</ns0:t>
        </ns0:is>
      </ns0:c>
      <ns0:c r="F49" t="inlineStr">
        <ns0:is>
          <ns0:t>1/8 pcs</ns0:t>
        </ns0:is>
      </ns0:c>
      <ns0:c r="G49" t="inlineStr">
        <ns0:is>
          <ns0:t>Q'ty NG</ns0:t>
        </ns0:is>
      </ns0:c>
      <ns0:c r="I49" t="inlineStr">
        <ns0:is>
          <ns0:t>0/8 pcs</ns0:t>
        </ns0:is>
      </ns0:c>
      <ns0:c r="J49" t="inlineStr">
        <ns0:is>
          <ns0:t>Q'ty NG</ns0:t>
        </ns0:is>
      </ns0:c>
      <ns0:c r="L49" t="inlineStr">
        <ns0:is>
          <ns0:t>1/8 pcs</ns0:t>
        </ns0:is>
      </ns0:c>
      <ns0:c r="M49" t="inlineStr">
        <ns0:is>
          <ns0:t>Q'ty NG</ns0:t>
        </ns0:is>
      </ns0:c>
      <ns0:c r="O49" t="inlineStr">
        <ns0:is>
          <ns0:t>0/8 pcs</ns0:t>
        </ns0:is>
      </ns0:c>
    </ns0:row>
    <ns0:row r="50" ht="27" customHeight="1"/>
    <ns0:row r="51" ht="27" customHeight="1">
      <ns0:c r="B51" t="inlineStr">
        <ns0:is>
          <ns0:t>4. Decide</ns0:t>
        </ns0:is>
      </ns0:c>
    </ns0:row>
    <ns0:row r="52" ht="27" customHeight="1"/>
    <ns0:row r="53" ht="27" customHeight="1"/>
  </ns0:sheetData>
  <ns0:mergeCells count="1">
    <ns0:mergeCell ref="B52:Q5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X6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" customWidth="1" min="3" max="3"/>
    <ns0:col width="19.42857142857143" customWidth="1" min="4" max="4"/>
    <ns0:col width="25.42857142857143" customWidth="1" min="5" max="5"/>
    <ns0:col width="24.71428571428572" customWidth="1" min="6" max="6"/>
    <ns0:col width="19.2857142857142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6.85714285714286" customWidth="1" min="12" max="12"/>
    <ns0:col width="13" customWidth="1" min="13" max="13"/>
    <ns0:col width="11.42857142857143" customWidth="1" min="14" max="14"/>
    <ns0:col width="12.42857142857143" customWidth="1" min="15" max="15"/>
    <ns0:col width="18.71428571428572" customWidth="1" min="16" max="16"/>
    <ns0:col width="18.71428571428572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6.85714285714286" customWidth="1" min="21" max="21"/>
    <ns0:col width="16.85714285714286" customWidth="1" min="22" max="22"/>
    <ns0:col width="19.42857142857143" customWidth="1" min="23" max="23"/>
    <ns0:col width="16.42857142857143" customWidth="1" min="24" max="24"/>
  </ns0:cols>
  <ns0:sheetData>
    <ns0:row r="1" ht="19.5" customHeight="1">
      <ns0:c r="W1" s="2" t="n"/>
    </ns0:row>
    <ns0:row r="2" ht="27" customHeight="1">
      <ns0:c r="B2" s="3" t="inlineStr">
        <ns0:is>
          <ns0:t>TITLE</ns0:t>
        </ns0:is>
      </ns0:c>
      <ns0:c r="C2" s="4" t="n"/>
      <ns0:c r="D2" s="5" t="inlineStr">
        <ns0:is>
          <ns0:t>REPORT TEST DOE BONDING &amp; DRYING SUB 2 MANUAL
BRS-161014</ns0:t>
        </ns0:is>
      </ns0:c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6" t="n"/>
      <ns0:c r="U2" s="6" t="n"/>
      <ns0:c r="V2" s="6" t="n"/>
      <ns0:c r="W2" s="7" t="inlineStr">
        <ns0:is>
          <ns0:t>Dept</ns0:t>
        </ns0:is>
      </ns0:c>
      <ns0:c r="X2" s="8" t="inlineStr">
        <ns0:is>
          <ns0:t>ME</ns0:t>
        </ns0:is>
      </ns0:c>
    </ns0:row>
    <ns0:row r="3" ht="27" customHeight="1">
      <ns0:c r="B3" s="9" t="n"/>
      <ns0:c r="C3" s="10" t="n"/>
      <ns0:c r="D3" s="11" t="n"/>
      <ns0:c r="W3" s="12" t="inlineStr">
        <ns0:is>
          <ns0:t>Date</ns0:t>
        </ns0:is>
      </ns0:c>
      <ns0:c r="X3" s="13" t="n">
        <ns0:v>45136</ns0:v>
      </ns0:c>
    </ns0:row>
    <ns0:row r="4" ht="27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7" t="n"/>
      <ns0:c r="W4" s="12" t="inlineStr">
        <ns0:is>
          <ns0:t>Maker</ns0:t>
        </ns0:is>
      </ns0:c>
      <ns0:c r="X4" s="18" t="inlineStr">
        <ns0:is>
          <ns0:t>THUY</ns0:t>
        </ns0:is>
      </ns0:c>
    </ns0:row>
    <ns0:row r="5" ht="27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1" t="n"/>
    </ns0:row>
    <ns0:row r="6" ht="27" customHeight="1">
      <ns0:c r="B6" s="22" t="inlineStr">
        <ns0:is>
          <ns0:t xml:space="preserve"> - To find the best condition to working at Sub 2 manual 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4" t="n"/>
    </ns0:row>
    <ns0:row r="7" ht="27" customHeight="1">
      <ns0:c r="B7" s="19" t="inlineStr">
        <ns0:is>
          <ns0:t>2. Content of testing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1" t="n"/>
    </ns0:row>
    <ns0:row r="8" ht="27.75" customHeight="1">
      <ns0:c r="B8" s="25" t="inlineStr">
        <ns0:is>
          <ns0:t xml:space="preserve"> - To test DOE bonding amount, drying of CM+CP, CM+B-PT to check:</ns0:t>
        </ns0:is>
      </ns0:c>
      <ns0:c r="C8" s="26" t="n"/>
      <ns0:c r="D8" s="26" t="n"/>
      <ns0:c r="E8" s="26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7" t="n"/>
      <ns0:c r="W8" s="27" t="n"/>
      <ns0:c r="X8" s="28" t="n"/>
    </ns0:row>
    <ns0:row r="9" ht="27.75" customHeight="1">
      <ns0:c r="B9" s="25" t="inlineStr">
        <ns0:is>
          <ns0:t xml:space="preserve"> ++ Decap bonding CM+CP, CM+B-PT</ns0:t>
        </ns0:is>
      </ns0:c>
      <ns0:c r="C9" s="26" t="n"/>
      <ns0:c r="D9" s="26" t="n"/>
      <ns0:c r="E9" s="26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</ns0:row>
    <ns0:row r="10" ht="27.75" customHeight="1">
      <ns0:c r="B10" s="25" t="inlineStr">
        <ns0:is>
          <ns0:t xml:space="preserve"> ++ Check visual </ns0:t>
        </ns0:is>
      </ns0:c>
      <ns0:c r="C10" s="26" t="n"/>
      <ns0:c r="D10" s="26" t="n"/>
      <ns0:c r="E10" s="26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</ns0:row>
    <ns0:row r="11" ht="27.75" customHeight="1">
      <ns0:c r="B11" s="25" t="inlineStr">
        <ns0:is>
          <ns0:t xml:space="preserve"> ++ Tension test</ns0:t>
        </ns0:is>
      </ns0:c>
      <ns0:c r="C11" s="26" t="n"/>
      <ns0:c r="D11" s="26" t="n"/>
      <ns0:c r="E11" s="26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</ns0:row>
    <ns0:row r="12" ht="26.25" customHeight="1">
      <ns0:c r="B12" s="19" t="inlineStr">
        <ns0:is>
          <ns0:t>3.Result test</ns0:t>
        </ns0:is>
      </ns0:c>
      <ns0:c r="C12" s="20" t="n"/>
      <ns0:c r="D12" s="20" t="n"/>
      <ns0:c r="E12" s="20" t="n"/>
      <ns0:c r="F12" s="20" t="n"/>
      <ns0:c r="G12" s="20" t="n"/>
      <ns0:c r="H12" s="20" t="n"/>
      <ns0:c r="I12" s="20" t="n"/>
      <ns0:c r="J12" s="20" t="n"/>
      <ns0:c r="K12" s="20" t="n"/>
      <ns0:c r="L12" s="20" t="n"/>
      <ns0:c r="M12" s="20" t="n"/>
      <ns0:c r="N12" s="20" t="n"/>
      <ns0:c r="O12" s="20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1" t="n"/>
    </ns0:row>
    <ns0:row r="13" ht="27" customHeight="1">
      <ns0:c r="B13" s="29" t="n"/>
      <ns0:c r="C13" s="30" t="inlineStr">
        <ns0:is>
          <ns0:t>RESULT TEST DOE BONDING &amp; DRYING AT CM+CP PROCESS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2" t="n"/>
      <ns0:c r="Q13" s="32" t="n"/>
      <ns0:c r="R13" s="33" t="n"/>
      <ns0:c r="S13" s="33" t="n"/>
      <ns0:c r="T13" s="33" t="n"/>
      <ns0:c r="U13" s="33" t="n"/>
      <ns0:c r="V13" s="33" t="n"/>
      <ns0:c r="W13" s="34" t="n"/>
      <ns0:c r="X13" s="35" t="n"/>
    </ns0:row>
    <ns0:row r="14" ht="54" customHeight="1">
      <ns0:c r="B14" s="29" t="n"/>
      <ns0:c r="C14" s="36" t="inlineStr">
        <ns0:is>
          <ns0:t>Date</ns0:t>
        </ns0:is>
      </ns0:c>
      <ns0:c r="D14" s="37" t="inlineStr">
        <ns0:is>
          <ns0:t>Process</ns0:t>
        </ns0:is>
      </ns0:c>
      <ns0:c r="E14" s="38" t="inlineStr">
        <ns0:is>
          <ns0:t>Bonding amount</ns0:t>
        </ns0:is>
      </ns0:c>
      <ns0:c r="F14" s="39" t="inlineStr">
        <ns0:is>
          <ns0:t>Type needle</ns0:t>
        </ns0:is>
      </ns0:c>
      <ns0:c r="G14" s="39" t="inlineStr">
        <ns0:is>
          <ns0:t>Drying</ns0:t>
        </ns0:is>
      </ns0:c>
      <ns0:c r="H14" s="40" t="inlineStr">
        <ns0:is>
          <ns0:t>Q'ty check</ns0:t>
        </ns0:is>
      </ns0:c>
      <ns0:c r="I14" s="39" t="inlineStr">
        <ns0:is>
          <ns0:t>OK</ns0:t>
        </ns0:is>
      </ns0:c>
      <ns0:c r="J14" s="20" t="n"/>
      <ns0:c r="K14" s="41" t="n"/>
      <ns0:c r="L14" s="39" t="inlineStr">
        <ns0:is>
          <ns0:t>NG glue not dry</ns0:t>
        </ns0:is>
      </ns0:c>
      <ns0:c r="M14" s="20" t="n"/>
      <ns0:c r="N14" s="41" t="n"/>
      <ns0:c r="O14" s="39" t="inlineStr">
        <ns0:is>
          <ns0:t>NG glue not spread</ns0:t>
        </ns0:is>
      </ns0:c>
      <ns0:c r="P14" s="20" t="n"/>
      <ns0:c r="Q14" s="41" t="n"/>
      <ns0:c r="R14" s="39" t="inlineStr">
        <ns0:is>
          <ns0:t>NG over glue</ns0:t>
        </ns0:is>
      </ns0:c>
      <ns0:c r="S14" s="20" t="n"/>
      <ns0:c r="T14" s="41" t="n"/>
      <ns0:c r="U14" s="40" t="inlineStr">
        <ns0:is>
          <ns0:t>Total NG</ns0:t>
        </ns0:is>
      </ns0:c>
      <ns0:c r="V14" s="40" t="inlineStr">
        <ns0:is>
          <ns0:t>NG rate</ns0:t>
        </ns0:is>
      </ns0:c>
      <ns0:c r="W14" s="2" t="n"/>
      <ns0:c r="X14" s="42" t="n"/>
    </ns0:row>
    <ns0:row r="15" ht="27" customHeight="1">
      <ns0:c r="B15" s="29" t="n"/>
      <ns0:c r="C15" s="43" t="n"/>
      <ns0:c r="D15" s="43" t="n"/>
      <ns0:c r="E15" s="43" t="n"/>
      <ns0:c r="F15" s="43" t="n"/>
      <ns0:c r="G15" s="43" t="n"/>
      <ns0:c r="H15" s="43" t="n"/>
      <ns0:c r="I15" s="44" t="n"/>
      <ns0:c r="J15" s="31" t="n"/>
      <ns0:c r="K15" s="45" t="n"/>
      <ns0:c r="L15" s="44" t="n"/>
      <ns0:c r="M15" s="31" t="n"/>
      <ns0:c r="N15" s="45" t="n"/>
      <ns0:c r="O15" s="44" t="n"/>
      <ns0:c r="P15" s="31" t="n"/>
      <ns0:c r="Q15" s="45" t="n"/>
      <ns0:c r="R15" s="44" t="n"/>
      <ns0:c r="S15" s="31" t="n"/>
      <ns0:c r="T15" s="45" t="n"/>
      <ns0:c r="U15" s="43" t="n"/>
      <ns0:c r="V15" s="43" t="n"/>
      <ns0:c r="W15" s="2" t="n"/>
      <ns0:c r="X15" s="42" t="n"/>
    </ns0:row>
    <ns0:row r="16" ht="27" customHeight="1">
      <ns0:c r="B16" s="29" t="n"/>
      <ns0:c r="C16" s="43" t="n"/>
      <ns0:c r="D16" s="43" t="n"/>
      <ns0:c r="E16" s="43" t="n"/>
      <ns0:c r="F16" s="43" t="n"/>
      <ns0:c r="G16" s="43" t="n"/>
      <ns0:c r="H16" s="43" t="n"/>
      <ns0:c r="I16" s="11" t="n"/>
      <ns0:c r="K16" s="10" t="n"/>
      <ns0:c r="L16" s="11" t="n"/>
      <ns0:c r="N16" s="10" t="n"/>
      <ns0:c r="O16" s="11" t="n"/>
      <ns0:c r="Q16" s="10" t="n"/>
      <ns0:c r="R16" s="11" t="n"/>
      <ns0:c r="T16" s="10" t="n"/>
      <ns0:c r="U16" s="43" t="n"/>
      <ns0:c r="V16" s="43" t="n"/>
      <ns0:c r="W16" s="2" t="n"/>
      <ns0:c r="X16" s="42" t="n"/>
    </ns0:row>
    <ns0:row r="17" ht="27" customHeight="1">
      <ns0:c r="B17" s="29" t="n"/>
      <ns0:c r="C17" s="43" t="n"/>
      <ns0:c r="D17" s="43" t="n"/>
      <ns0:c r="E17" s="43" t="n"/>
      <ns0:c r="F17" s="43" t="n"/>
      <ns0:c r="G17" s="43" t="n"/>
      <ns0:c r="H17" s="43" t="n"/>
      <ns0:c r="I17" s="11" t="n"/>
      <ns0:c r="K17" s="10" t="n"/>
      <ns0:c r="L17" s="11" t="n"/>
      <ns0:c r="N17" s="10" t="n"/>
      <ns0:c r="O17" s="11" t="n"/>
      <ns0:c r="Q17" s="10" t="n"/>
      <ns0:c r="R17" s="11" t="n"/>
      <ns0:c r="T17" s="10" t="n"/>
      <ns0:c r="U17" s="43" t="n"/>
      <ns0:c r="V17" s="43" t="n"/>
      <ns0:c r="W17" s="2" t="n"/>
      <ns0:c r="X17" s="42" t="n"/>
    </ns0:row>
    <ns0:row r="18" ht="27" customHeight="1">
      <ns0:c r="B18" s="29" t="n"/>
      <ns0:c r="C18" s="43" t="n"/>
      <ns0:c r="D18" s="43" t="n"/>
      <ns0:c r="E18" s="43" t="n"/>
      <ns0:c r="F18" s="43" t="n"/>
      <ns0:c r="G18" s="43" t="n"/>
      <ns0:c r="H18" s="43" t="n"/>
      <ns0:c r="I18" s="11" t="n"/>
      <ns0:c r="K18" s="10" t="n"/>
      <ns0:c r="L18" s="11" t="n"/>
      <ns0:c r="N18" s="10" t="n"/>
      <ns0:c r="O18" s="11" t="n"/>
      <ns0:c r="Q18" s="10" t="n"/>
      <ns0:c r="R18" s="11" t="n"/>
      <ns0:c r="T18" s="10" t="n"/>
      <ns0:c r="U18" s="43" t="n"/>
      <ns0:c r="V18" s="43" t="n"/>
      <ns0:c r="W18" s="2" t="n"/>
      <ns0:c r="X18" s="42" t="n"/>
    </ns0:row>
    <ns0:row r="19" ht="27" customHeight="1">
      <ns0:c r="B19" s="29" t="n"/>
      <ns0:c r="C19" s="43" t="n"/>
      <ns0:c r="D19" s="43" t="n"/>
      <ns0:c r="E19" s="43" t="n"/>
      <ns0:c r="F19" s="43" t="n"/>
      <ns0:c r="G19" s="43" t="n"/>
      <ns0:c r="H19" s="43" t="n"/>
      <ns0:c r="I19" s="11" t="n"/>
      <ns0:c r="K19" s="10" t="n"/>
      <ns0:c r="L19" s="11" t="n"/>
      <ns0:c r="N19" s="10" t="n"/>
      <ns0:c r="O19" s="11" t="n"/>
      <ns0:c r="Q19" s="10" t="n"/>
      <ns0:c r="R19" s="11" t="n"/>
      <ns0:c r="T19" s="10" t="n"/>
      <ns0:c r="U19" s="43" t="n"/>
      <ns0:c r="V19" s="43" t="n"/>
      <ns0:c r="W19" s="2" t="n"/>
      <ns0:c r="X19" s="42" t="n"/>
    </ns0:row>
    <ns0:row r="20" ht="27" customHeight="1">
      <ns0:c r="B20" s="29" t="n"/>
      <ns0:c r="C20" s="46" t="n"/>
      <ns0:c r="D20" s="46" t="n"/>
      <ns0:c r="E20" s="46" t="n"/>
      <ns0:c r="F20" s="46" t="n"/>
      <ns0:c r="G20" s="46" t="n"/>
      <ns0:c r="H20" s="46" t="n"/>
      <ns0:c r="I20" s="16" t="n"/>
      <ns0:c r="J20" s="17" t="n"/>
      <ns0:c r="K20" s="15" t="n"/>
      <ns0:c r="L20" s="16" t="n"/>
      <ns0:c r="M20" s="17" t="n"/>
      <ns0:c r="N20" s="15" t="n"/>
      <ns0:c r="O20" s="16" t="n"/>
      <ns0:c r="P20" s="17" t="n"/>
      <ns0:c r="Q20" s="15" t="n"/>
      <ns0:c r="R20" s="16" t="n"/>
      <ns0:c r="S20" s="17" t="n"/>
      <ns0:c r="T20" s="15" t="n"/>
      <ns0:c r="U20" s="46" t="n"/>
      <ns0:c r="V20" s="46" t="n"/>
      <ns0:c r="W20" s="2" t="n"/>
      <ns0:c r="X20" s="42" t="n"/>
    </ns0:row>
    <ns0:row r="21" ht="27" customHeight="1">
      <ns0:c r="B21" s="29" t="n"/>
      <ns0:c r="C21" s="47" t="n">
        <ns0:v>45135</ns0:v>
      </ns0:c>
      <ns0:c r="D21" s="48" t="inlineStr">
        <ns0:is>
          <ns0:t>CM+CP</ns0:t>
        </ns0:is>
      </ns0:c>
      <ns0:c r="E21" s="49" t="inlineStr">
        <ns0:is>
          <ns0:t>In Spec
( 0.5 ~0.6)mg</ns0:t>
        </ns0:is>
      </ns0:c>
      <ns0:c r="F21" s="50" t="inlineStr">
        <ns0:is>
          <ns0:t>25G</ns0:t>
        </ns0:is>
      </ns0:c>
      <ns0:c r="G21" s="50" t="inlineStr">
        <ns0:is>
          <ns0:t>84 ⁰ C
5 min 50s</ns0:t>
        </ns0:is>
      </ns0:c>
      <ns0:c r="H21" s="44" t="n">
        <ns0:v>8</ns0:v>
      </ns0:c>
      <ns0:c r="I21" s="44" t="n">
        <ns0:v>0</ns0:v>
      </ns0:c>
      <ns0:c r="J21" s="31" t="n"/>
      <ns0:c r="K21" s="45" t="n"/>
      <ns0:c r="L21" s="44" t="n">
        <ns0:v>8</ns0:v>
      </ns0:c>
      <ns0:c r="M21" s="31" t="n"/>
      <ns0:c r="N21" s="45" t="n"/>
      <ns0:c r="O21" s="44" t="n">
        <ns0:v>0</ns0:v>
      </ns0:c>
      <ns0:c r="P21" s="31" t="n"/>
      <ns0:c r="Q21" s="45" t="n"/>
      <ns0:c r="R21" s="44" t="n">
        <ns0:v>8</ns0:v>
      </ns0:c>
      <ns0:c r="S21" s="31" t="n"/>
      <ns0:c r="T21" s="45" t="n"/>
      <ns0:c r="U21" s="44" t="n">
        <ns0:v>8</ns0:v>
      </ns0:c>
      <ns0:c r="V21" s="51" t="n">
        <ns0:v>1</ns0:v>
      </ns0:c>
      <ns0:c r="W21" s="2" t="n"/>
      <ns0:c r="X21" s="42" t="n"/>
    </ns0:row>
    <ns0:row r="22" ht="27" customHeight="1">
      <ns0:c r="B22" s="29" t="n"/>
      <ns0:c r="C22" s="43" t="n"/>
      <ns0:c r="D22" s="43" t="n"/>
      <ns0:c r="E22" s="46" t="n"/>
      <ns0:c r="F22" s="46" t="n"/>
      <ns0:c r="G22" s="46" t="n"/>
      <ns0:c r="H22" s="46" t="n"/>
      <ns0:c r="I22" s="16" t="n"/>
      <ns0:c r="J22" s="17" t="n"/>
      <ns0:c r="K22" s="15" t="n"/>
      <ns0:c r="L22" s="16" t="n"/>
      <ns0:c r="M22" s="17" t="n"/>
      <ns0:c r="N22" s="15" t="n"/>
      <ns0:c r="O22" s="16" t="n"/>
      <ns0:c r="P22" s="17" t="n"/>
      <ns0:c r="Q22" s="15" t="n"/>
      <ns0:c r="R22" s="16" t="n"/>
      <ns0:c r="S22" s="17" t="n"/>
      <ns0:c r="T22" s="15" t="n"/>
      <ns0:c r="U22" s="46" t="n"/>
      <ns0:c r="V22" s="46" t="n"/>
      <ns0:c r="W22" s="2" t="n"/>
      <ns0:c r="X22" s="42" t="n"/>
    </ns0:row>
    <ns0:row r="23" ht="27" customHeight="1">
      <ns0:c r="B23" s="29" t="n"/>
      <ns0:c r="C23" s="43" t="n"/>
      <ns0:c r="D23" s="43" t="n"/>
      <ns0:c r="E23" s="49" t="inlineStr">
        <ns0:is>
          <ns0:t>( 0.4 ~0.5)mg</ns0:t>
        </ns0:is>
      </ns0:c>
      <ns0:c r="F23" s="50" t="inlineStr">
        <ns0:is>
          <ns0:t>25G</ns0:t>
        </ns0:is>
      </ns0:c>
      <ns0:c r="G23" s="50" t="inlineStr">
        <ns0:is>
          <ns0:t>96 ⁰ C
5 min 50s</ns0:t>
        </ns0:is>
      </ns0:c>
      <ns0:c r="H23" s="44" t="n">
        <ns0:v>8</ns0:v>
      </ns0:c>
      <ns0:c r="I23" s="44" t="n">
        <ns0:v>5</ns0:v>
      </ns0:c>
      <ns0:c r="J23" s="31" t="n"/>
      <ns0:c r="K23" s="45" t="n"/>
      <ns0:c r="L23" s="44" t="n">
        <ns0:v>0</ns0:v>
      </ns0:c>
      <ns0:c r="M23" s="31" t="n"/>
      <ns0:c r="N23" s="45" t="n"/>
      <ns0:c r="O23" s="44" t="n">
        <ns0:v>3</ns0:v>
      </ns0:c>
      <ns0:c r="P23" s="31" t="n"/>
      <ns0:c r="Q23" s="45" t="n"/>
      <ns0:c r="R23" s="44" t="n">
        <ns0:v>0</ns0:v>
      </ns0:c>
      <ns0:c r="S23" s="31" t="n"/>
      <ns0:c r="T23" s="45" t="n"/>
      <ns0:c r="U23" s="44" t="n">
        <ns0:v>3</ns0:v>
      </ns0:c>
      <ns0:c r="V23" s="51" t="n">
        <ns0:v>0.375</ns0:v>
      </ns0:c>
      <ns0:c r="W23" s="2" t="n"/>
      <ns0:c r="X23" s="42" t="n"/>
    </ns0:row>
    <ns0:row r="24" ht="27" customHeight="1">
      <ns0:c r="B24" s="29" t="n"/>
      <ns0:c r="C24" s="43" t="n"/>
      <ns0:c r="D24" s="43" t="n"/>
      <ns0:c r="E24" s="46" t="n"/>
      <ns0:c r="F24" s="46" t="n"/>
      <ns0:c r="G24" s="46" t="n"/>
      <ns0:c r="H24" s="46" t="n"/>
      <ns0:c r="I24" s="16" t="n"/>
      <ns0:c r="J24" s="17" t="n"/>
      <ns0:c r="K24" s="15" t="n"/>
      <ns0:c r="L24" s="16" t="n"/>
      <ns0:c r="M24" s="17" t="n"/>
      <ns0:c r="N24" s="15" t="n"/>
      <ns0:c r="O24" s="16" t="n"/>
      <ns0:c r="P24" s="17" t="n"/>
      <ns0:c r="Q24" s="15" t="n"/>
      <ns0:c r="R24" s="16" t="n"/>
      <ns0:c r="S24" s="17" t="n"/>
      <ns0:c r="T24" s="15" t="n"/>
      <ns0:c r="U24" s="46" t="n"/>
      <ns0:c r="V24" s="46" t="n"/>
      <ns0:c r="W24" s="2" t="n"/>
      <ns0:c r="X24" s="42" t="n"/>
    </ns0:row>
    <ns0:row r="25" ht="27" customHeight="1">
      <ns0:c r="B25" s="29" t="n"/>
      <ns0:c r="C25" s="43" t="n"/>
      <ns0:c r="D25" s="43" t="n"/>
      <ns0:c r="E25" s="49" t="inlineStr">
        <ns0:is>
          <ns0:t>( 0.2 ~0.4)mg</ns0:t>
        </ns0:is>
      </ns0:c>
      <ns0:c r="F25" s="50" t="inlineStr">
        <ns0:is>
          <ns0:t>25G</ns0:t>
        </ns0:is>
      </ns0:c>
      <ns0:c r="G25" s="50" t="inlineStr">
        <ns0:is>
          <ns0:t>96 ⁰ C
5 min 50s</ns0:t>
        </ns0:is>
      </ns0:c>
      <ns0:c r="H25" s="44" t="n">
        <ns0:v>8</ns0:v>
      </ns0:c>
      <ns0:c r="I25" s="44" t="n">
        <ns0:v>0</ns0:v>
      </ns0:c>
      <ns0:c r="J25" s="31" t="n"/>
      <ns0:c r="K25" s="45" t="n"/>
      <ns0:c r="L25" s="44" t="n">
        <ns0:v>0</ns0:v>
      </ns0:c>
      <ns0:c r="M25" s="31" t="n"/>
      <ns0:c r="N25" s="45" t="n"/>
      <ns0:c r="O25" s="44" t="n">
        <ns0:v>8</ns0:v>
      </ns0:c>
      <ns0:c r="P25" s="31" t="n"/>
      <ns0:c r="Q25" s="45" t="n"/>
      <ns0:c r="R25" s="44" t="n">
        <ns0:v>0</ns0:v>
      </ns0:c>
      <ns0:c r="S25" s="31" t="n"/>
      <ns0:c r="T25" s="45" t="n"/>
      <ns0:c r="U25" s="44" t="n">
        <ns0:v>8</ns0:v>
      </ns0:c>
      <ns0:c r="V25" s="51" t="n">
        <ns0:v>1</ns0:v>
      </ns0:c>
      <ns0:c r="W25" s="2" t="n"/>
      <ns0:c r="X25" s="42" t="n"/>
    </ns0:row>
    <ns0:row r="26" ht="27" customHeight="1">
      <ns0:c r="B26" s="29" t="n"/>
      <ns0:c r="C26" s="43" t="n"/>
      <ns0:c r="D26" s="43" t="n"/>
      <ns0:c r="E26" s="46" t="n"/>
      <ns0:c r="F26" s="46" t="n"/>
      <ns0:c r="G26" s="46" t="n"/>
      <ns0:c r="H26" s="46" t="n"/>
      <ns0:c r="I26" s="16" t="n"/>
      <ns0:c r="J26" s="17" t="n"/>
      <ns0:c r="K26" s="15" t="n"/>
      <ns0:c r="L26" s="16" t="n"/>
      <ns0:c r="M26" s="17" t="n"/>
      <ns0:c r="N26" s="15" t="n"/>
      <ns0:c r="O26" s="16" t="n"/>
      <ns0:c r="P26" s="17" t="n"/>
      <ns0:c r="Q26" s="15" t="n"/>
      <ns0:c r="R26" s="16" t="n"/>
      <ns0:c r="S26" s="17" t="n"/>
      <ns0:c r="T26" s="15" t="n"/>
      <ns0:c r="U26" s="46" t="n"/>
      <ns0:c r="V26" s="46" t="n"/>
      <ns0:c r="W26" s="2" t="n"/>
      <ns0:c r="X26" s="42" t="n"/>
    </ns0:row>
    <ns0:row r="27" ht="27" customHeight="1">
      <ns0:c r="B27" s="29" t="n"/>
      <ns0:c r="C27" s="43" t="n"/>
      <ns0:c r="D27" s="43" t="n"/>
      <ns0:c r="E27" s="52" t="inlineStr">
        <ns0:is>
          <ns0:t>( 0.5 ~0.6)mg</ns0:t>
        </ns0:is>
      </ns0:c>
      <ns0:c r="F27" s="53" t="inlineStr">
        <ns0:is>
          <ns0:t>27G</ns0:t>
        </ns0:is>
      </ns0:c>
      <ns0:c r="G27" s="53" t="inlineStr">
        <ns0:is>
          <ns0:t>96 ⁰ C
5 min 50s</ns0:t>
        </ns0:is>
      </ns0:c>
      <ns0:c r="H27" s="54" t="n">
        <ns0:v>8</ns0:v>
      </ns0:c>
      <ns0:c r="I27" s="54" t="n">
        <ns0:v>8</ns0:v>
      </ns0:c>
      <ns0:c r="J27" s="31" t="n"/>
      <ns0:c r="K27" s="45" t="n"/>
      <ns0:c r="L27" s="54" t="n">
        <ns0:v>0</ns0:v>
      </ns0:c>
      <ns0:c r="M27" s="31" t="n"/>
      <ns0:c r="N27" s="45" t="n"/>
      <ns0:c r="O27" s="54" t="n">
        <ns0:v>0</ns0:v>
      </ns0:c>
      <ns0:c r="P27" s="31" t="n"/>
      <ns0:c r="Q27" s="45" t="n"/>
      <ns0:c r="R27" s="54" t="n">
        <ns0:v>0</ns0:v>
      </ns0:c>
      <ns0:c r="S27" s="31" t="n"/>
      <ns0:c r="T27" s="45" t="n"/>
      <ns0:c r="U27" s="54" t="n">
        <ns0:v>0</ns0:v>
      </ns0:c>
      <ns0:c r="V27" s="55" t="n">
        <ns0:v>0</ns0:v>
      </ns0:c>
      <ns0:c r="W27" s="2" t="n"/>
      <ns0:c r="X27" s="42" t="n"/>
    </ns0:row>
    <ns0:row r="28" ht="27" customHeight="1">
      <ns0:c r="B28" s="29" t="n"/>
      <ns0:c r="C28" s="43" t="n"/>
      <ns0:c r="D28" s="43" t="n"/>
      <ns0:c r="E28" s="46" t="n"/>
      <ns0:c r="F28" s="46" t="n"/>
      <ns0:c r="G28" s="46" t="n"/>
      <ns0:c r="H28" s="46" t="n"/>
      <ns0:c r="I28" s="16" t="n"/>
      <ns0:c r="J28" s="17" t="n"/>
      <ns0:c r="K28" s="15" t="n"/>
      <ns0:c r="L28" s="16" t="n"/>
      <ns0:c r="M28" s="17" t="n"/>
      <ns0:c r="N28" s="15" t="n"/>
      <ns0:c r="O28" s="16" t="n"/>
      <ns0:c r="P28" s="17" t="n"/>
      <ns0:c r="Q28" s="15" t="n"/>
      <ns0:c r="R28" s="16" t="n"/>
      <ns0:c r="S28" s="17" t="n"/>
      <ns0:c r="T28" s="15" t="n"/>
      <ns0:c r="U28" s="46" t="n"/>
      <ns0:c r="V28" s="46" t="n"/>
      <ns0:c r="W28" s="2" t="n"/>
      <ns0:c r="X28" s="42" t="n"/>
    </ns0:row>
    <ns0:row r="29" ht="27" customHeight="1">
      <ns0:c r="B29" s="29" t="n"/>
      <ns0:c r="C29" s="43" t="n"/>
      <ns0:c r="D29" s="43" t="n"/>
      <ns0:c r="E29" s="52" t="inlineStr">
        <ns0:is>
          <ns0:t>( 0.6 ~0.7)mg</ns0:t>
        </ns0:is>
      </ns0:c>
      <ns0:c r="F29" s="53" t="inlineStr">
        <ns0:is>
          <ns0:t>27G</ns0:t>
        </ns0:is>
      </ns0:c>
      <ns0:c r="G29" s="53" t="inlineStr">
        <ns0:is>
          <ns0:t>96 ⁰ C
5 min 50s</ns0:t>
        </ns0:is>
      </ns0:c>
      <ns0:c r="H29" s="54" t="n">
        <ns0:v>8</ns0:v>
      </ns0:c>
      <ns0:c r="I29" s="54" t="n">
        <ns0:v>8</ns0:v>
      </ns0:c>
      <ns0:c r="J29" s="31" t="n"/>
      <ns0:c r="K29" s="45" t="n"/>
      <ns0:c r="L29" s="54" t="n">
        <ns0:v>0</ns0:v>
      </ns0:c>
      <ns0:c r="M29" s="31" t="n"/>
      <ns0:c r="N29" s="45" t="n"/>
      <ns0:c r="O29" s="54" t="n">
        <ns0:v>0</ns0:v>
      </ns0:c>
      <ns0:c r="P29" s="31" t="n"/>
      <ns0:c r="Q29" s="45" t="n"/>
      <ns0:c r="R29" s="54" t="n">
        <ns0:v>0</ns0:v>
      </ns0:c>
      <ns0:c r="S29" s="31" t="n"/>
      <ns0:c r="T29" s="45" t="n"/>
      <ns0:c r="U29" s="54" t="n">
        <ns0:v>0</ns0:v>
      </ns0:c>
      <ns0:c r="V29" s="55" t="n">
        <ns0:v>0</ns0:v>
      </ns0:c>
      <ns0:c r="W29" s="2" t="n"/>
      <ns0:c r="X29" s="42" t="n"/>
    </ns0:row>
    <ns0:row r="30" ht="27" customHeight="1">
      <ns0:c r="B30" s="29" t="n"/>
      <ns0:c r="C30" s="46" t="n"/>
      <ns0:c r="D30" s="46" t="n"/>
      <ns0:c r="E30" s="46" t="n"/>
      <ns0:c r="F30" s="46" t="n"/>
      <ns0:c r="G30" s="46" t="n"/>
      <ns0:c r="H30" s="46" t="n"/>
      <ns0:c r="I30" s="16" t="n"/>
      <ns0:c r="J30" s="17" t="n"/>
      <ns0:c r="K30" s="15" t="n"/>
      <ns0:c r="L30" s="16" t="n"/>
      <ns0:c r="M30" s="17" t="n"/>
      <ns0:c r="N30" s="15" t="n"/>
      <ns0:c r="O30" s="16" t="n"/>
      <ns0:c r="P30" s="17" t="n"/>
      <ns0:c r="Q30" s="15" t="n"/>
      <ns0:c r="R30" s="16" t="n"/>
      <ns0:c r="S30" s="17" t="n"/>
      <ns0:c r="T30" s="15" t="n"/>
      <ns0:c r="U30" s="46" t="n"/>
      <ns0:c r="V30" s="46" t="n"/>
      <ns0:c r="W30" s="2" t="n"/>
      <ns0:c r="X30" s="42" t="n"/>
    </ns0:row>
    <ns0:row r="31" ht="27" customHeight="1">
      <ns0:c r="B31" s="29" t="n"/>
      <ns0:c r="C31" s="56" t="n"/>
      <ns0:c r="D31" s="57" t="n"/>
      <ns0:c r="E31" s="57" t="n"/>
      <ns0:c r="F31" s="58" t="n"/>
      <ns0:c r="G31" s="58" t="n"/>
      <ns0:c r="H31" s="59" t="n"/>
      <ns0:c r="I31" s="59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59" t="n"/>
      <ns0:c r="R31" s="59" t="n"/>
      <ns0:c r="S31" s="59" t="n"/>
      <ns0:c r="T31" s="59" t="n"/>
      <ns0:c r="U31" s="59" t="n"/>
      <ns0:c r="V31" s="59" t="n"/>
      <ns0:c r="W31" s="2" t="n"/>
      <ns0:c r="X31" s="42" t="n"/>
    </ns0:row>
    <ns0:row r="32" ht="27" customHeight="1">
      <ns0:c r="B32" s="29" t="n"/>
      <ns0:c r="C32" s="60" t="inlineStr">
        <ns0:is>
          <ns0:t>RESULT TEST DOE BONDING &amp; DRYING AT CM+B-PT PROCESS</ns0:t>
        </ns0:is>
      </ns0:c>
      <ns0:c r="D32" s="57" t="n"/>
      <ns0:c r="E32" s="57" t="n"/>
      <ns0:c r="F32" s="58" t="n"/>
      <ns0:c r="G32" s="58" t="n"/>
      <ns0:c r="H32" s="59" t="n"/>
      <ns0:c r="I32" s="59" t="n"/>
      <ns0:c r="J32" s="59" t="n"/>
      <ns0:c r="K32" s="59" t="n"/>
      <ns0:c r="L32" s="59" t="n"/>
      <ns0:c r="M32" s="59" t="n"/>
      <ns0:c r="N32" s="59" t="n"/>
      <ns0:c r="O32" s="59" t="n"/>
      <ns0:c r="P32" s="59" t="n"/>
      <ns0:c r="Q32" s="59" t="n"/>
      <ns0:c r="R32" s="59" t="n"/>
      <ns0:c r="S32" s="59" t="n"/>
      <ns0:c r="T32" s="59" t="n"/>
      <ns0:c r="U32" s="59" t="n"/>
      <ns0:c r="V32" s="59" t="n"/>
      <ns0:c r="W32" s="2" t="n"/>
      <ns0:c r="X32" s="42" t="n"/>
    </ns0:row>
    <ns0:row r="33" ht="27" customHeight="1">
      <ns0:c r="B33" s="29" t="n"/>
      <ns0:c r="C33" s="36" t="inlineStr">
        <ns0:is>
          <ns0:t>Date</ns0:t>
        </ns0:is>
      </ns0:c>
      <ns0:c r="D33" s="37" t="inlineStr">
        <ns0:is>
          <ns0:t>Process</ns0:t>
        </ns0:is>
      </ns0:c>
      <ns0:c r="E33" s="38" t="inlineStr">
        <ns0:is>
          <ns0:t>Bonding amount</ns0:t>
        </ns0:is>
      </ns0:c>
      <ns0:c r="F33" s="39" t="inlineStr">
        <ns0:is>
          <ns0:t>Bonding line</ns0:t>
        </ns0:is>
      </ns0:c>
      <ns0:c r="G33" s="39" t="inlineStr">
        <ns0:is>
          <ns0:t>Type needle</ns0:t>
        </ns0:is>
      </ns0:c>
      <ns0:c r="H33" s="39" t="inlineStr">
        <ns0:is>
          <ns0:t>Drying</ns0:t>
        </ns0:is>
      </ns0:c>
      <ns0:c r="I33" s="40" t="inlineStr">
        <ns0:is>
          <ns0:t>Q'ty check</ns0:t>
        </ns0:is>
      </ns0:c>
      <ns0:c r="J33" s="39" t="inlineStr">
        <ns0:is>
          <ns0:t>OK</ns0:t>
        </ns0:is>
      </ns0:c>
      <ns0:c r="K33" s="20" t="n"/>
      <ns0:c r="L33" s="41" t="n"/>
      <ns0:c r="M33" s="39" t="inlineStr">
        <ns0:is>
          <ns0:t>NG glue not dry</ns0:t>
        </ns0:is>
      </ns0:c>
      <ns0:c r="N33" s="20" t="n"/>
      <ns0:c r="O33" s="41" t="n"/>
      <ns0:c r="P33" s="39" t="inlineStr">
        <ns0:is>
          <ns0:t>NG glue not spread</ns0:t>
        </ns0:is>
      </ns0:c>
      <ns0:c r="Q33" s="20" t="n"/>
      <ns0:c r="R33" s="41" t="n"/>
      <ns0:c r="S33" s="39" t="inlineStr">
        <ns0:is>
          <ns0:t>NG over glue</ns0:t>
        </ns0:is>
      </ns0:c>
      <ns0:c r="T33" s="20" t="n"/>
      <ns0:c r="U33" s="41" t="n"/>
      <ns0:c r="V33" s="40" t="inlineStr">
        <ns0:is>
          <ns0:t>Total NG</ns0:t>
        </ns0:is>
      </ns0:c>
      <ns0:c r="W33" s="40" t="inlineStr">
        <ns0:is>
          <ns0:t>NG rate</ns0:t>
        </ns0:is>
      </ns0:c>
      <ns0:c r="X33" s="42" t="n"/>
    </ns0:row>
    <ns0:row r="34" ht="27" customHeight="1">
      <ns0:c r="B34" s="29" t="n"/>
      <ns0:c r="C34" s="43" t="n"/>
      <ns0:c r="D34" s="43" t="n"/>
      <ns0:c r="E34" s="43" t="n"/>
      <ns0:c r="F34" s="43" t="n"/>
      <ns0:c r="G34" s="43" t="n"/>
      <ns0:c r="H34" s="43" t="n"/>
      <ns0:c r="I34" s="43" t="n"/>
      <ns0:c r="J34" s="61" t="n"/>
      <ns0:c r="K34" s="23" t="n"/>
      <ns0:c r="L34" s="62" t="n"/>
      <ns0:c r="M34" s="61" t="n"/>
      <ns0:c r="N34" s="23" t="n"/>
      <ns0:c r="O34" s="62" t="n"/>
      <ns0:c r="P34" s="61" t="n"/>
      <ns0:c r="Q34" s="23" t="n"/>
      <ns0:c r="R34" s="62" t="n"/>
      <ns0:c r="S34" s="61" t="n"/>
      <ns0:c r="T34" s="23" t="n"/>
      <ns0:c r="U34" s="62" t="n"/>
      <ns0:c r="V34" s="43" t="n"/>
      <ns0:c r="W34" s="43" t="n"/>
      <ns0:c r="X34" s="42" t="n"/>
    </ns0:row>
    <ns0:row r="35" ht="27" customHeight="1">
      <ns0:c r="B35" s="29" t="n"/>
      <ns0:c r="C35" s="43" t="n"/>
      <ns0:c r="D35" s="43" t="n"/>
      <ns0:c r="E35" s="43" t="n"/>
      <ns0:c r="F35" s="43" t="n"/>
      <ns0:c r="G35" s="43" t="n"/>
      <ns0:c r="H35" s="43" t="n"/>
      <ns0:c r="I35" s="43" t="n"/>
      <ns0:c r="J35" s="63" t="n"/>
      <ns0:c r="K35" s="26" t="n"/>
      <ns0:c r="L35" s="64" t="n"/>
      <ns0:c r="M35" s="63" t="n"/>
      <ns0:c r="N35" s="26" t="n"/>
      <ns0:c r="O35" s="64" t="n"/>
      <ns0:c r="P35" s="63" t="n"/>
      <ns0:c r="Q35" s="26" t="n"/>
      <ns0:c r="R35" s="64" t="n"/>
      <ns0:c r="S35" s="63" t="n"/>
      <ns0:c r="T35" s="26" t="n"/>
      <ns0:c r="U35" s="64" t="n"/>
      <ns0:c r="V35" s="43" t="n"/>
      <ns0:c r="W35" s="43" t="n"/>
      <ns0:c r="X35" s="42" t="n"/>
    </ns0:row>
    <ns0:row r="36" ht="27" customHeight="1">
      <ns0:c r="B36" s="29" t="n"/>
      <ns0:c r="C36" s="43" t="n"/>
      <ns0:c r="D36" s="43" t="n"/>
      <ns0:c r="E36" s="43" t="n"/>
      <ns0:c r="F36" s="43" t="n"/>
      <ns0:c r="G36" s="43" t="n"/>
      <ns0:c r="H36" s="43" t="n"/>
      <ns0:c r="I36" s="43" t="n"/>
      <ns0:c r="J36" s="63" t="n"/>
      <ns0:c r="K36" s="26" t="n"/>
      <ns0:c r="L36" s="64" t="n"/>
      <ns0:c r="M36" s="63" t="n"/>
      <ns0:c r="N36" s="26" t="n"/>
      <ns0:c r="O36" s="64" t="n"/>
      <ns0:c r="P36" s="63" t="n"/>
      <ns0:c r="Q36" s="26" t="n"/>
      <ns0:c r="R36" s="64" t="n"/>
      <ns0:c r="S36" s="63" t="n"/>
      <ns0:c r="T36" s="26" t="n"/>
      <ns0:c r="U36" s="64" t="n"/>
      <ns0:c r="V36" s="43" t="n"/>
      <ns0:c r="W36" s="43" t="n"/>
      <ns0:c r="X36" s="42" t="n"/>
    </ns0:row>
    <ns0:row r="37" ht="27" customHeight="1">
      <ns0:c r="B37" s="29" t="n"/>
      <ns0:c r="C37" s="43" t="n"/>
      <ns0:c r="D37" s="43" t="n"/>
      <ns0:c r="E37" s="43" t="n"/>
      <ns0:c r="F37" s="43" t="n"/>
      <ns0:c r="G37" s="43" t="n"/>
      <ns0:c r="H37" s="43" t="n"/>
      <ns0:c r="I37" s="43" t="n"/>
      <ns0:c r="J37" s="63" t="n"/>
      <ns0:c r="K37" s="26" t="n"/>
      <ns0:c r="L37" s="64" t="n"/>
      <ns0:c r="M37" s="63" t="n"/>
      <ns0:c r="N37" s="26" t="n"/>
      <ns0:c r="O37" s="64" t="n"/>
      <ns0:c r="P37" s="63" t="n"/>
      <ns0:c r="Q37" s="26" t="n"/>
      <ns0:c r="R37" s="64" t="n"/>
      <ns0:c r="S37" s="63" t="n"/>
      <ns0:c r="T37" s="26" t="n"/>
      <ns0:c r="U37" s="64" t="n"/>
      <ns0:c r="V37" s="43" t="n"/>
      <ns0:c r="W37" s="43" t="n"/>
      <ns0:c r="X37" s="42" t="n"/>
    </ns0:row>
    <ns0:row r="38" ht="27" customHeight="1">
      <ns0:c r="B38" s="29" t="n"/>
      <ns0:c r="C38" s="43" t="n"/>
      <ns0:c r="D38" s="43" t="n"/>
      <ns0:c r="E38" s="43" t="n"/>
      <ns0:c r="F38" s="43" t="n"/>
      <ns0:c r="G38" s="43" t="n"/>
      <ns0:c r="H38" s="43" t="n"/>
      <ns0:c r="I38" s="43" t="n"/>
      <ns0:c r="J38" s="63" t="n"/>
      <ns0:c r="K38" s="26" t="n"/>
      <ns0:c r="L38" s="64" t="n"/>
      <ns0:c r="M38" s="63" t="n"/>
      <ns0:c r="N38" s="26" t="n"/>
      <ns0:c r="O38" s="64" t="n"/>
      <ns0:c r="P38" s="63" t="n"/>
      <ns0:c r="Q38" s="26" t="n"/>
      <ns0:c r="R38" s="64" t="n"/>
      <ns0:c r="S38" s="63" t="n"/>
      <ns0:c r="T38" s="26" t="n"/>
      <ns0:c r="U38" s="64" t="n"/>
      <ns0:c r="V38" s="43" t="n"/>
      <ns0:c r="W38" s="43" t="n"/>
      <ns0:c r="X38" s="42" t="n"/>
    </ns0:row>
    <ns0:row r="39" ht="27" customHeight="1">
      <ns0:c r="B39" s="29" t="n"/>
      <ns0:c r="C39" s="46" t="n"/>
      <ns0:c r="D39" s="46" t="n"/>
      <ns0:c r="E39" s="46" t="n"/>
      <ns0:c r="F39" s="46" t="n"/>
      <ns0:c r="G39" s="46" t="n"/>
      <ns0:c r="H39" s="46" t="n"/>
      <ns0:c r="I39" s="46" t="n"/>
      <ns0:c r="J39" s="65" t="n"/>
      <ns0:c r="K39" s="66" t="n"/>
      <ns0:c r="L39" s="67" t="n"/>
      <ns0:c r="M39" s="65" t="n"/>
      <ns0:c r="N39" s="66" t="n"/>
      <ns0:c r="O39" s="67" t="n"/>
      <ns0:c r="P39" s="65" t="n"/>
      <ns0:c r="Q39" s="66" t="n"/>
      <ns0:c r="R39" s="67" t="n"/>
      <ns0:c r="S39" s="65" t="n"/>
      <ns0:c r="T39" s="66" t="n"/>
      <ns0:c r="U39" s="67" t="n"/>
      <ns0:c r="V39" s="46" t="n"/>
      <ns0:c r="W39" s="46" t="n"/>
      <ns0:c r="X39" s="42" t="n"/>
    </ns0:row>
    <ns0:row r="40" ht="24" customHeight="1">
      <ns0:c r="B40" s="29" t="n"/>
      <ns0:c r="C40" s="47" t="n">
        <ns0:v>45135</ns0:v>
      </ns0:c>
      <ns0:c r="D40" s="48" t="inlineStr">
        <ns0:is>
          <ns0:t>CM+B-PT</ns0:t>
        </ns0:is>
      </ns0:c>
      <ns0:c r="E40" s="49" t="inlineStr">
        <ns0:is>
          <ns0:t>In Spec
(1.0 ~1.35)mg</ns0:t>
        </ns0:is>
      </ns0:c>
      <ns0:c r="F40" s="68" t="n"/>
      <ns0:c r="G40" s="50" t="inlineStr">
        <ns0:is>
          <ns0:t>25G</ns0:t>
        </ns0:is>
      </ns0:c>
      <ns0:c r="H40" s="50" t="inlineStr">
        <ns0:is>
          <ns0:t>84 ⁰ C
5 min 51s</ns0:t>
        </ns0:is>
      </ns0:c>
      <ns0:c r="I40" s="44" t="n">
        <ns0:v>8</ns0:v>
      </ns0:c>
      <ns0:c r="J40" s="44" t="n">
        <ns0:v>0</ns0:v>
      </ns0:c>
      <ns0:c r="K40" s="31" t="n"/>
      <ns0:c r="L40" s="45" t="n"/>
      <ns0:c r="M40" s="44" t="n">
        <ns0:v>0</ns0:v>
      </ns0:c>
      <ns0:c r="N40" s="31" t="n"/>
      <ns0:c r="O40" s="45" t="n"/>
      <ns0:c r="P40" s="44" t="n">
        <ns0:v>0</ns0:v>
      </ns0:c>
      <ns0:c r="Q40" s="31" t="n"/>
      <ns0:c r="R40" s="45" t="n"/>
      <ns0:c r="S40" s="44" t="n">
        <ns0:v>8</ns0:v>
      </ns0:c>
      <ns0:c r="T40" s="31" t="n"/>
      <ns0:c r="U40" s="45" t="n"/>
      <ns0:c r="V40" s="44" t="n">
        <ns0:v>8</ns0:v>
      </ns0:c>
      <ns0:c r="W40" s="51" t="n">
        <ns0:v>1</ns0:v>
      </ns0:c>
      <ns0:c r="X40" s="42" t="n"/>
    </ns0:row>
    <ns0:row r="41" ht="24" customHeight="1">
      <ns0:c r="B41" s="29" t="n"/>
      <ns0:c r="C41" s="43" t="n"/>
      <ns0:c r="D41" s="43" t="n"/>
      <ns0:c r="E41" s="46" t="n"/>
      <ns0:c r="F41" s="46" t="n"/>
      <ns0:c r="G41" s="46" t="n"/>
      <ns0:c r="H41" s="46" t="n"/>
      <ns0:c r="I41" s="46" t="n"/>
      <ns0:c r="J41" s="16" t="n"/>
      <ns0:c r="K41" s="17" t="n"/>
      <ns0:c r="L41" s="15" t="n"/>
      <ns0:c r="M41" s="16" t="n"/>
      <ns0:c r="N41" s="17" t="n"/>
      <ns0:c r="O41" s="15" t="n"/>
      <ns0:c r="P41" s="16" t="n"/>
      <ns0:c r="Q41" s="17" t="n"/>
      <ns0:c r="R41" s="15" t="n"/>
      <ns0:c r="S41" s="16" t="n"/>
      <ns0:c r="T41" s="17" t="n"/>
      <ns0:c r="U41" s="15" t="n"/>
      <ns0:c r="V41" s="46" t="n"/>
      <ns0:c r="W41" s="46" t="n"/>
      <ns0:c r="X41" s="42" t="n"/>
    </ns0:row>
    <ns0:row r="42" ht="24" customHeight="1">
      <ns0:c r="B42" s="29" t="n"/>
      <ns0:c r="C42" s="43" t="n"/>
      <ns0:c r="D42" s="43" t="n"/>
      <ns0:c r="E42" s="49" t="inlineStr">
        <ns0:is>
          <ns0:t>( 0.5 ~0.7)mg</ns0:t>
        </ns0:is>
      </ns0:c>
      <ns0:c r="F42" s="69" t="n"/>
      <ns0:c r="G42" s="50" t="inlineStr">
        <ns0:is>
          <ns0:t>25G</ns0:t>
        </ns0:is>
      </ns0:c>
      <ns0:c r="H42" s="50" t="inlineStr">
        <ns0:is>
          <ns0:t>84 ⁰ C
5 min 51s</ns0:t>
        </ns0:is>
      </ns0:c>
      <ns0:c r="I42" s="44" t="n">
        <ns0:v>8</ns0:v>
      </ns0:c>
      <ns0:c r="J42" s="44" t="n">
        <ns0:v>0</ns0:v>
      </ns0:c>
      <ns0:c r="K42" s="31" t="n"/>
      <ns0:c r="L42" s="45" t="n"/>
      <ns0:c r="M42" s="44" t="n">
        <ns0:v>0</ns0:v>
      </ns0:c>
      <ns0:c r="N42" s="31" t="n"/>
      <ns0:c r="O42" s="45" t="n"/>
      <ns0:c r="P42" s="44" t="n">
        <ns0:v>0</ns0:v>
      </ns0:c>
      <ns0:c r="Q42" s="31" t="n"/>
      <ns0:c r="R42" s="45" t="n"/>
      <ns0:c r="S42" s="44" t="n">
        <ns0:v>8</ns0:v>
      </ns0:c>
      <ns0:c r="T42" s="31" t="n"/>
      <ns0:c r="U42" s="45" t="n"/>
      <ns0:c r="V42" s="44" t="n">
        <ns0:v>8</ns0:v>
      </ns0:c>
      <ns0:c r="W42" s="51" t="n">
        <ns0:v>1</ns0:v>
      </ns0:c>
      <ns0:c r="X42" s="42" t="n"/>
    </ns0:row>
    <ns0:row r="43" ht="24" customHeight="1">
      <ns0:c r="B43" s="29" t="n"/>
      <ns0:c r="C43" s="43" t="n"/>
      <ns0:c r="D43" s="43" t="n"/>
      <ns0:c r="E43" s="46" t="n"/>
      <ns0:c r="F43" s="46" t="n"/>
      <ns0:c r="G43" s="46" t="n"/>
      <ns0:c r="H43" s="46" t="n"/>
      <ns0:c r="I43" s="46" t="n"/>
      <ns0:c r="J43" s="16" t="n"/>
      <ns0:c r="K43" s="17" t="n"/>
      <ns0:c r="L43" s="15" t="n"/>
      <ns0:c r="M43" s="16" t="n"/>
      <ns0:c r="N43" s="17" t="n"/>
      <ns0:c r="O43" s="15" t="n"/>
      <ns0:c r="P43" s="16" t="n"/>
      <ns0:c r="Q43" s="17" t="n"/>
      <ns0:c r="R43" s="15" t="n"/>
      <ns0:c r="S43" s="16" t="n"/>
      <ns0:c r="T43" s="17" t="n"/>
      <ns0:c r="U43" s="15" t="n"/>
      <ns0:c r="V43" s="46" t="n"/>
      <ns0:c r="W43" s="46" t="n"/>
      <ns0:c r="X43" s="42" t="n"/>
    </ns0:row>
    <ns0:row r="44" ht="24" customHeight="1">
      <ns0:c r="B44" s="29" t="n"/>
      <ns0:c r="C44" s="43" t="n"/>
      <ns0:c r="D44" s="43" t="n"/>
      <ns0:c r="E44" s="52" t="inlineStr">
        <ns0:is>
          <ns0:t>( 0.5 ~0.7)mg</ns0:t>
        </ns0:is>
      </ns0:c>
      <ns0:c r="F44" s="53" t="inlineStr">
        <ns0:is>
          <ns0:t>Change bonding line reduce 0.7</ns0:t>
        </ns0:is>
      </ns0:c>
      <ns0:c r="G44" s="53" t="inlineStr">
        <ns0:is>
          <ns0:t>25G</ns0:t>
        </ns0:is>
      </ns0:c>
      <ns0:c r="H44" s="53" t="inlineStr">
        <ns0:is>
          <ns0:t>84 ⁰ C
5 min 51s</ns0:t>
        </ns0:is>
      </ns0:c>
      <ns0:c r="I44" s="54" t="n">
        <ns0:v>8</ns0:v>
      </ns0:c>
      <ns0:c r="J44" s="54" t="n">
        <ns0:v>8</ns0:v>
      </ns0:c>
      <ns0:c r="K44" s="31" t="n"/>
      <ns0:c r="L44" s="45" t="n"/>
      <ns0:c r="M44" s="54" t="n">
        <ns0:v>0</ns0:v>
      </ns0:c>
      <ns0:c r="N44" s="31" t="n"/>
      <ns0:c r="O44" s="45" t="n"/>
      <ns0:c r="P44" s="54" t="n">
        <ns0:v>0</ns0:v>
      </ns0:c>
      <ns0:c r="Q44" s="31" t="n"/>
      <ns0:c r="R44" s="45" t="n"/>
      <ns0:c r="S44" s="54" t="n">
        <ns0:v>0</ns0:v>
      </ns0:c>
      <ns0:c r="T44" s="31" t="n"/>
      <ns0:c r="U44" s="45" t="n"/>
      <ns0:c r="V44" s="54" t="n">
        <ns0:v>0</ns0:v>
      </ns0:c>
      <ns0:c r="W44" s="55" t="n">
        <ns0:v>0</ns0:v>
      </ns0:c>
      <ns0:c r="X44" s="42" t="n"/>
    </ns0:row>
    <ns0:row r="45" ht="24" customHeight="1">
      <ns0:c r="B45" s="29" t="n"/>
      <ns0:c r="C45" s="43" t="n"/>
      <ns0:c r="D45" s="43" t="n"/>
      <ns0:c r="E45" s="46" t="n"/>
      <ns0:c r="F45" s="46" t="n"/>
      <ns0:c r="G45" s="46" t="n"/>
      <ns0:c r="H45" s="46" t="n"/>
      <ns0:c r="I45" s="46" t="n"/>
      <ns0:c r="J45" s="16" t="n"/>
      <ns0:c r="K45" s="17" t="n"/>
      <ns0:c r="L45" s="15" t="n"/>
      <ns0:c r="M45" s="16" t="n"/>
      <ns0:c r="N45" s="17" t="n"/>
      <ns0:c r="O45" s="15" t="n"/>
      <ns0:c r="P45" s="16" t="n"/>
      <ns0:c r="Q45" s="17" t="n"/>
      <ns0:c r="R45" s="15" t="n"/>
      <ns0:c r="S45" s="16" t="n"/>
      <ns0:c r="T45" s="17" t="n"/>
      <ns0:c r="U45" s="15" t="n"/>
      <ns0:c r="V45" s="46" t="n"/>
      <ns0:c r="W45" s="46" t="n"/>
      <ns0:c r="X45" s="42" t="n"/>
    </ns0:row>
    <ns0:row r="46" ht="24" customHeight="1">
      <ns0:c r="B46" s="29" t="n"/>
      <ns0:c r="C46" s="43" t="n"/>
      <ns0:c r="D46" s="43" t="n"/>
      <ns0:c r="E46" s="49" t="inlineStr">
        <ns0:is>
          <ns0:t>( 0.8 ~0.9)mg</ns0:t>
        </ns0:is>
      </ns0:c>
      <ns0:c r="F46" s="50" t="inlineStr">
        <ns0:is>
          <ns0:t>Change bonding line reduce 0.7</ns0:t>
        </ns0:is>
      </ns0:c>
      <ns0:c r="G46" s="50" t="inlineStr">
        <ns0:is>
          <ns0:t>25G</ns0:t>
        </ns0:is>
      </ns0:c>
      <ns0:c r="H46" s="50" t="inlineStr">
        <ns0:is>
          <ns0:t>84 ⁰ C
5 min 51s</ns0:t>
        </ns0:is>
      </ns0:c>
      <ns0:c r="I46" s="44" t="n">
        <ns0:v>8</ns0:v>
      </ns0:c>
      <ns0:c r="J46" s="44" t="n">
        <ns0:v>0</ns0:v>
      </ns0:c>
      <ns0:c r="K46" s="31" t="n"/>
      <ns0:c r="L46" s="45" t="n"/>
      <ns0:c r="M46" s="44" t="n">
        <ns0:v>0</ns0:v>
      </ns0:c>
      <ns0:c r="N46" s="31" t="n"/>
      <ns0:c r="O46" s="45" t="n"/>
      <ns0:c r="P46" s="44" t="n">
        <ns0:v>0</ns0:v>
      </ns0:c>
      <ns0:c r="Q46" s="31" t="n"/>
      <ns0:c r="R46" s="45" t="n"/>
      <ns0:c r="S46" s="44" t="n">
        <ns0:v>5</ns0:v>
      </ns0:c>
      <ns0:c r="T46" s="31" t="n"/>
      <ns0:c r="U46" s="45" t="n"/>
      <ns0:c r="V46" s="44" t="n">
        <ns0:v>5</ns0:v>
      </ns0:c>
      <ns0:c r="W46" s="51" t="n">
        <ns0:v>0.625</ns0:v>
      </ns0:c>
      <ns0:c r="X46" s="42" t="n"/>
    </ns0:row>
    <ns0:row r="47" ht="24" customHeight="1">
      <ns0:c r="B47" s="29" t="n"/>
      <ns0:c r="C47" s="43" t="n"/>
      <ns0:c r="D47" s="43" t="n"/>
      <ns0:c r="E47" s="46" t="n"/>
      <ns0:c r="F47" s="46" t="n"/>
      <ns0:c r="G47" s="46" t="n"/>
      <ns0:c r="H47" s="46" t="n"/>
      <ns0:c r="I47" s="46" t="n"/>
      <ns0:c r="J47" s="16" t="n"/>
      <ns0:c r="K47" s="17" t="n"/>
      <ns0:c r="L47" s="15" t="n"/>
      <ns0:c r="M47" s="16" t="n"/>
      <ns0:c r="N47" s="17" t="n"/>
      <ns0:c r="O47" s="15" t="n"/>
      <ns0:c r="P47" s="16" t="n"/>
      <ns0:c r="Q47" s="17" t="n"/>
      <ns0:c r="R47" s="15" t="n"/>
      <ns0:c r="S47" s="16" t="n"/>
      <ns0:c r="T47" s="17" t="n"/>
      <ns0:c r="U47" s="15" t="n"/>
      <ns0:c r="V47" s="46" t="n"/>
      <ns0:c r="W47" s="46" t="n"/>
      <ns0:c r="X47" s="42" t="n"/>
    </ns0:row>
    <ns0:row r="48" ht="24" customHeight="1">
      <ns0:c r="B48" s="29" t="n"/>
      <ns0:c r="C48" s="43" t="n"/>
      <ns0:c r="D48" s="43" t="n"/>
      <ns0:c r="E48" s="49" t="inlineStr">
        <ns0:is>
          <ns0:t>( 0.3 ~0.4)mg</ns0:t>
        </ns0:is>
      </ns0:c>
      <ns0:c r="F48" s="50" t="inlineStr">
        <ns0:is>
          <ns0:t>Change bonding line reduce 0.7</ns0:t>
        </ns0:is>
      </ns0:c>
      <ns0:c r="G48" s="50" t="inlineStr">
        <ns0:is>
          <ns0:t>25G</ns0:t>
        </ns0:is>
      </ns0:c>
      <ns0:c r="H48" s="50" t="inlineStr">
        <ns0:is>
          <ns0:t>84 ⁰ C
5 min 51s</ns0:t>
        </ns0:is>
      </ns0:c>
      <ns0:c r="I48" s="44" t="n">
        <ns0:v>8</ns0:v>
      </ns0:c>
      <ns0:c r="J48" s="44" t="n">
        <ns0:v>0</ns0:v>
      </ns0:c>
      <ns0:c r="K48" s="31" t="n"/>
      <ns0:c r="L48" s="45" t="n"/>
      <ns0:c r="M48" s="44" t="n">
        <ns0:v>0</ns0:v>
      </ns0:c>
      <ns0:c r="N48" s="31" t="n"/>
      <ns0:c r="O48" s="45" t="n"/>
      <ns0:c r="P48" s="44" t="n">
        <ns0:v>8</ns0:v>
      </ns0:c>
      <ns0:c r="Q48" s="31" t="n"/>
      <ns0:c r="R48" s="45" t="n"/>
      <ns0:c r="S48" s="44" t="n">
        <ns0:v>0</ns0:v>
      </ns0:c>
      <ns0:c r="T48" s="31" t="n"/>
      <ns0:c r="U48" s="45" t="n"/>
      <ns0:c r="V48" s="44" t="n">
        <ns0:v>8</ns0:v>
      </ns0:c>
      <ns0:c r="W48" s="51" t="n">
        <ns0:v>1</ns0:v>
      </ns0:c>
      <ns0:c r="X48" s="42" t="n"/>
    </ns0:row>
    <ns0:row r="49" ht="24" customHeight="1">
      <ns0:c r="B49" s="29" t="n"/>
      <ns0:c r="C49" s="46" t="n"/>
      <ns0:c r="D49" s="46" t="n"/>
      <ns0:c r="E49" s="46" t="n"/>
      <ns0:c r="F49" s="46" t="n"/>
      <ns0:c r="G49" s="46" t="n"/>
      <ns0:c r="H49" s="46" t="n"/>
      <ns0:c r="I49" s="46" t="n"/>
      <ns0:c r="J49" s="16" t="n"/>
      <ns0:c r="K49" s="17" t="n"/>
      <ns0:c r="L49" s="15" t="n"/>
      <ns0:c r="M49" s="16" t="n"/>
      <ns0:c r="N49" s="17" t="n"/>
      <ns0:c r="O49" s="15" t="n"/>
      <ns0:c r="P49" s="16" t="n"/>
      <ns0:c r="Q49" s="17" t="n"/>
      <ns0:c r="R49" s="15" t="n"/>
      <ns0:c r="S49" s="16" t="n"/>
      <ns0:c r="T49" s="17" t="n"/>
      <ns0:c r="U49" s="15" t="n"/>
      <ns0:c r="V49" s="46" t="n"/>
      <ns0:c r="W49" s="46" t="n"/>
      <ns0:c r="X49" s="42" t="n"/>
    </ns0:row>
    <ns0:row r="50" ht="27" customHeight="1">
      <ns0:c r="B50" s="29" t="n"/>
      <ns0:c r="C50" s="56" t="n"/>
      <ns0:c r="D50" s="57" t="n"/>
      <ns0:c r="E50" s="57" t="n"/>
      <ns0:c r="F50" s="58" t="n"/>
      <ns0:c r="G50" s="58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  <ns0:c r="Q50" s="59" t="n"/>
      <ns0:c r="R50" s="59" t="n"/>
      <ns0:c r="S50" s="59" t="n"/>
      <ns0:c r="T50" s="59" t="n"/>
      <ns0:c r="U50" s="59" t="n"/>
      <ns0:c r="V50" s="59" t="n"/>
      <ns0:c r="W50" s="2" t="n"/>
      <ns0:c r="X50" s="42" t="n"/>
    </ns0:row>
    <ns0:row r="51" ht="27" customHeight="1">
      <ns0:c r="B51" s="29" t="n"/>
      <ns0:c r="C51" s="70" t="n"/>
      <ns0:c r="D51" s="57" t="n"/>
      <ns0:c r="E51" s="57" t="n"/>
      <ns0:c r="F51" s="58" t="n"/>
      <ns0:c r="G51" s="58" t="n"/>
      <ns0:c r="H51" s="59" t="n"/>
      <ns0:c r="I51" s="59" t="n"/>
      <ns0:c r="J51" s="59" t="n"/>
      <ns0:c r="K51" s="59" t="n"/>
      <ns0:c r="L51" s="59" t="n"/>
      <ns0:c r="M51" s="59" t="n"/>
      <ns0:c r="N51" s="59" t="n"/>
      <ns0:c r="O51" s="59" t="n"/>
      <ns0:c r="P51" s="59" t="n"/>
      <ns0:c r="Q51" s="59" t="n"/>
      <ns0:c r="R51" s="59" t="n"/>
      <ns0:c r="S51" s="59" t="n"/>
      <ns0:c r="T51" s="59" t="n"/>
      <ns0:c r="U51" s="59" t="n"/>
      <ns0:c r="V51" s="59" t="n"/>
      <ns0:c r="W51" s="2" t="n"/>
      <ns0:c r="X51" s="42" t="n"/>
    </ns0:row>
    <ns0:row r="52" ht="27" customHeight="1">
      <ns0:c r="B52" s="29" t="n"/>
      <ns0:c r="C52" s="70" t="n"/>
      <ns0:c r="D52" s="57" t="n"/>
      <ns0:c r="E52" s="57" t="n"/>
      <ns0:c r="F52" s="58" t="n"/>
      <ns0:c r="G52" s="58" t="n"/>
      <ns0:c r="H52" s="59" t="n"/>
      <ns0:c r="I52" s="59" t="n"/>
      <ns0:c r="J52" s="59" t="n"/>
      <ns0:c r="K52" s="59" t="n"/>
      <ns0:c r="L52" s="59" t="n"/>
      <ns0:c r="M52" s="59" t="n"/>
      <ns0:c r="N52" s="59" t="n"/>
      <ns0:c r="O52" s="59" t="n"/>
      <ns0:c r="P52" s="59" t="n"/>
      <ns0:c r="Q52" s="59" t="n"/>
      <ns0:c r="R52" s="59" t="n"/>
      <ns0:c r="S52" s="59" t="n"/>
      <ns0:c r="T52" s="59" t="n"/>
      <ns0:c r="U52" s="59" t="n"/>
      <ns0:c r="V52" s="59" t="n"/>
      <ns0:c r="W52" s="2" t="n"/>
      <ns0:c r="X52" s="42" t="n"/>
    </ns0:row>
    <ns0:row r="53" ht="27" customHeight="1">
      <ns0:c r="B53" s="29" t="n"/>
      <ns0:c r="C53" s="70" t="n"/>
      <ns0:c r="D53" s="57" t="n"/>
      <ns0:c r="E53" s="57" t="n"/>
      <ns0:c r="F53" s="58" t="n"/>
      <ns0:c r="G53" s="58" t="n"/>
      <ns0:c r="H53" s="59" t="n"/>
      <ns0:c r="I53" s="59" t="n"/>
      <ns0:c r="J53" s="59" t="n"/>
      <ns0:c r="K53" s="59" t="n"/>
      <ns0:c r="L53" s="59" t="n"/>
      <ns0:c r="M53" s="59" t="n"/>
      <ns0:c r="N53" s="59" t="n"/>
      <ns0:c r="O53" s="59" t="n"/>
      <ns0:c r="P53" s="59" t="n"/>
      <ns0:c r="Q53" s="59" t="n"/>
      <ns0:c r="R53" s="59" t="n"/>
      <ns0:c r="S53" s="59" t="n"/>
      <ns0:c r="T53" s="59" t="n"/>
      <ns0:c r="U53" s="59" t="n"/>
      <ns0:c r="V53" s="59" t="n"/>
      <ns0:c r="W53" s="2" t="n"/>
      <ns0:c r="X53" s="42" t="n"/>
    </ns0:row>
    <ns0:row r="54" ht="27" customHeight="1">
      <ns0:c r="B54" s="29" t="n"/>
      <ns0:c r="C54" s="70" t="n"/>
      <ns0:c r="D54" s="57" t="n"/>
      <ns0:c r="E54" s="57" t="n"/>
      <ns0:c r="F54" s="58" t="n"/>
      <ns0:c r="G54" s="58" t="n"/>
      <ns0:c r="H54" s="59" t="n"/>
      <ns0:c r="I54" s="59" t="n"/>
      <ns0:c r="J54" s="59" t="n"/>
      <ns0:c r="K54" s="59" t="n"/>
      <ns0:c r="L54" s="59" t="n"/>
      <ns0:c r="M54" s="59" t="n"/>
      <ns0:c r="N54" s="59" t="n"/>
      <ns0:c r="O54" s="59" t="n"/>
      <ns0:c r="P54" s="59" t="n"/>
      <ns0:c r="Q54" s="59" t="n"/>
      <ns0:c r="R54" s="59" t="n"/>
      <ns0:c r="S54" s="59" t="n"/>
      <ns0:c r="T54" s="59" t="n"/>
      <ns0:c r="U54" s="59" t="n"/>
      <ns0:c r="V54" s="59" t="n"/>
      <ns0:c r="W54" s="2" t="n"/>
      <ns0:c r="X54" s="42" t="n"/>
    </ns0:row>
    <ns0:row r="55" ht="27" customHeight="1">
      <ns0:c r="B55" s="29" t="n"/>
      <ns0:c r="C55" s="70" t="n"/>
      <ns0:c r="D55" s="57" t="n"/>
      <ns0:c r="E55" s="57" t="n"/>
      <ns0:c r="F55" s="58" t="n"/>
      <ns0:c r="G55" s="58" t="n"/>
      <ns0:c r="H55" s="59" t="n"/>
      <ns0:c r="I55" s="59" t="n"/>
      <ns0:c r="J55" s="59" t="n"/>
      <ns0:c r="K55" s="59" t="n"/>
      <ns0:c r="L55" s="59" t="n"/>
      <ns0:c r="M55" s="59" t="n"/>
      <ns0:c r="N55" s="59" t="n"/>
      <ns0:c r="O55" s="59" t="n"/>
      <ns0:c r="P55" s="59" t="n"/>
      <ns0:c r="Q55" s="59" t="n"/>
      <ns0:c r="R55" s="59" t="n"/>
      <ns0:c r="S55" s="59" t="n"/>
      <ns0:c r="T55" s="59" t="n"/>
      <ns0:c r="U55" s="59" t="n"/>
      <ns0:c r="V55" s="59" t="n"/>
      <ns0:c r="W55" s="2" t="n"/>
      <ns0:c r="X55" s="42" t="n"/>
    </ns0:row>
    <ns0:row r="56" ht="27" customHeight="1">
      <ns0:c r="B56" s="29" t="n"/>
      <ns0:c r="C56" s="70" t="n"/>
      <ns0:c r="D56" s="57" t="n"/>
      <ns0:c r="E56" s="57" t="n"/>
      <ns0:c r="F56" s="58" t="n"/>
      <ns0:c r="G56" s="58" t="n"/>
      <ns0:c r="H56" s="59" t="n"/>
      <ns0:c r="I56" s="59" t="n"/>
      <ns0:c r="J56" s="59" t="n"/>
      <ns0:c r="K56" s="59" t="n"/>
      <ns0:c r="L56" s="59" t="n"/>
      <ns0:c r="M56" s="59" t="n"/>
      <ns0:c r="N56" s="59" t="n"/>
      <ns0:c r="O56" s="59" t="n"/>
      <ns0:c r="P56" s="59" t="n"/>
      <ns0:c r="Q56" s="59" t="n"/>
      <ns0:c r="R56" s="59" t="n"/>
      <ns0:c r="S56" s="59" t="n"/>
      <ns0:c r="T56" s="59" t="n"/>
      <ns0:c r="U56" s="59" t="n"/>
      <ns0:c r="V56" s="59" t="n"/>
      <ns0:c r="W56" s="2" t="n"/>
      <ns0:c r="X56" s="42" t="n"/>
    </ns0:row>
    <ns0:row r="57" ht="27" customHeight="1">
      <ns0:c r="B57" s="29" t="n"/>
      <ns0:c r="C57" s="70" t="n"/>
      <ns0:c r="D57" s="57" t="n"/>
      <ns0:c r="E57" s="57" t="n"/>
      <ns0:c r="F57" s="58" t="n"/>
      <ns0:c r="G57" s="58" t="n"/>
      <ns0:c r="H57" s="59" t="n"/>
      <ns0:c r="I57" s="59" t="n"/>
      <ns0:c r="J57" s="59" t="n"/>
      <ns0:c r="K57" s="59" t="n"/>
      <ns0:c r="L57" s="59" t="n"/>
      <ns0:c r="M57" s="59" t="n"/>
      <ns0:c r="N57" s="59" t="n"/>
      <ns0:c r="O57" s="59" t="n"/>
      <ns0:c r="P57" s="59" t="n"/>
      <ns0:c r="Q57" s="59" t="n"/>
      <ns0:c r="R57" s="59" t="n"/>
      <ns0:c r="S57" s="59" t="n"/>
      <ns0:c r="T57" s="59" t="n"/>
      <ns0:c r="U57" s="59" t="n"/>
      <ns0:c r="V57" s="59" t="n"/>
      <ns0:c r="W57" s="2" t="n"/>
      <ns0:c r="X57" s="42" t="n"/>
    </ns0:row>
    <ns0:row r="58" ht="27" customHeight="1">
      <ns0:c r="B58" s="29" t="n"/>
      <ns0:c r="C58" s="70" t="n"/>
      <ns0:c r="D58" s="57" t="n"/>
      <ns0:c r="E58" s="57" t="n"/>
      <ns0:c r="F58" s="58" t="n"/>
      <ns0:c r="G58" s="58" t="n"/>
      <ns0:c r="H58" s="59" t="n"/>
      <ns0:c r="I58" s="59" t="n"/>
      <ns0:c r="J58" s="59" t="n"/>
      <ns0:c r="K58" s="59" t="n"/>
      <ns0:c r="L58" s="59" t="n"/>
      <ns0:c r="M58" s="59" t="n"/>
      <ns0:c r="N58" s="59" t="n"/>
      <ns0:c r="O58" s="59" t="n"/>
      <ns0:c r="P58" s="59" t="n"/>
      <ns0:c r="Q58" s="59" t="n"/>
      <ns0:c r="R58" s="59" t="n"/>
      <ns0:c r="S58" s="59" t="n"/>
      <ns0:c r="T58" s="59" t="n"/>
      <ns0:c r="U58" s="59" t="n"/>
      <ns0:c r="V58" s="59" t="n"/>
      <ns0:c r="W58" s="2" t="n"/>
      <ns0:c r="X58" s="42" t="n"/>
    </ns0:row>
    <ns0:row r="59" ht="27" customHeight="1">
      <ns0:c r="B59" s="29" t="n"/>
      <ns0:c r="C59" s="70" t="n"/>
      <ns0:c r="D59" s="57" t="n"/>
      <ns0:c r="E59" s="57" t="n"/>
      <ns0:c r="F59" s="58" t="n"/>
      <ns0:c r="G59" s="58" t="n"/>
      <ns0:c r="H59" s="59" t="n"/>
      <ns0:c r="I59" s="59" t="n"/>
      <ns0:c r="J59" s="59" t="n"/>
      <ns0:c r="K59" s="59" t="n"/>
      <ns0:c r="L59" s="59" t="n"/>
      <ns0:c r="M59" s="59" t="n"/>
      <ns0:c r="N59" s="59" t="n"/>
      <ns0:c r="O59" s="59" t="n"/>
      <ns0:c r="P59" s="59" t="n"/>
      <ns0:c r="Q59" s="59" t="n"/>
      <ns0:c r="R59" s="59" t="n"/>
      <ns0:c r="S59" s="59" t="n"/>
      <ns0:c r="T59" s="59" t="n"/>
      <ns0:c r="U59" s="59" t="n"/>
      <ns0:c r="V59" s="59" t="n"/>
      <ns0:c r="W59" s="2" t="n"/>
      <ns0:c r="X59" s="42" t="n"/>
    </ns0:row>
    <ns0:row r="60" ht="27" customHeight="1">
      <ns0:c r="B60" s="29" t="n"/>
      <ns0:c r="C60" s="70" t="n"/>
      <ns0:c r="D60" s="57" t="n"/>
      <ns0:c r="E60" s="57" t="n"/>
      <ns0:c r="F60" s="58" t="n"/>
      <ns0:c r="G60" s="58" t="n"/>
      <ns0:c r="H60" s="59" t="n"/>
      <ns0:c r="I60" s="59" t="n"/>
      <ns0:c r="J60" s="59" t="n"/>
      <ns0:c r="K60" s="59" t="n"/>
      <ns0:c r="L60" s="59" t="n"/>
      <ns0:c r="M60" s="59" t="n"/>
      <ns0:c r="N60" s="59" t="n"/>
      <ns0:c r="O60" s="59" t="n"/>
      <ns0:c r="P60" s="59" t="n"/>
      <ns0:c r="Q60" s="59" t="n"/>
      <ns0:c r="R60" s="59" t="n"/>
      <ns0:c r="S60" s="59" t="n"/>
      <ns0:c r="T60" s="59" t="n"/>
      <ns0:c r="U60" s="59" t="n"/>
      <ns0:c r="V60" s="59" t="n"/>
      <ns0:c r="W60" s="2" t="n"/>
      <ns0:c r="X60" s="42" t="n"/>
    </ns0:row>
    <ns0:row r="61" ht="27" customHeight="1">
      <ns0:c r="B61" s="29" t="n"/>
      <ns0:c r="C61" s="70" t="n"/>
      <ns0:c r="D61" s="57" t="n"/>
      <ns0:c r="E61" s="57" t="n"/>
      <ns0:c r="F61" s="58" t="n"/>
      <ns0:c r="G61" s="58" t="n"/>
      <ns0:c r="H61" s="59" t="n"/>
      <ns0:c r="I61" s="59" t="n"/>
      <ns0:c r="J61" s="59" t="n"/>
      <ns0:c r="K61" s="59" t="n"/>
      <ns0:c r="L61" s="59" t="n"/>
      <ns0:c r="M61" s="59" t="n"/>
      <ns0:c r="N61" s="59" t="n"/>
      <ns0:c r="O61" s="59" t="n"/>
      <ns0:c r="P61" s="59" t="n"/>
      <ns0:c r="Q61" s="59" t="n"/>
      <ns0:c r="R61" s="59" t="n"/>
      <ns0:c r="S61" s="59" t="n"/>
      <ns0:c r="T61" s="59" t="n"/>
      <ns0:c r="U61" s="59" t="n"/>
      <ns0:c r="V61" s="59" t="n"/>
      <ns0:c r="W61" s="2" t="n"/>
      <ns0:c r="X61" s="42" t="n"/>
    </ns0:row>
    <ns0:row r="62" ht="27" customHeight="1">
      <ns0:c r="B62" s="29" t="n"/>
      <ns0:c r="C62" s="70" t="n"/>
      <ns0:c r="D62" s="57" t="n"/>
      <ns0:c r="E62" s="57" t="n"/>
      <ns0:c r="F62" s="58" t="n"/>
      <ns0:c r="G62" s="58" t="n"/>
      <ns0:c r="H62" s="59" t="n"/>
      <ns0:c r="I62" s="59" t="n"/>
      <ns0:c r="J62" s="59" t="n"/>
      <ns0:c r="K62" s="59" t="n"/>
      <ns0:c r="L62" s="59" t="n"/>
      <ns0:c r="M62" s="59" t="n"/>
      <ns0:c r="N62" s="59" t="n"/>
      <ns0:c r="O62" s="59" t="n"/>
      <ns0:c r="P62" s="59" t="n"/>
      <ns0:c r="Q62" s="59" t="n"/>
      <ns0:c r="R62" s="59" t="n"/>
      <ns0:c r="S62" s="59" t="n"/>
      <ns0:c r="T62" s="59" t="n"/>
      <ns0:c r="U62" s="59" t="n"/>
      <ns0:c r="V62" s="59" t="n"/>
      <ns0:c r="W62" s="2" t="n"/>
      <ns0:c r="X62" s="42" t="n"/>
    </ns0:row>
    <ns0:row r="63" ht="27" customHeight="1">
      <ns0:c r="B63" s="19" t="inlineStr">
        <ns0:is>
          <ns0:t>4. Decide</ns0:t>
        </ns0:is>
      </ns0:c>
      <ns0:c r="C63" s="20" t="n"/>
      <ns0:c r="D63" s="20" t="n"/>
      <ns0:c r="E63" s="20" t="n"/>
      <ns0:c r="F63" s="20" t="n"/>
      <ns0:c r="G63" s="20" t="n"/>
      <ns0:c r="H63" s="20" t="n"/>
      <ns0:c r="I63" s="20" t="n"/>
      <ns0:c r="J63" s="20" t="n"/>
      <ns0:c r="K63" s="20" t="n"/>
      <ns0:c r="L63" s="20" t="n"/>
      <ns0:c r="M63" s="20" t="n"/>
      <ns0:c r="N63" s="20" t="n"/>
      <ns0:c r="O63" s="20" t="n"/>
      <ns0:c r="P63" s="20" t="n"/>
      <ns0:c r="Q63" s="20" t="n"/>
      <ns0:c r="R63" s="20" t="n"/>
      <ns0:c r="S63" s="20" t="n"/>
      <ns0:c r="T63" s="20" t="n"/>
      <ns0:c r="U63" s="20" t="n"/>
      <ns0:c r="V63" s="20" t="n"/>
      <ns0:c r="W63" s="20" t="n"/>
      <ns0:c r="X63" s="21" t="n"/>
    </ns0:row>
    <ns0:row r="64" ht="27" customHeight="1">
      <ns0:c r="B64" s="71" t="n"/>
      <ns0:c r="C64" s="31" t="n"/>
      <ns0:c r="D64" s="31" t="n"/>
      <ns0:c r="E64" s="31" t="n"/>
      <ns0:c r="F64" s="31" t="n"/>
      <ns0:c r="G64" s="31" t="n"/>
      <ns0:c r="H64" s="31" t="n"/>
      <ns0:c r="I64" s="31" t="n"/>
      <ns0:c r="J64" s="31" t="n"/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1" t="n"/>
      <ns0:c r="T64" s="31" t="n"/>
      <ns0:c r="U64" s="31" t="n"/>
      <ns0:c r="V64" s="31" t="n"/>
      <ns0:c r="W64" s="31" t="n"/>
      <ns0:c r="X64" s="35" t="n"/>
    </ns0:row>
    <ns0:row r="65" ht="27" customHeight="1">
      <ns0:c r="B65" s="72" t="n"/>
      <ns0:c r="C65" s="73" t="n"/>
      <ns0:c r="D65" s="74" t="n"/>
      <ns0:c r="E65" s="74" t="n"/>
      <ns0:c r="F65" s="74" t="n"/>
      <ns0:c r="G65" s="74" t="n"/>
      <ns0:c r="H65" s="74" t="n"/>
      <ns0:c r="I65" s="74" t="n"/>
      <ns0:c r="J65" s="74" t="n"/>
      <ns0:c r="K65" s="74" t="n"/>
      <ns0:c r="L65" s="74" t="n"/>
      <ns0:c r="M65" s="74" t="n"/>
      <ns0:c r="N65" s="74" t="n"/>
      <ns0:c r="O65" s="74" t="n"/>
      <ns0:c r="P65" s="74" t="n"/>
      <ns0:c r="Q65" s="74" t="n"/>
      <ns0:c r="R65" s="74" t="n"/>
      <ns0:c r="S65" s="74" t="n"/>
      <ns0:c r="T65" s="74" t="n"/>
      <ns0:c r="U65" s="74" t="n"/>
      <ns0:c r="V65" s="74" t="n"/>
      <ns0:c r="W65" s="74" t="n"/>
      <ns0:c r="X65" s="75" t="n"/>
    </ns0:row>
  </ns0:sheetData>
  <ns0:mergeCells count="147">
    <ns0:mergeCell ref="F44:F45"/>
    <ns0:mergeCell ref="B63:X63"/>
    <ns0:mergeCell ref="E48:E49"/>
    <ns0:mergeCell ref="G48:G49"/>
    <ns0:mergeCell ref="M44:O45"/>
    <ns0:mergeCell ref="E23:E24"/>
    <ns0:mergeCell ref="P42:R43"/>
    <ns0:mergeCell ref="V44:V45"/>
    <ns0:mergeCell ref="C13:O13"/>
    <ns0:mergeCell ref="R29:T30"/>
    <ns0:mergeCell ref="D40:D49"/>
    <ns0:mergeCell ref="B2:C4"/>
    <ns0:mergeCell ref="G14:G20"/>
    <ns0:mergeCell ref="I27:K28"/>
    <ns0:mergeCell ref="F42:F43"/>
    <ns0:mergeCell ref="P44:R45"/>
    <ns0:mergeCell ref="D33:D39"/>
    <ns0:mergeCell ref="M48:O49"/>
    <ns0:mergeCell ref="I15:K20"/>
    <ns0:mergeCell ref="F14:F20"/>
    <ns0:mergeCell ref="H33:H39"/>
    <ns0:mergeCell ref="I42:I43"/>
    <ns0:mergeCell ref="R14:T14"/>
    <ns0:mergeCell ref="G40:G41"/>
    <ns0:mergeCell ref="V33:V39"/>
    <ns0:mergeCell ref="W42:W43"/>
    <ns0:mergeCell ref="U29:U30"/>
    <ns0:mergeCell ref="C40:C49"/>
    <ns0:mergeCell ref="G44:G45"/>
    <ns0:mergeCell ref="F48:F49"/>
    <ns0:mergeCell ref="I44:I45"/>
    <ns0:mergeCell ref="H48:H49"/>
    <ns0:mergeCell ref="D2:V4"/>
    <ns0:mergeCell ref="E25:E26"/>
    <ns0:mergeCell ref="C21:C30"/>
    <ns0:mergeCell ref="V46:V47"/>
    <ns0:mergeCell ref="V21:V22"/>
    <ns0:mergeCell ref="E21:E22"/>
    <ns0:mergeCell ref="E33:E39"/>
    <ns0:mergeCell ref="W33:W39"/>
    <ns0:mergeCell ref="G21:G22"/>
    <ns0:mergeCell ref="W44:W45"/>
    <ns0:mergeCell ref="P48:R49"/>
    <ns0:mergeCell ref="H23:H24"/>
    <ns0:mergeCell ref="I29:K30"/>
    <ns0:mergeCell ref="V48:V49"/>
    <ns0:mergeCell ref="F40:F41"/>
    <ns0:mergeCell ref="O27:Q28"/>
    <ns0:mergeCell ref="J46:L47"/>
    <ns0:mergeCell ref="G23:G24"/>
    <ns0:mergeCell ref="L27:N28"/>
    <ns0:mergeCell ref="S44:U45"/>
    <ns0:mergeCell ref="G33:G39"/>
    <ns0:mergeCell ref="B7:X7"/>
    <ns0:mergeCell ref="I33:I39"/>
    <ns0:mergeCell ref="V40:V41"/>
    <ns0:mergeCell ref="V27:V28"/>
    <ns0:mergeCell ref="I14:K14"/>
    <ns0:mergeCell ref="U14:U20"/>
    <ns0:mergeCell ref="E46:E47"/>
    <ns0:mergeCell ref="E40:E41"/>
    <ns0:mergeCell ref="S46:U47"/>
    <ns0:mergeCell ref="E27:E28"/>
    <ns0:mergeCell ref="O14:Q14"/>
    <ns0:mergeCell ref="J33:L33"/>
    <ns0:mergeCell ref="I48:I49"/>
    <ns0:mergeCell ref="S48:U49"/>
    <ns0:mergeCell ref="O29:Q30"/>
    <ns0:mergeCell ref="R25:T26"/>
    <ns0:mergeCell ref="F46:F47"/>
    <ns0:mergeCell ref="G25:G26"/>
    <ns0:mergeCell ref="L29:N30"/>
    <ns0:mergeCell ref="G27:G28"/>
    <ns0:mergeCell ref="C14:C20"/>
    <ns0:mergeCell ref="S40:U41"/>
    <ns0:mergeCell ref="B5:X5"/>
    <ns0:mergeCell ref="L21:N22"/>
    <ns0:mergeCell ref="H29:H30"/>
    <ns0:mergeCell ref="O23:Q24"/>
    <ns0:mergeCell ref="L14:N14"/>
    <ns0:mergeCell ref="E42:E43"/>
    <ns0:mergeCell ref="G42:G43"/>
    <ns0:mergeCell ref="E29:E30"/>
    <ns0:mergeCell ref="I46:I47"/>
    <ns0:mergeCell ref="V23:V24"/>
    <ns0:mergeCell ref="H40:H41"/>
    <ns0:mergeCell ref="E44:E45"/>
    <ns0:mergeCell ref="F21:F22"/>
    <ns0:mergeCell ref="M33:O33"/>
    <ns0:mergeCell ref="J48:L49"/>
    <ns0:mergeCell ref="F23:F24"/>
    <ns0:mergeCell ref="P46:R47"/>
    <ns0:mergeCell ref="S42:U43"/>
    <ns0:mergeCell ref="P33:R33"/>
    <ns0:mergeCell ref="D21:D30"/>
    <ns0:mergeCell ref="U21:U22"/>
    <ns0:mergeCell ref="J40:L41"/>
    <ns0:mergeCell ref="W46:W47"/>
    <ns0:mergeCell ref="R27:T28"/>
    <ns0:mergeCell ref="M46:O47"/>
    <ns0:mergeCell ref="H14:H20"/>
    <ns0:mergeCell ref="C33:C39"/>
    <ns0:mergeCell ref="R21:T22"/>
    <ns0:mergeCell ref="O25:Q26"/>
    <ns0:mergeCell ref="V14:V20"/>
    <ns0:mergeCell ref="E14:E20"/>
    <ns0:mergeCell ref="U23:U24"/>
    <ns0:mergeCell ref="F29:F30"/>
    <ns0:mergeCell ref="L15:N20"/>
    <ns0:mergeCell ref="W48:W49"/>
    <ns0:mergeCell ref="O21:Q22"/>
    <ns0:mergeCell ref="V25:V26"/>
    <ns0:mergeCell ref="L25:N26"/>
    <ns0:mergeCell ref="M40:O41"/>
    <ns0:mergeCell ref="H42:H43"/>
    <ns0:mergeCell ref="V42:V43"/>
    <ns0:mergeCell ref="V29:V30"/>
    <ns0:mergeCell ref="I23:K24"/>
    <ns0:mergeCell ref="W40:W41"/>
    <ns0:mergeCell ref="H44:H45"/>
    <ns0:mergeCell ref="U27:U28"/>
    <ns0:mergeCell ref="F25:F26"/>
    <ns0:mergeCell ref="F33:F39"/>
    <ns0:mergeCell ref="H21:H22"/>
    <ns0:mergeCell ref="R23:T24"/>
    <ns0:mergeCell ref="J42:L43"/>
    <ns0:mergeCell ref="S33:U33"/>
    <ns0:mergeCell ref="D14:D20"/>
    <ns0:mergeCell ref="H46:H47"/>
    <ns0:mergeCell ref="B12:X12"/>
    <ns0:mergeCell ref="U25:U26"/>
    <ns0:mergeCell ref="J44:L45"/>
    <ns0:mergeCell ref="G29:G30"/>
    <ns0:mergeCell ref="O15:Q20"/>
    <ns0:mergeCell ref="F27:F28"/>
    <ns0:mergeCell ref="H27:H28"/>
    <ns0:mergeCell ref="P40:R41"/>
    <ns0:mergeCell ref="I25:K26"/>
    <ns0:mergeCell ref="I21:K22"/>
    <ns0:mergeCell ref="R15:T20"/>
    <ns0:mergeCell ref="L23:N24"/>
    <ns0:mergeCell ref="B64:X64"/>
    <ns0:mergeCell ref="G46:G47"/>
    <ns0:mergeCell ref="H25:H26"/>
    <ns0:mergeCell ref="W13:X13"/>
    <ns0:mergeCell ref="I40:I41"/>
    <ns0:mergeCell ref="M42:O4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2026-05-12T06:20:05Z</dcterms:created>
  <dcterms:modified xsi:type="dcterms:W3CDTF">2026-05-12T06:20:21Z</dcterms:modified>
</cp:coreProperties>
</file>